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GF1 New\WAL Jobs\Wal-2270 Church Road, Bristol\5 - Post Survey\Client Data\"/>
    </mc:Choice>
  </mc:AlternateContent>
  <bookViews>
    <workbookView xWindow="0" yWindow="0" windowWidth="18915" windowHeight="9705"/>
  </bookViews>
  <sheets>
    <sheet name="Job Details" sheetId="5" r:id="rId1"/>
    <sheet name="Site Plan" sheetId="6" r:id="rId2"/>
    <sheet name="Site 6" sheetId="7" r:id="rId3"/>
    <sheet name="Peds&amp;Cycles" sheetId="8" r:id="rId4"/>
  </sheets>
  <definedNames>
    <definedName name="_xlnm._FilterDatabase" localSheetId="3" hidden="1">'Peds&amp;Cycles'!#REF!</definedName>
    <definedName name="_xlnm.Print_Area" localSheetId="3">'Peds&amp;Cycles'!$A$1:$P$85</definedName>
    <definedName name="_xlnm.Print_Titles" localSheetId="3">'Peds&amp;Cycles'!$A:$M,'Peds&amp;Cycles'!$1:$7</definedName>
    <definedName name="_xlnm.Print_Titles" localSheetId="2">'Site 6'!$1:$7</definedName>
  </definedNames>
  <calcPr calcId="152511"/>
</workbook>
</file>

<file path=xl/calcChain.xml><?xml version="1.0" encoding="utf-8"?>
<calcChain xmlns="http://schemas.openxmlformats.org/spreadsheetml/2006/main">
  <c r="K80" i="8" l="1"/>
  <c r="K75" i="8"/>
  <c r="K70" i="8"/>
  <c r="K65" i="8"/>
  <c r="K60" i="8"/>
  <c r="K55" i="8"/>
  <c r="J80" i="8"/>
  <c r="J75" i="8"/>
  <c r="J70" i="8"/>
  <c r="J65" i="8"/>
  <c r="J60" i="8"/>
  <c r="J55" i="8"/>
  <c r="C80" i="8"/>
  <c r="C75" i="8"/>
  <c r="C70" i="8"/>
  <c r="C65" i="8"/>
  <c r="C60" i="8"/>
  <c r="C55" i="8"/>
  <c r="B80" i="8"/>
  <c r="B75" i="8"/>
  <c r="B70" i="8"/>
  <c r="B65" i="8"/>
  <c r="B60" i="8"/>
  <c r="B55" i="8"/>
  <c r="K42" i="8"/>
  <c r="K37" i="8"/>
  <c r="K32" i="8"/>
  <c r="K27" i="8"/>
  <c r="K22" i="8"/>
  <c r="K17" i="8"/>
  <c r="J42" i="8"/>
  <c r="J37" i="8"/>
  <c r="J32" i="8"/>
  <c r="J27" i="8"/>
  <c r="J22" i="8"/>
  <c r="J17" i="8"/>
  <c r="C42" i="8"/>
  <c r="C37" i="8"/>
  <c r="C32" i="8"/>
  <c r="C27" i="8"/>
  <c r="C22" i="8"/>
  <c r="C17" i="8"/>
  <c r="B42" i="8"/>
  <c r="B37" i="8"/>
  <c r="B32" i="8"/>
  <c r="B27" i="8"/>
  <c r="B22" i="8"/>
  <c r="B17" i="8"/>
  <c r="N80" i="8"/>
  <c r="N75" i="8"/>
  <c r="N70" i="8"/>
  <c r="N65" i="8"/>
  <c r="N60" i="8"/>
  <c r="N55" i="8"/>
  <c r="O80" i="8"/>
  <c r="O75" i="8"/>
  <c r="O70" i="8"/>
  <c r="O65" i="8"/>
  <c r="O60" i="8"/>
  <c r="O55" i="8"/>
  <c r="N42" i="8"/>
  <c r="N37" i="8"/>
  <c r="N32" i="8"/>
  <c r="N27" i="8"/>
  <c r="N22" i="8"/>
  <c r="N17" i="8"/>
  <c r="O42" i="8"/>
  <c r="O37" i="8"/>
  <c r="O32" i="8"/>
  <c r="O27" i="8"/>
  <c r="O22" i="8"/>
  <c r="O17" i="8"/>
  <c r="F80" i="8"/>
  <c r="F75" i="8"/>
  <c r="F70" i="8"/>
  <c r="F65" i="8"/>
  <c r="F60" i="8"/>
  <c r="F55" i="8"/>
  <c r="F42" i="8"/>
  <c r="F37" i="8"/>
  <c r="F32" i="8"/>
  <c r="F27" i="8"/>
  <c r="F22" i="8"/>
  <c r="F17" i="8"/>
  <c r="G80" i="8"/>
  <c r="G75" i="8"/>
  <c r="G70" i="8"/>
  <c r="G65" i="8"/>
  <c r="G60" i="8"/>
  <c r="G55" i="8"/>
  <c r="G42" i="8"/>
  <c r="G37" i="8"/>
  <c r="G32" i="8"/>
  <c r="G27" i="8"/>
  <c r="G22" i="8"/>
  <c r="G17" i="8"/>
  <c r="R82" i="7"/>
  <c r="O78" i="7"/>
  <c r="N78" i="7"/>
  <c r="M78" i="7"/>
  <c r="L78" i="7"/>
  <c r="K78" i="7"/>
  <c r="J78" i="7"/>
  <c r="O73" i="7"/>
  <c r="N73" i="7"/>
  <c r="M73" i="7"/>
  <c r="L73" i="7"/>
  <c r="K73" i="7"/>
  <c r="J73" i="7"/>
  <c r="O68" i="7"/>
  <c r="N68" i="7"/>
  <c r="M68" i="7"/>
  <c r="L68" i="7"/>
  <c r="K68" i="7"/>
  <c r="J68" i="7"/>
  <c r="O63" i="7"/>
  <c r="N63" i="7"/>
  <c r="M63" i="7"/>
  <c r="L63" i="7"/>
  <c r="K63" i="7"/>
  <c r="J63" i="7"/>
  <c r="O58" i="7"/>
  <c r="N58" i="7"/>
  <c r="M58" i="7"/>
  <c r="L58" i="7"/>
  <c r="K58" i="7"/>
  <c r="J58" i="7"/>
  <c r="O53" i="7"/>
  <c r="N53" i="7"/>
  <c r="M53" i="7"/>
  <c r="L53" i="7"/>
  <c r="K53" i="7"/>
  <c r="J53" i="7"/>
  <c r="O41" i="7"/>
  <c r="N41" i="7"/>
  <c r="M41" i="7"/>
  <c r="L41" i="7"/>
  <c r="K41" i="7"/>
  <c r="J41" i="7"/>
  <c r="O36" i="7"/>
  <c r="N36" i="7"/>
  <c r="M36" i="7"/>
  <c r="L36" i="7"/>
  <c r="K36" i="7"/>
  <c r="J36" i="7"/>
  <c r="O31" i="7"/>
  <c r="N31" i="7"/>
  <c r="M31" i="7"/>
  <c r="L31" i="7"/>
  <c r="K31" i="7"/>
  <c r="J31" i="7"/>
  <c r="O26" i="7"/>
  <c r="N26" i="7"/>
  <c r="M26" i="7"/>
  <c r="L26" i="7"/>
  <c r="K26" i="7"/>
  <c r="J26" i="7"/>
  <c r="O21" i="7"/>
  <c r="N21" i="7"/>
  <c r="M21" i="7"/>
  <c r="L21" i="7"/>
  <c r="K21" i="7"/>
  <c r="J21" i="7"/>
  <c r="O16" i="7"/>
  <c r="N16" i="7"/>
  <c r="M16" i="7"/>
  <c r="L16" i="7"/>
  <c r="K16" i="7"/>
  <c r="J16" i="7"/>
  <c r="G78" i="7"/>
  <c r="F78" i="7"/>
  <c r="E78" i="7"/>
  <c r="D78" i="7"/>
  <c r="C78" i="7"/>
  <c r="B78" i="7"/>
  <c r="G73" i="7"/>
  <c r="F73" i="7"/>
  <c r="E73" i="7"/>
  <c r="D73" i="7"/>
  <c r="C73" i="7"/>
  <c r="B73" i="7"/>
  <c r="G68" i="7"/>
  <c r="F68" i="7"/>
  <c r="E68" i="7"/>
  <c r="D68" i="7"/>
  <c r="C68" i="7"/>
  <c r="B68" i="7"/>
  <c r="G63" i="7"/>
  <c r="F63" i="7"/>
  <c r="E63" i="7"/>
  <c r="D63" i="7"/>
  <c r="C63" i="7"/>
  <c r="B63" i="7"/>
  <c r="G58" i="7"/>
  <c r="F58" i="7"/>
  <c r="E58" i="7"/>
  <c r="D58" i="7"/>
  <c r="C58" i="7"/>
  <c r="B58" i="7"/>
  <c r="G53" i="7"/>
  <c r="F53" i="7"/>
  <c r="E53" i="7"/>
  <c r="D53" i="7"/>
  <c r="C53" i="7"/>
  <c r="B53" i="7"/>
  <c r="G41" i="7"/>
  <c r="F41" i="7"/>
  <c r="E41" i="7"/>
  <c r="D41" i="7"/>
  <c r="C41" i="7"/>
  <c r="B41" i="7"/>
  <c r="G36" i="7"/>
  <c r="F36" i="7"/>
  <c r="E36" i="7"/>
  <c r="D36" i="7"/>
  <c r="C36" i="7"/>
  <c r="B36" i="7"/>
  <c r="G31" i="7"/>
  <c r="F31" i="7"/>
  <c r="E31" i="7"/>
  <c r="D31" i="7"/>
  <c r="C31" i="7"/>
  <c r="B31" i="7"/>
  <c r="G26" i="7"/>
  <c r="F26" i="7"/>
  <c r="E26" i="7"/>
  <c r="D26" i="7"/>
  <c r="C26" i="7"/>
  <c r="B26" i="7"/>
  <c r="G21" i="7"/>
  <c r="F21" i="7"/>
  <c r="E21" i="7"/>
  <c r="D21" i="7"/>
  <c r="C21" i="7"/>
  <c r="B21" i="7"/>
  <c r="G16" i="7"/>
  <c r="F16" i="7"/>
  <c r="E16" i="7"/>
  <c r="D16" i="7"/>
  <c r="C16" i="7"/>
  <c r="B16" i="7"/>
  <c r="K3" i="8" l="1"/>
  <c r="K4" i="8"/>
  <c r="K5" i="8"/>
  <c r="K2" i="8"/>
  <c r="F11" i="8"/>
  <c r="G11" i="8"/>
  <c r="J11" i="8"/>
  <c r="K11" i="8"/>
  <c r="N11" i="8"/>
  <c r="O11" i="8"/>
  <c r="D13" i="8"/>
  <c r="H13" i="8"/>
  <c r="L13" i="8"/>
  <c r="P13" i="8"/>
  <c r="D14" i="8"/>
  <c r="H14" i="8"/>
  <c r="L14" i="8"/>
  <c r="P14" i="8"/>
  <c r="D15" i="8"/>
  <c r="H15" i="8"/>
  <c r="L15" i="8"/>
  <c r="P15" i="8"/>
  <c r="D16" i="8"/>
  <c r="H16" i="8"/>
  <c r="L16" i="8"/>
  <c r="P16" i="8"/>
  <c r="P17" i="8" s="1"/>
  <c r="L17" i="8"/>
  <c r="D18" i="8"/>
  <c r="H18" i="8"/>
  <c r="L18" i="8"/>
  <c r="P18" i="8"/>
  <c r="P22" i="8" s="1"/>
  <c r="D19" i="8"/>
  <c r="H19" i="8"/>
  <c r="L19" i="8"/>
  <c r="P19" i="8"/>
  <c r="D20" i="8"/>
  <c r="H20" i="8"/>
  <c r="L20" i="8"/>
  <c r="P20" i="8"/>
  <c r="D21" i="8"/>
  <c r="H21" i="8"/>
  <c r="L21" i="8"/>
  <c r="P21" i="8"/>
  <c r="L22" i="8"/>
  <c r="D23" i="8"/>
  <c r="H23" i="8"/>
  <c r="L23" i="8"/>
  <c r="L27" i="8" s="1"/>
  <c r="P23" i="8"/>
  <c r="D24" i="8"/>
  <c r="H24" i="8"/>
  <c r="L24" i="8"/>
  <c r="P24" i="8"/>
  <c r="D25" i="8"/>
  <c r="H25" i="8"/>
  <c r="L25" i="8"/>
  <c r="P25" i="8"/>
  <c r="D26" i="8"/>
  <c r="H26" i="8"/>
  <c r="L26" i="8"/>
  <c r="P26" i="8"/>
  <c r="D27" i="8"/>
  <c r="P27" i="8"/>
  <c r="D28" i="8"/>
  <c r="H28" i="8"/>
  <c r="L28" i="8"/>
  <c r="P28" i="8"/>
  <c r="P32" i="8" s="1"/>
  <c r="D29" i="8"/>
  <c r="H29" i="8"/>
  <c r="L29" i="8"/>
  <c r="P29" i="8"/>
  <c r="D30" i="8"/>
  <c r="H30" i="8"/>
  <c r="L30" i="8"/>
  <c r="P30" i="8"/>
  <c r="D31" i="8"/>
  <c r="H31" i="8"/>
  <c r="L31" i="8"/>
  <c r="P31" i="8"/>
  <c r="D32" i="8"/>
  <c r="L32" i="8"/>
  <c r="D33" i="8"/>
  <c r="H33" i="8"/>
  <c r="L33" i="8"/>
  <c r="P33" i="8"/>
  <c r="D34" i="8"/>
  <c r="H34" i="8"/>
  <c r="L34" i="8"/>
  <c r="P34" i="8"/>
  <c r="D35" i="8"/>
  <c r="H35" i="8"/>
  <c r="L35" i="8"/>
  <c r="P35" i="8"/>
  <c r="D36" i="8"/>
  <c r="H36" i="8"/>
  <c r="H37" i="8" s="1"/>
  <c r="L36" i="8"/>
  <c r="P36" i="8"/>
  <c r="P37" i="8"/>
  <c r="D38" i="8"/>
  <c r="H38" i="8"/>
  <c r="L38" i="8"/>
  <c r="P38" i="8"/>
  <c r="P42" i="8" s="1"/>
  <c r="D39" i="8"/>
  <c r="H39" i="8"/>
  <c r="L39" i="8"/>
  <c r="P39" i="8"/>
  <c r="D40" i="8"/>
  <c r="H40" i="8"/>
  <c r="L40" i="8"/>
  <c r="P40" i="8"/>
  <c r="D41" i="8"/>
  <c r="H41" i="8"/>
  <c r="L41" i="8"/>
  <c r="P41" i="8"/>
  <c r="L42" i="8"/>
  <c r="B44" i="8"/>
  <c r="C44" i="8"/>
  <c r="F44" i="8"/>
  <c r="G44" i="8"/>
  <c r="J44" i="8"/>
  <c r="K44" i="8"/>
  <c r="N44" i="8"/>
  <c r="O44" i="8"/>
  <c r="B47" i="8"/>
  <c r="J47" i="8"/>
  <c r="B48" i="8"/>
  <c r="F48" i="8"/>
  <c r="J48" i="8"/>
  <c r="N48" i="8"/>
  <c r="B49" i="8"/>
  <c r="C49" i="8"/>
  <c r="F49" i="8"/>
  <c r="G49" i="8"/>
  <c r="J49" i="8"/>
  <c r="K49" i="8"/>
  <c r="N49" i="8"/>
  <c r="O49" i="8"/>
  <c r="D51" i="8"/>
  <c r="H51" i="8"/>
  <c r="L51" i="8"/>
  <c r="P51" i="8"/>
  <c r="D52" i="8"/>
  <c r="H52" i="8"/>
  <c r="L52" i="8"/>
  <c r="P52" i="8"/>
  <c r="D53" i="8"/>
  <c r="H53" i="8"/>
  <c r="L53" i="8"/>
  <c r="P53" i="8"/>
  <c r="D54" i="8"/>
  <c r="H54" i="8"/>
  <c r="L54" i="8"/>
  <c r="P54" i="8"/>
  <c r="D55" i="8"/>
  <c r="H55" i="8"/>
  <c r="P55" i="8"/>
  <c r="D56" i="8"/>
  <c r="H56" i="8"/>
  <c r="L56" i="8"/>
  <c r="P56" i="8"/>
  <c r="D57" i="8"/>
  <c r="H57" i="8"/>
  <c r="L57" i="8"/>
  <c r="P57" i="8"/>
  <c r="D58" i="8"/>
  <c r="H58" i="8"/>
  <c r="L58" i="8"/>
  <c r="P58" i="8"/>
  <c r="D59" i="8"/>
  <c r="H59" i="8"/>
  <c r="L59" i="8"/>
  <c r="L60" i="8" s="1"/>
  <c r="P59" i="8"/>
  <c r="P60" i="8"/>
  <c r="D61" i="8"/>
  <c r="H61" i="8"/>
  <c r="L61" i="8"/>
  <c r="L65" i="8" s="1"/>
  <c r="P61" i="8"/>
  <c r="D62" i="8"/>
  <c r="H62" i="8"/>
  <c r="L62" i="8"/>
  <c r="P62" i="8"/>
  <c r="D63" i="8"/>
  <c r="H63" i="8"/>
  <c r="L63" i="8"/>
  <c r="P63" i="8"/>
  <c r="D64" i="8"/>
  <c r="H64" i="8"/>
  <c r="L64" i="8"/>
  <c r="P64" i="8"/>
  <c r="H65" i="8"/>
  <c r="D66" i="8"/>
  <c r="H66" i="8"/>
  <c r="L66" i="8"/>
  <c r="P66" i="8"/>
  <c r="D67" i="8"/>
  <c r="H67" i="8"/>
  <c r="L67" i="8"/>
  <c r="P67" i="8"/>
  <c r="D68" i="8"/>
  <c r="H68" i="8"/>
  <c r="L68" i="8"/>
  <c r="P68" i="8"/>
  <c r="D69" i="8"/>
  <c r="H69" i="8"/>
  <c r="L69" i="8"/>
  <c r="P69" i="8"/>
  <c r="L70" i="8"/>
  <c r="P70" i="8"/>
  <c r="D71" i="8"/>
  <c r="H71" i="8"/>
  <c r="L71" i="8"/>
  <c r="L75" i="8" s="1"/>
  <c r="P71" i="8"/>
  <c r="D72" i="8"/>
  <c r="H72" i="8"/>
  <c r="L72" i="8"/>
  <c r="P72" i="8"/>
  <c r="D73" i="8"/>
  <c r="H73" i="8"/>
  <c r="L73" i="8"/>
  <c r="P73" i="8"/>
  <c r="D74" i="8"/>
  <c r="H74" i="8"/>
  <c r="L74" i="8"/>
  <c r="P74" i="8"/>
  <c r="H75" i="8"/>
  <c r="P75" i="8"/>
  <c r="D76" i="8"/>
  <c r="H76" i="8"/>
  <c r="L76" i="8"/>
  <c r="P76" i="8"/>
  <c r="P80" i="8" s="1"/>
  <c r="D77" i="8"/>
  <c r="H77" i="8"/>
  <c r="L77" i="8"/>
  <c r="P77" i="8"/>
  <c r="D78" i="8"/>
  <c r="H78" i="8"/>
  <c r="L78" i="8"/>
  <c r="P78" i="8"/>
  <c r="D79" i="8"/>
  <c r="H79" i="8"/>
  <c r="L79" i="8"/>
  <c r="P79" i="8"/>
  <c r="D80" i="8"/>
  <c r="L80" i="8"/>
  <c r="B82" i="8"/>
  <c r="C82" i="8"/>
  <c r="C84" i="8" s="1"/>
  <c r="F82" i="8"/>
  <c r="G82" i="8"/>
  <c r="J82" i="8"/>
  <c r="K82" i="8"/>
  <c r="N82" i="8"/>
  <c r="N84" i="8" s="1"/>
  <c r="O82" i="8"/>
  <c r="B84" i="8"/>
  <c r="G84" i="8"/>
  <c r="J84" i="8"/>
  <c r="K84" i="8"/>
  <c r="O84" i="8"/>
  <c r="N4" i="7"/>
  <c r="F80" i="7"/>
  <c r="D80" i="7"/>
  <c r="B80" i="7"/>
  <c r="P77" i="7"/>
  <c r="H77" i="7"/>
  <c r="R77" i="7" s="1"/>
  <c r="P76" i="7"/>
  <c r="H76" i="7"/>
  <c r="R76" i="7" s="1"/>
  <c r="P75" i="7"/>
  <c r="H75" i="7"/>
  <c r="R75" i="7" s="1"/>
  <c r="P74" i="7"/>
  <c r="P78" i="7" s="1"/>
  <c r="H74" i="7"/>
  <c r="H78" i="7" s="1"/>
  <c r="N80" i="7"/>
  <c r="L80" i="7"/>
  <c r="J80" i="7"/>
  <c r="G80" i="7"/>
  <c r="E80" i="7"/>
  <c r="C80" i="7"/>
  <c r="P72" i="7"/>
  <c r="H72" i="7"/>
  <c r="P71" i="7"/>
  <c r="H71" i="7"/>
  <c r="P70" i="7"/>
  <c r="H70" i="7"/>
  <c r="P69" i="7"/>
  <c r="P73" i="7" s="1"/>
  <c r="H69" i="7"/>
  <c r="H73" i="7" s="1"/>
  <c r="P67" i="7"/>
  <c r="H67" i="7"/>
  <c r="P66" i="7"/>
  <c r="H66" i="7"/>
  <c r="P65" i="7"/>
  <c r="H65" i="7"/>
  <c r="P64" i="7"/>
  <c r="P68" i="7" s="1"/>
  <c r="H64" i="7"/>
  <c r="H68" i="7" s="1"/>
  <c r="P62" i="7"/>
  <c r="H62" i="7"/>
  <c r="P61" i="7"/>
  <c r="H61" i="7"/>
  <c r="P60" i="7"/>
  <c r="H60" i="7"/>
  <c r="P59" i="7"/>
  <c r="P63" i="7" s="1"/>
  <c r="H59" i="7"/>
  <c r="H63" i="7" s="1"/>
  <c r="P57" i="7"/>
  <c r="H57" i="7"/>
  <c r="P56" i="7"/>
  <c r="H56" i="7"/>
  <c r="P55" i="7"/>
  <c r="H55" i="7"/>
  <c r="P54" i="7"/>
  <c r="P58" i="7" s="1"/>
  <c r="H54" i="7"/>
  <c r="H58" i="7" s="1"/>
  <c r="P52" i="7"/>
  <c r="H52" i="7"/>
  <c r="P51" i="7"/>
  <c r="H51" i="7"/>
  <c r="P50" i="7"/>
  <c r="H50" i="7"/>
  <c r="P49" i="7"/>
  <c r="P53" i="7" s="1"/>
  <c r="H49" i="7"/>
  <c r="H53" i="7" s="1"/>
  <c r="O47" i="7"/>
  <c r="N47" i="7"/>
  <c r="M47" i="7"/>
  <c r="L47" i="7"/>
  <c r="K47" i="7"/>
  <c r="J47" i="7"/>
  <c r="L46" i="7"/>
  <c r="G47" i="7"/>
  <c r="F47" i="7"/>
  <c r="E47" i="7"/>
  <c r="D47" i="7"/>
  <c r="C47" i="7"/>
  <c r="B47" i="7"/>
  <c r="D46" i="7"/>
  <c r="P40" i="7"/>
  <c r="H40" i="7"/>
  <c r="R40" i="7" s="1"/>
  <c r="P39" i="7"/>
  <c r="H39" i="7"/>
  <c r="R39" i="7" s="1"/>
  <c r="P38" i="7"/>
  <c r="H38" i="7"/>
  <c r="R38" i="7" s="1"/>
  <c r="P37" i="7"/>
  <c r="P41" i="7" s="1"/>
  <c r="H37" i="7"/>
  <c r="P35" i="7"/>
  <c r="H35" i="7"/>
  <c r="R35" i="7" s="1"/>
  <c r="P34" i="7"/>
  <c r="H34" i="7"/>
  <c r="P33" i="7"/>
  <c r="H33" i="7"/>
  <c r="R33" i="7" s="1"/>
  <c r="P32" i="7"/>
  <c r="H32" i="7"/>
  <c r="H36" i="7" s="1"/>
  <c r="P30" i="7"/>
  <c r="H30" i="7"/>
  <c r="R30" i="7" s="1"/>
  <c r="P29" i="7"/>
  <c r="H29" i="7"/>
  <c r="R29" i="7" s="1"/>
  <c r="P28" i="7"/>
  <c r="H28" i="7"/>
  <c r="P27" i="7"/>
  <c r="H27" i="7"/>
  <c r="H31" i="7" s="1"/>
  <c r="P25" i="7"/>
  <c r="H25" i="7"/>
  <c r="R25" i="7" s="1"/>
  <c r="P24" i="7"/>
  <c r="H24" i="7"/>
  <c r="R24" i="7" s="1"/>
  <c r="P23" i="7"/>
  <c r="H23" i="7"/>
  <c r="R23" i="7" s="1"/>
  <c r="P22" i="7"/>
  <c r="P26" i="7" s="1"/>
  <c r="H22" i="7"/>
  <c r="P20" i="7"/>
  <c r="H20" i="7"/>
  <c r="R20" i="7" s="1"/>
  <c r="P19" i="7"/>
  <c r="H19" i="7"/>
  <c r="R19" i="7" s="1"/>
  <c r="P18" i="7"/>
  <c r="H18" i="7"/>
  <c r="R18" i="7" s="1"/>
  <c r="P17" i="7"/>
  <c r="P21" i="7" s="1"/>
  <c r="H17" i="7"/>
  <c r="H21" i="7" s="1"/>
  <c r="P15" i="7"/>
  <c r="H15" i="7"/>
  <c r="R15" i="7" s="1"/>
  <c r="P14" i="7"/>
  <c r="H14" i="7"/>
  <c r="R14" i="7" s="1"/>
  <c r="P13" i="7"/>
  <c r="H13" i="7"/>
  <c r="R13" i="7" s="1"/>
  <c r="P12" i="7"/>
  <c r="P16" i="7" s="1"/>
  <c r="H12" i="7"/>
  <c r="H16" i="7" s="1"/>
  <c r="O10" i="7"/>
  <c r="N10" i="7"/>
  <c r="M10" i="7"/>
  <c r="L10" i="7"/>
  <c r="K10" i="7"/>
  <c r="J10" i="7"/>
  <c r="N5" i="7"/>
  <c r="N3" i="7"/>
  <c r="N2" i="7"/>
  <c r="I5" i="6"/>
  <c r="C5" i="6"/>
  <c r="I4" i="6"/>
  <c r="C4" i="6"/>
  <c r="L55" i="8" l="1"/>
  <c r="L82" i="8" s="1"/>
  <c r="D75" i="8"/>
  <c r="D70" i="8"/>
  <c r="D65" i="8"/>
  <c r="D60" i="8"/>
  <c r="D82" i="8"/>
  <c r="L37" i="8"/>
  <c r="L44" i="8"/>
  <c r="D17" i="8"/>
  <c r="D42" i="8"/>
  <c r="D22" i="8"/>
  <c r="D37" i="8"/>
  <c r="P65" i="8"/>
  <c r="P82" i="8" s="1"/>
  <c r="P44" i="8"/>
  <c r="H80" i="8"/>
  <c r="H60" i="8"/>
  <c r="H70" i="8"/>
  <c r="H82" i="8" s="1"/>
  <c r="F84" i="8"/>
  <c r="H27" i="8"/>
  <c r="H17" i="8"/>
  <c r="H44" i="8" s="1"/>
  <c r="H42" i="8"/>
  <c r="H32" i="8"/>
  <c r="H22" i="8"/>
  <c r="J43" i="7"/>
  <c r="J82" i="7" s="1"/>
  <c r="L43" i="7"/>
  <c r="L82" i="7" s="1"/>
  <c r="N43" i="7"/>
  <c r="N82" i="7" s="1"/>
  <c r="K80" i="7"/>
  <c r="M80" i="7"/>
  <c r="O80" i="7"/>
  <c r="P36" i="7"/>
  <c r="R50" i="7"/>
  <c r="R51" i="7"/>
  <c r="R52" i="7"/>
  <c r="R55" i="7"/>
  <c r="R56" i="7"/>
  <c r="R57" i="7"/>
  <c r="R60" i="7"/>
  <c r="R61" i="7"/>
  <c r="R62" i="7"/>
  <c r="R65" i="7"/>
  <c r="R66" i="7"/>
  <c r="R67" i="7"/>
  <c r="R70" i="7"/>
  <c r="R71" i="7"/>
  <c r="R72" i="7"/>
  <c r="R12" i="7"/>
  <c r="R16" i="7" s="1"/>
  <c r="R27" i="7"/>
  <c r="K43" i="7"/>
  <c r="M43" i="7"/>
  <c r="M82" i="7" s="1"/>
  <c r="O43" i="7"/>
  <c r="H80" i="7"/>
  <c r="R17" i="7"/>
  <c r="R21" i="7" s="1"/>
  <c r="H26" i="7"/>
  <c r="P31" i="7"/>
  <c r="P43" i="7" s="1"/>
  <c r="R28" i="7"/>
  <c r="R34" i="7"/>
  <c r="C43" i="7"/>
  <c r="C82" i="7" s="1"/>
  <c r="E43" i="7"/>
  <c r="E82" i="7" s="1"/>
  <c r="G43" i="7"/>
  <c r="G82" i="7" s="1"/>
  <c r="H41" i="7"/>
  <c r="R37" i="7"/>
  <c r="R41" i="7" s="1"/>
  <c r="B43" i="7"/>
  <c r="B82" i="7" s="1"/>
  <c r="D43" i="7"/>
  <c r="D82" i="7" s="1"/>
  <c r="F43" i="7"/>
  <c r="F82" i="7" s="1"/>
  <c r="P80" i="7"/>
  <c r="R54" i="7"/>
  <c r="R64" i="7"/>
  <c r="R68" i="7" s="1"/>
  <c r="R74" i="7"/>
  <c r="R78" i="7" s="1"/>
  <c r="R22" i="7"/>
  <c r="R26" i="7" s="1"/>
  <c r="R32" i="7"/>
  <c r="R36" i="7" s="1"/>
  <c r="R49" i="7"/>
  <c r="R53" i="7" s="1"/>
  <c r="R59" i="7"/>
  <c r="R69" i="7"/>
  <c r="R73" i="7" s="1"/>
  <c r="L84" i="8" l="1"/>
  <c r="D44" i="8"/>
  <c r="D84" i="8" s="1"/>
  <c r="P84" i="8"/>
  <c r="H84" i="8"/>
  <c r="R63" i="7"/>
  <c r="R58" i="7"/>
  <c r="P82" i="7"/>
  <c r="O82" i="7"/>
  <c r="K82" i="7"/>
  <c r="H43" i="7"/>
  <c r="H82" i="7" s="1"/>
  <c r="R31" i="7"/>
  <c r="R43" i="7" s="1"/>
  <c r="R80" i="7"/>
</calcChain>
</file>

<file path=xl/sharedStrings.xml><?xml version="1.0" encoding="utf-8"?>
<sst xmlns="http://schemas.openxmlformats.org/spreadsheetml/2006/main" count="145" uniqueCount="89">
  <si>
    <t>Client:</t>
  </si>
  <si>
    <t>Project:</t>
  </si>
  <si>
    <t>Site:</t>
  </si>
  <si>
    <t>Survey Date:</t>
  </si>
  <si>
    <t>Survey Period:</t>
  </si>
  <si>
    <t>Method:</t>
  </si>
  <si>
    <t>AM Weather:</t>
  </si>
  <si>
    <t>PM Weather:</t>
  </si>
  <si>
    <t>Incidents / Observations:</t>
  </si>
  <si>
    <t>Client :</t>
  </si>
  <si>
    <t>Site plan for :</t>
  </si>
  <si>
    <t>Project :</t>
  </si>
  <si>
    <t>Date :</t>
  </si>
  <si>
    <t>Date:</t>
  </si>
  <si>
    <t>Destination :</t>
  </si>
  <si>
    <t>CAR</t>
  </si>
  <si>
    <t>LGV</t>
  </si>
  <si>
    <t>OGV1</t>
  </si>
  <si>
    <t>OGV2</t>
  </si>
  <si>
    <t>PSV</t>
  </si>
  <si>
    <t>MC</t>
  </si>
  <si>
    <t>Total</t>
  </si>
  <si>
    <t>Arm Totals</t>
  </si>
  <si>
    <t>1 Hr</t>
  </si>
  <si>
    <t>6 Hrs</t>
  </si>
  <si>
    <t>Bristol City Council</t>
  </si>
  <si>
    <t>WAL-2270 Church Road, Bristol</t>
  </si>
  <si>
    <t>Site 6 - Ashton Drive (between Risdale Rd &amp; Silbury Rd)</t>
  </si>
  <si>
    <t>Tuesday 29th September 2015</t>
  </si>
  <si>
    <t>07:00-19:00</t>
  </si>
  <si>
    <t>Link Count</t>
  </si>
  <si>
    <t>18:45</t>
  </si>
  <si>
    <t>18:30</t>
  </si>
  <si>
    <t>18:15</t>
  </si>
  <si>
    <t>18:00</t>
  </si>
  <si>
    <t>17:45</t>
  </si>
  <si>
    <t>17:30</t>
  </si>
  <si>
    <t>17:15</t>
  </si>
  <si>
    <t>17:00</t>
  </si>
  <si>
    <t>16:45</t>
  </si>
  <si>
    <t>16:30</t>
  </si>
  <si>
    <t>16:15</t>
  </si>
  <si>
    <t>16:00</t>
  </si>
  <si>
    <t>15:45</t>
  </si>
  <si>
    <t>15:30</t>
  </si>
  <si>
    <t>15:15</t>
  </si>
  <si>
    <t>15:00</t>
  </si>
  <si>
    <t>14:45</t>
  </si>
  <si>
    <t>14:30</t>
  </si>
  <si>
    <t>14:15</t>
  </si>
  <si>
    <t>14:00</t>
  </si>
  <si>
    <t>13:45</t>
  </si>
  <si>
    <t>13:30</t>
  </si>
  <si>
    <t>13:15</t>
  </si>
  <si>
    <t>13:00</t>
  </si>
  <si>
    <t>Pedestrian &amp; Cycle Movements</t>
  </si>
  <si>
    <t>12:45</t>
  </si>
  <si>
    <t>12:30</t>
  </si>
  <si>
    <t>12:15</t>
  </si>
  <si>
    <t>12:00</t>
  </si>
  <si>
    <t>11:45</t>
  </si>
  <si>
    <t>11:30</t>
  </si>
  <si>
    <t>11:15</t>
  </si>
  <si>
    <t>11:00</t>
  </si>
  <si>
    <t>10:45</t>
  </si>
  <si>
    <t>10:30</t>
  </si>
  <si>
    <t>10:15</t>
  </si>
  <si>
    <t>10:00</t>
  </si>
  <si>
    <t>09:45</t>
  </si>
  <si>
    <t>09:30</t>
  </si>
  <si>
    <t>09:15</t>
  </si>
  <si>
    <t>09:00</t>
  </si>
  <si>
    <t>08:45</t>
  </si>
  <si>
    <t>08:30</t>
  </si>
  <si>
    <t>08:15</t>
  </si>
  <si>
    <t>08:00</t>
  </si>
  <si>
    <t>07:45</t>
  </si>
  <si>
    <t>07:30</t>
  </si>
  <si>
    <t>07:15</t>
  </si>
  <si>
    <t>07:00</t>
  </si>
  <si>
    <t>Cycles</t>
  </si>
  <si>
    <t>Peds</t>
  </si>
  <si>
    <t>Using the Road</t>
  </si>
  <si>
    <t>Using the Footpath</t>
  </si>
  <si>
    <t>Site :</t>
  </si>
  <si>
    <t>Eastbound</t>
  </si>
  <si>
    <t>Westbound</t>
  </si>
  <si>
    <t>Sunny / Cold</t>
  </si>
  <si>
    <t>Linkcount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</si>
</sst>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>
    <font>
      <sz val="10"/>
      <name val="Arial"/>
    </font>
    <font>
      <sz val="10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 MT"/>
    </font>
    <font>
      <b/>
      <sz val="12"/>
      <color theme="1"/>
      <name val="Arial MT"/>
    </font>
    <font>
      <b/>
      <sz val="24"/>
      <color theme="1"/>
      <name val="Arial MT"/>
    </font>
    <font>
      <sz val="8"/>
      <color theme="1"/>
      <name val="Arial MT"/>
    </font>
    <font>
      <b/>
      <u/>
      <sz val="12"/>
      <color theme="1"/>
      <name val="Arial MT"/>
    </font>
    <font>
      <sz val="11"/>
      <color theme="1"/>
      <name val="Arial MT"/>
    </font>
    <font>
      <b/>
      <sz val="11"/>
      <color theme="1"/>
      <name val="Arial MT"/>
    </font>
    <font>
      <sz val="10"/>
      <color theme="1"/>
      <name val="Arial MT"/>
    </font>
    <font>
      <sz val="6"/>
      <color theme="1"/>
      <name val="Arial MT"/>
    </font>
    <font>
      <sz val="6"/>
      <color theme="1"/>
      <name val="Arial"/>
      <family val="2"/>
    </font>
    <font>
      <sz val="8"/>
      <color theme="1"/>
      <name val="Arial"/>
      <family val="2"/>
    </font>
    <font>
      <b/>
      <u/>
      <sz val="12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141B4D"/>
        <bgColor indexed="64"/>
      </patternFill>
    </fill>
    <fill>
      <patternFill patternType="solid">
        <fgColor rgb="FF63666A"/>
        <bgColor indexed="64"/>
      </patternFill>
    </fill>
    <fill>
      <patternFill patternType="solid">
        <fgColor indexed="9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1" fillId="0" borderId="0"/>
  </cellStyleXfs>
  <cellXfs count="135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2" fillId="2" borderId="0" xfId="0" applyFont="1" applyFill="1" applyAlignment="1">
      <alignment vertical="center"/>
    </xf>
    <xf numFmtId="0" fontId="2" fillId="2" borderId="0" xfId="0" applyFont="1" applyFill="1" applyAlignment="1">
      <alignment horizontal="left" vertical="center"/>
    </xf>
    <xf numFmtId="0" fontId="2" fillId="2" borderId="4" xfId="0" applyFont="1" applyFill="1" applyBorder="1" applyAlignment="1">
      <alignment vertical="center"/>
    </xf>
    <xf numFmtId="0" fontId="2" fillId="2" borderId="5" xfId="0" applyFont="1" applyFill="1" applyBorder="1" applyAlignment="1">
      <alignment vertical="center"/>
    </xf>
    <xf numFmtId="0" fontId="4" fillId="2" borderId="2" xfId="0" applyFont="1" applyFill="1" applyBorder="1" applyAlignment="1">
      <alignment vertical="center"/>
    </xf>
    <xf numFmtId="0" fontId="3" fillId="2" borderId="10" xfId="0" applyFont="1" applyFill="1" applyBorder="1" applyAlignment="1">
      <alignment vertical="center"/>
    </xf>
    <xf numFmtId="0" fontId="3" fillId="2" borderId="3" xfId="0" applyFont="1" applyFill="1" applyBorder="1" applyAlignment="1">
      <alignment vertical="center"/>
    </xf>
    <xf numFmtId="14" fontId="3" fillId="2" borderId="10" xfId="0" applyNumberFormat="1" applyFont="1" applyFill="1" applyBorder="1" applyAlignment="1">
      <alignment vertical="center"/>
    </xf>
    <xf numFmtId="0" fontId="3" fillId="2" borderId="4" xfId="0" applyFont="1" applyFill="1" applyBorder="1"/>
    <xf numFmtId="0" fontId="3" fillId="2" borderId="11" xfId="0" applyFont="1" applyFill="1" applyBorder="1"/>
    <xf numFmtId="0" fontId="3" fillId="2" borderId="5" xfId="0" applyFont="1" applyFill="1" applyBorder="1"/>
    <xf numFmtId="0" fontId="3" fillId="2" borderId="6" xfId="0" applyFont="1" applyFill="1" applyBorder="1"/>
    <xf numFmtId="0" fontId="3" fillId="2" borderId="0" xfId="0" applyFont="1" applyFill="1" applyBorder="1"/>
    <xf numFmtId="0" fontId="3" fillId="2" borderId="7" xfId="0" applyFont="1" applyFill="1" applyBorder="1"/>
    <xf numFmtId="0" fontId="3" fillId="2" borderId="0" xfId="0" applyFont="1" applyFill="1" applyBorder="1" applyAlignment="1">
      <alignment vertical="center"/>
    </xf>
    <xf numFmtId="0" fontId="3" fillId="2" borderId="7" xfId="0" applyFont="1" applyFill="1" applyBorder="1" applyAlignment="1">
      <alignment vertical="center"/>
    </xf>
    <xf numFmtId="0" fontId="3" fillId="2" borderId="6" xfId="0" applyFont="1" applyFill="1" applyBorder="1" applyAlignment="1">
      <alignment vertical="center"/>
    </xf>
    <xf numFmtId="0" fontId="3" fillId="2" borderId="8" xfId="0" applyFont="1" applyFill="1" applyBorder="1" applyAlignment="1">
      <alignment vertical="center"/>
    </xf>
    <xf numFmtId="0" fontId="3" fillId="2" borderId="12" xfId="0" applyFont="1" applyFill="1" applyBorder="1" applyAlignment="1">
      <alignment vertical="center"/>
    </xf>
    <xf numFmtId="0" fontId="3" fillId="2" borderId="9" xfId="0" applyFont="1" applyFill="1" applyBorder="1" applyAlignment="1">
      <alignment vertical="center"/>
    </xf>
    <xf numFmtId="0" fontId="3" fillId="2" borderId="13" xfId="0" applyFont="1" applyFill="1" applyBorder="1" applyAlignment="1">
      <alignment vertical="center"/>
    </xf>
    <xf numFmtId="0" fontId="6" fillId="2" borderId="4" xfId="0" applyFont="1" applyFill="1" applyBorder="1"/>
    <xf numFmtId="0" fontId="6" fillId="2" borderId="11" xfId="0" applyFont="1" applyFill="1" applyBorder="1"/>
    <xf numFmtId="0" fontId="6" fillId="2" borderId="5" xfId="0" applyFont="1" applyFill="1" applyBorder="1"/>
    <xf numFmtId="0" fontId="6" fillId="2" borderId="0" xfId="0" applyFont="1" applyFill="1"/>
    <xf numFmtId="0" fontId="6" fillId="2" borderId="6" xfId="0" applyFont="1" applyFill="1" applyBorder="1"/>
    <xf numFmtId="0" fontId="6" fillId="2" borderId="0" xfId="0" applyFont="1" applyFill="1" applyBorder="1"/>
    <xf numFmtId="0" fontId="7" fillId="2" borderId="0" xfId="0" applyFont="1" applyFill="1" applyBorder="1"/>
    <xf numFmtId="0" fontId="8" fillId="2" borderId="0" xfId="0" applyFont="1" applyFill="1" applyBorder="1"/>
    <xf numFmtId="0" fontId="8" fillId="2" borderId="7" xfId="0" applyFont="1" applyFill="1" applyBorder="1"/>
    <xf numFmtId="0" fontId="8" fillId="2" borderId="0" xfId="0" applyFont="1" applyFill="1"/>
    <xf numFmtId="0" fontId="7" fillId="2" borderId="0" xfId="0" applyFont="1" applyFill="1"/>
    <xf numFmtId="14" fontId="8" fillId="2" borderId="0" xfId="0" applyNumberFormat="1" applyFont="1" applyFill="1" applyBorder="1" applyAlignment="1"/>
    <xf numFmtId="0" fontId="8" fillId="2" borderId="0" xfId="0" applyFont="1" applyFill="1" applyBorder="1" applyAlignment="1"/>
    <xf numFmtId="0" fontId="6" fillId="2" borderId="8" xfId="0" applyFont="1" applyFill="1" applyBorder="1"/>
    <xf numFmtId="0" fontId="6" fillId="2" borderId="12" xfId="0" applyFont="1" applyFill="1" applyBorder="1"/>
    <xf numFmtId="0" fontId="6" fillId="2" borderId="9" xfId="0" applyFont="1" applyFill="1" applyBorder="1"/>
    <xf numFmtId="0" fontId="6" fillId="2" borderId="2" xfId="0" applyFont="1" applyFill="1" applyBorder="1"/>
    <xf numFmtId="0" fontId="6" fillId="2" borderId="10" xfId="0" applyFont="1" applyFill="1" applyBorder="1"/>
    <xf numFmtId="0" fontId="6" fillId="2" borderId="3" xfId="0" applyFont="1" applyFill="1" applyBorder="1"/>
    <xf numFmtId="0" fontId="6" fillId="2" borderId="1" xfId="0" applyFont="1" applyFill="1" applyBorder="1"/>
    <xf numFmtId="0" fontId="5" fillId="2" borderId="0" xfId="0" applyFont="1" applyFill="1"/>
    <xf numFmtId="0" fontId="5" fillId="2" borderId="2" xfId="0" applyFont="1" applyFill="1" applyBorder="1" applyAlignment="1">
      <alignment horizontal="right"/>
    </xf>
    <xf numFmtId="0" fontId="5" fillId="2" borderId="10" xfId="0" applyFont="1" applyFill="1" applyBorder="1" applyAlignment="1">
      <alignment horizontal="right"/>
    </xf>
    <xf numFmtId="0" fontId="5" fillId="2" borderId="3" xfId="0" applyFont="1" applyFill="1" applyBorder="1" applyAlignment="1">
      <alignment horizontal="right"/>
    </xf>
    <xf numFmtId="0" fontId="5" fillId="2" borderId="1" xfId="0" applyFont="1" applyFill="1" applyBorder="1" applyAlignment="1">
      <alignment horizontal="center"/>
    </xf>
    <xf numFmtId="20" fontId="6" fillId="2" borderId="14" xfId="0" applyNumberFormat="1" applyFont="1" applyFill="1" applyBorder="1" applyAlignment="1">
      <alignment horizontal="left"/>
    </xf>
    <xf numFmtId="0" fontId="6" fillId="2" borderId="14" xfId="0" applyFont="1" applyFill="1" applyBorder="1"/>
    <xf numFmtId="20" fontId="6" fillId="2" borderId="16" xfId="0" applyNumberFormat="1" applyFont="1" applyFill="1" applyBorder="1" applyAlignment="1">
      <alignment horizontal="left"/>
    </xf>
    <xf numFmtId="0" fontId="6" fillId="2" borderId="7" xfId="0" applyFont="1" applyFill="1" applyBorder="1"/>
    <xf numFmtId="0" fontId="6" fillId="2" borderId="16" xfId="0" applyFont="1" applyFill="1" applyBorder="1"/>
    <xf numFmtId="20" fontId="6" fillId="2" borderId="15" xfId="0" applyNumberFormat="1" applyFont="1" applyFill="1" applyBorder="1" applyAlignment="1">
      <alignment horizontal="left"/>
    </xf>
    <xf numFmtId="0" fontId="6" fillId="2" borderId="15" xfId="0" applyFont="1" applyFill="1" applyBorder="1"/>
    <xf numFmtId="0" fontId="9" fillId="5" borderId="4" xfId="1" applyNumberFormat="1" applyFont="1" applyFill="1" applyBorder="1" applyAlignment="1" applyProtection="1">
      <alignment horizontal="left"/>
    </xf>
    <xf numFmtId="0" fontId="9" fillId="0" borderId="32" xfId="1" applyNumberFormat="1" applyFont="1" applyFill="1" applyBorder="1" applyAlignment="1" applyProtection="1"/>
    <xf numFmtId="0" fontId="5" fillId="0" borderId="32" xfId="1" applyFont="1" applyBorder="1"/>
    <xf numFmtId="0" fontId="10" fillId="0" borderId="32" xfId="1" applyNumberFormat="1" applyFont="1" applyFill="1" applyBorder="1" applyAlignment="1" applyProtection="1"/>
    <xf numFmtId="0" fontId="11" fillId="0" borderId="32" xfId="1" applyNumberFormat="1" applyFont="1" applyFill="1" applyBorder="1" applyAlignment="1" applyProtection="1"/>
    <xf numFmtId="0" fontId="5" fillId="0" borderId="31" xfId="1" applyFont="1" applyBorder="1"/>
    <xf numFmtId="0" fontId="5" fillId="0" borderId="0" xfId="1" applyFont="1" applyBorder="1"/>
    <xf numFmtId="0" fontId="9" fillId="0" borderId="6" xfId="1" applyNumberFormat="1" applyFont="1" applyFill="1" applyBorder="1" applyAlignment="1" applyProtection="1">
      <alignment horizontal="left"/>
    </xf>
    <xf numFmtId="0" fontId="9" fillId="0" borderId="0" xfId="1" applyNumberFormat="1" applyFont="1" applyFill="1" applyBorder="1" applyAlignment="1" applyProtection="1"/>
    <xf numFmtId="0" fontId="10" fillId="0" borderId="0" xfId="1" applyNumberFormat="1" applyFont="1" applyFill="1" applyBorder="1" applyAlignment="1" applyProtection="1"/>
    <xf numFmtId="0" fontId="5" fillId="0" borderId="7" xfId="1" applyFont="1" applyBorder="1"/>
    <xf numFmtId="0" fontId="10" fillId="0" borderId="6" xfId="1" applyNumberFormat="1" applyFont="1" applyFill="1" applyBorder="1" applyAlignment="1" applyProtection="1">
      <alignment horizontal="left"/>
    </xf>
    <xf numFmtId="20" fontId="10" fillId="0" borderId="0" xfId="1" applyNumberFormat="1" applyFont="1" applyFill="1" applyBorder="1" applyAlignment="1" applyProtection="1"/>
    <xf numFmtId="0" fontId="12" fillId="0" borderId="0" xfId="1" applyNumberFormat="1" applyFont="1" applyFill="1" applyBorder="1" applyAlignment="1" applyProtection="1"/>
    <xf numFmtId="0" fontId="9" fillId="0" borderId="7" xfId="1" applyNumberFormat="1" applyFont="1" applyFill="1" applyBorder="1" applyAlignment="1" applyProtection="1"/>
    <xf numFmtId="0" fontId="10" fillId="0" borderId="8" xfId="1" applyNumberFormat="1" applyFont="1" applyFill="1" applyBorder="1" applyAlignment="1" applyProtection="1">
      <alignment horizontal="left"/>
    </xf>
    <xf numFmtId="0" fontId="9" fillId="0" borderId="30" xfId="1" applyNumberFormat="1" applyFont="1" applyFill="1" applyBorder="1" applyAlignment="1" applyProtection="1"/>
    <xf numFmtId="15" fontId="9" fillId="0" borderId="30" xfId="1" applyNumberFormat="1" applyFont="1" applyFill="1" applyBorder="1" applyAlignment="1" applyProtection="1"/>
    <xf numFmtId="0" fontId="5" fillId="0" borderId="30" xfId="1" applyFont="1" applyBorder="1"/>
    <xf numFmtId="0" fontId="12" fillId="0" borderId="30" xfId="1" applyNumberFormat="1" applyFont="1" applyFill="1" applyBorder="1" applyAlignment="1" applyProtection="1"/>
    <xf numFmtId="0" fontId="5" fillId="0" borderId="29" xfId="1" applyFont="1" applyBorder="1"/>
    <xf numFmtId="0" fontId="10" fillId="0" borderId="0" xfId="1" applyNumberFormat="1" applyFont="1" applyFill="1" applyBorder="1" applyAlignment="1" applyProtection="1">
      <alignment horizontal="left"/>
    </xf>
    <xf numFmtId="0" fontId="5" fillId="0" borderId="0" xfId="1" applyFont="1"/>
    <xf numFmtId="0" fontId="13" fillId="0" borderId="0" xfId="1" applyNumberFormat="1" applyFont="1" applyFill="1" applyBorder="1" applyAlignment="1" applyProtection="1">
      <alignment horizontal="left"/>
    </xf>
    <xf numFmtId="0" fontId="9" fillId="0" borderId="0" xfId="1" applyNumberFormat="1" applyFont="1" applyFill="1" applyBorder="1" applyAlignment="1" applyProtection="1">
      <alignment horizontal="left"/>
    </xf>
    <xf numFmtId="0" fontId="14" fillId="0" borderId="0" xfId="1" applyNumberFormat="1" applyFont="1" applyFill="1" applyBorder="1" applyAlignment="1" applyProtection="1">
      <alignment horizontal="left"/>
    </xf>
    <xf numFmtId="0" fontId="15" fillId="0" borderId="0" xfId="1" applyNumberFormat="1" applyFont="1" applyFill="1" applyBorder="1" applyAlignment="1" applyProtection="1"/>
    <xf numFmtId="0" fontId="14" fillId="0" borderId="0" xfId="1" applyNumberFormat="1" applyFont="1" applyFill="1" applyBorder="1" applyAlignment="1" applyProtection="1"/>
    <xf numFmtId="0" fontId="6" fillId="0" borderId="0" xfId="1" applyFont="1"/>
    <xf numFmtId="0" fontId="16" fillId="0" borderId="17" xfId="1" applyNumberFormat="1" applyFont="1" applyFill="1" applyBorder="1" applyAlignment="1" applyProtection="1">
      <alignment horizontal="right"/>
    </xf>
    <xf numFmtId="0" fontId="16" fillId="0" borderId="26" xfId="1" applyNumberFormat="1" applyFont="1" applyFill="1" applyBorder="1" applyAlignment="1" applyProtection="1">
      <alignment horizontal="right"/>
    </xf>
    <xf numFmtId="0" fontId="16" fillId="0" borderId="18" xfId="1" applyNumberFormat="1" applyFont="1" applyFill="1" applyBorder="1" applyAlignment="1" applyProtection="1">
      <alignment horizontal="center"/>
    </xf>
    <xf numFmtId="0" fontId="16" fillId="0" borderId="0" xfId="1" applyNumberFormat="1" applyFont="1" applyFill="1" applyBorder="1" applyAlignment="1" applyProtection="1"/>
    <xf numFmtId="0" fontId="16" fillId="0" borderId="2" xfId="1" applyNumberFormat="1" applyFont="1" applyFill="1" applyBorder="1" applyAlignment="1" applyProtection="1">
      <alignment horizontal="right"/>
    </xf>
    <xf numFmtId="0" fontId="16" fillId="0" borderId="3" xfId="1" applyNumberFormat="1" applyFont="1" applyFill="1" applyBorder="1" applyAlignment="1" applyProtection="1">
      <alignment horizontal="right"/>
    </xf>
    <xf numFmtId="0" fontId="16" fillId="0" borderId="22" xfId="1" applyNumberFormat="1" applyFont="1" applyFill="1" applyBorder="1" applyAlignment="1" applyProtection="1">
      <alignment horizontal="center"/>
    </xf>
    <xf numFmtId="0" fontId="14" fillId="0" borderId="14" xfId="1" quotePrefix="1" applyFont="1" applyBorder="1" applyAlignment="1">
      <alignment horizontal="left"/>
    </xf>
    <xf numFmtId="0" fontId="14" fillId="0" borderId="4" xfId="1" applyNumberFormat="1" applyFont="1" applyFill="1" applyBorder="1" applyAlignment="1" applyProtection="1"/>
    <xf numFmtId="0" fontId="14" fillId="0" borderId="5" xfId="1" applyNumberFormat="1" applyFont="1" applyFill="1" applyBorder="1" applyAlignment="1" applyProtection="1"/>
    <xf numFmtId="0" fontId="14" fillId="0" borderId="11" xfId="1" applyNumberFormat="1" applyFont="1" applyFill="1" applyBorder="1" applyAlignment="1" applyProtection="1"/>
    <xf numFmtId="0" fontId="14" fillId="0" borderId="14" xfId="1" applyNumberFormat="1" applyFont="1" applyFill="1" applyBorder="1" applyAlignment="1" applyProtection="1"/>
    <xf numFmtId="0" fontId="14" fillId="0" borderId="16" xfId="1" quotePrefix="1" applyFont="1" applyBorder="1" applyAlignment="1">
      <alignment horizontal="left"/>
    </xf>
    <xf numFmtId="0" fontId="14" fillId="0" borderId="6" xfId="1" applyNumberFormat="1" applyFont="1" applyFill="1" applyBorder="1" applyAlignment="1" applyProtection="1"/>
    <xf numFmtId="0" fontId="14" fillId="0" borderId="7" xfId="1" applyNumberFormat="1" applyFont="1" applyFill="1" applyBorder="1" applyAlignment="1" applyProtection="1"/>
    <xf numFmtId="0" fontId="14" fillId="0" borderId="16" xfId="1" applyNumberFormat="1" applyFont="1" applyFill="1" applyBorder="1" applyAlignment="1" applyProtection="1"/>
    <xf numFmtId="0" fontId="14" fillId="0" borderId="15" xfId="1" applyNumberFormat="1" applyFont="1" applyFill="1" applyBorder="1" applyAlignment="1" applyProtection="1"/>
    <xf numFmtId="0" fontId="14" fillId="0" borderId="1" xfId="1" applyNumberFormat="1" applyFont="1" applyFill="1" applyBorder="1" applyAlignment="1" applyProtection="1">
      <alignment horizontal="left"/>
    </xf>
    <xf numFmtId="0" fontId="14" fillId="0" borderId="2" xfId="1" applyNumberFormat="1" applyFont="1" applyFill="1" applyBorder="1" applyAlignment="1" applyProtection="1"/>
    <xf numFmtId="0" fontId="14" fillId="0" borderId="3" xfId="1" applyNumberFormat="1" applyFont="1" applyFill="1" applyBorder="1" applyAlignment="1" applyProtection="1"/>
    <xf numFmtId="0" fontId="14" fillId="0" borderId="9" xfId="1" applyNumberFormat="1" applyFont="1" applyFill="1" applyBorder="1" applyAlignment="1" applyProtection="1"/>
    <xf numFmtId="0" fontId="17" fillId="0" borderId="0" xfId="1" applyNumberFormat="1" applyFont="1" applyFill="1" applyBorder="1" applyAlignment="1" applyProtection="1">
      <alignment horizontal="left"/>
    </xf>
    <xf numFmtId="0" fontId="17" fillId="0" borderId="0" xfId="1" applyNumberFormat="1" applyFont="1" applyFill="1" applyBorder="1" applyAlignment="1" applyProtection="1"/>
    <xf numFmtId="0" fontId="17" fillId="0" borderId="0" xfId="1" applyNumberFormat="1" applyFont="1" applyFill="1" applyBorder="1" applyAlignment="1" applyProtection="1">
      <alignment horizontal="right"/>
    </xf>
    <xf numFmtId="0" fontId="18" fillId="0" borderId="0" xfId="1" applyFont="1"/>
    <xf numFmtId="0" fontId="14" fillId="0" borderId="1" xfId="1" applyNumberFormat="1" applyFont="1" applyFill="1" applyBorder="1" applyAlignment="1" applyProtection="1"/>
    <xf numFmtId="0" fontId="14" fillId="0" borderId="10" xfId="1" applyNumberFormat="1" applyFont="1" applyFill="1" applyBorder="1" applyAlignment="1" applyProtection="1"/>
    <xf numFmtId="0" fontId="19" fillId="0" borderId="0" xfId="1" applyFont="1"/>
    <xf numFmtId="0" fontId="14" fillId="0" borderId="20" xfId="1" quotePrefix="1" applyFont="1" applyBorder="1" applyAlignment="1">
      <alignment horizontal="left"/>
    </xf>
    <xf numFmtId="0" fontId="14" fillId="0" borderId="19" xfId="1" quotePrefix="1" applyFont="1" applyBorder="1" applyAlignment="1">
      <alignment horizontal="left"/>
    </xf>
    <xf numFmtId="0" fontId="14" fillId="0" borderId="18" xfId="1" applyNumberFormat="1" applyFont="1" applyFill="1" applyBorder="1" applyAlignment="1" applyProtection="1">
      <alignment horizontal="left"/>
    </xf>
    <xf numFmtId="0" fontId="14" fillId="0" borderId="21" xfId="1" quotePrefix="1" applyFont="1" applyBorder="1" applyAlignment="1">
      <alignment horizontal="left"/>
    </xf>
    <xf numFmtId="0" fontId="14" fillId="0" borderId="17" xfId="1" applyNumberFormat="1" applyFont="1" applyFill="1" applyBorder="1" applyAlignment="1" applyProtection="1">
      <alignment horizontal="left"/>
    </xf>
    <xf numFmtId="0" fontId="3" fillId="2" borderId="6" xfId="0" applyFont="1" applyFill="1" applyBorder="1" applyAlignment="1">
      <alignment vertical="top"/>
    </xf>
    <xf numFmtId="0" fontId="3" fillId="2" borderId="7" xfId="0" applyFont="1" applyFill="1" applyBorder="1" applyAlignment="1">
      <alignment vertical="top"/>
    </xf>
    <xf numFmtId="0" fontId="3" fillId="2" borderId="8" xfId="0" applyFont="1" applyFill="1" applyBorder="1" applyAlignment="1">
      <alignment vertical="top"/>
    </xf>
    <xf numFmtId="0" fontId="3" fillId="2" borderId="9" xfId="0" applyFont="1" applyFill="1" applyBorder="1" applyAlignment="1">
      <alignment vertical="top"/>
    </xf>
    <xf numFmtId="0" fontId="6" fillId="2" borderId="14" xfId="0" applyFont="1" applyFill="1" applyBorder="1" applyAlignment="1">
      <alignment horizontal="center" vertical="distributed"/>
    </xf>
    <xf numFmtId="0" fontId="6" fillId="2" borderId="15" xfId="0" applyFont="1" applyFill="1" applyBorder="1" applyAlignment="1">
      <alignment horizontal="center" vertical="distributed"/>
    </xf>
    <xf numFmtId="0" fontId="10" fillId="0" borderId="2" xfId="1" applyNumberFormat="1" applyFont="1" applyFill="1" applyBorder="1" applyAlignment="1" applyProtection="1">
      <alignment horizontal="center"/>
    </xf>
    <xf numFmtId="0" fontId="10" fillId="0" borderId="10" xfId="1" applyNumberFormat="1" applyFont="1" applyFill="1" applyBorder="1" applyAlignment="1" applyProtection="1">
      <alignment horizontal="center"/>
    </xf>
    <xf numFmtId="0" fontId="10" fillId="0" borderId="3" xfId="1" applyNumberFormat="1" applyFont="1" applyFill="1" applyBorder="1" applyAlignment="1" applyProtection="1">
      <alignment horizontal="center"/>
    </xf>
    <xf numFmtId="0" fontId="15" fillId="0" borderId="25" xfId="1" applyNumberFormat="1" applyFont="1" applyFill="1" applyBorder="1" applyAlignment="1" applyProtection="1">
      <alignment horizontal="center"/>
    </xf>
    <xf numFmtId="0" fontId="15" fillId="0" borderId="24" xfId="1" applyNumberFormat="1" applyFont="1" applyFill="1" applyBorder="1" applyAlignment="1" applyProtection="1">
      <alignment horizontal="center"/>
    </xf>
    <xf numFmtId="0" fontId="15" fillId="0" borderId="23" xfId="1" applyNumberFormat="1" applyFont="1" applyFill="1" applyBorder="1" applyAlignment="1" applyProtection="1">
      <alignment horizontal="center"/>
    </xf>
    <xf numFmtId="0" fontId="15" fillId="0" borderId="28" xfId="1" applyNumberFormat="1" applyFont="1" applyFill="1" applyBorder="1" applyAlignment="1" applyProtection="1">
      <alignment horizontal="center"/>
    </xf>
    <xf numFmtId="0" fontId="15" fillId="0" borderId="0" xfId="1" applyNumberFormat="1" applyFont="1" applyFill="1" applyBorder="1" applyAlignment="1" applyProtection="1">
      <alignment horizontal="center"/>
    </xf>
    <xf numFmtId="0" fontId="15" fillId="0" borderId="27" xfId="1" applyNumberFormat="1" applyFont="1" applyFill="1" applyBorder="1" applyAlignment="1" applyProtection="1">
      <alignment horizontal="center"/>
    </xf>
    <xf numFmtId="0" fontId="20" fillId="2" borderId="0" xfId="0" applyFont="1" applyFill="1"/>
  </cellXfs>
  <cellStyles count="2">
    <cellStyle name="Normal" xfId="0" builtinId="0"/>
    <cellStyle name="Normal 2" xfId="1"/>
  </cellStyles>
  <dxfs count="0"/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681038</xdr:colOff>
      <xdr:row>1</xdr:row>
      <xdr:rowOff>97632</xdr:rowOff>
    </xdr:from>
    <xdr:to>
      <xdr:col>2</xdr:col>
      <xdr:colOff>2043113</xdr:colOff>
      <xdr:row>4</xdr:row>
      <xdr:rowOff>280072</xdr:rowOff>
    </xdr:to>
    <xdr:pic>
      <xdr:nvPicPr>
        <xdr:cNvPr id="20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38363" y="488157"/>
          <a:ext cx="4086225" cy="13540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31750</xdr:colOff>
      <xdr:row>5</xdr:row>
      <xdr:rowOff>47626</xdr:rowOff>
    </xdr:from>
    <xdr:to>
      <xdr:col>12</xdr:col>
      <xdr:colOff>1206500</xdr:colOff>
      <xdr:row>34</xdr:row>
      <xdr:rowOff>269876</xdr:rowOff>
    </xdr:to>
    <xdr:pic>
      <xdr:nvPicPr>
        <xdr:cNvPr id="3" name="Picture 2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0938" t="20300" r="6239" b="18813"/>
        <a:stretch/>
      </xdr:blipFill>
      <xdr:spPr>
        <a:xfrm>
          <a:off x="31750" y="1635126"/>
          <a:ext cx="16033750" cy="94297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398009</xdr:colOff>
      <xdr:row>3</xdr:row>
      <xdr:rowOff>0</xdr:rowOff>
    </xdr:to>
    <xdr:pic>
      <xdr:nvPicPr>
        <xdr:cNvPr id="30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874509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174625</xdr:colOff>
      <xdr:row>20</xdr:row>
      <xdr:rowOff>238125</xdr:rowOff>
    </xdr:from>
    <xdr:to>
      <xdr:col>6</xdr:col>
      <xdr:colOff>476250</xdr:colOff>
      <xdr:row>23</xdr:row>
      <xdr:rowOff>111125</xdr:rowOff>
    </xdr:to>
    <xdr:cxnSp macro="">
      <xdr:nvCxnSpPr>
        <xdr:cNvPr id="5" name="Straight Connector 4"/>
        <xdr:cNvCxnSpPr/>
      </xdr:nvCxnSpPr>
      <xdr:spPr bwMode="auto">
        <a:xfrm>
          <a:off x="7604125" y="6588125"/>
          <a:ext cx="301625" cy="825500"/>
        </a:xfrm>
        <a:prstGeom prst="line">
          <a:avLst/>
        </a:prstGeom>
        <a:solidFill>
          <a:srgbClr val="FFFFFF"/>
        </a:solidFill>
        <a:ln w="28575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1190625</xdr:colOff>
      <xdr:row>21</xdr:row>
      <xdr:rowOff>142875</xdr:rowOff>
    </xdr:from>
    <xdr:to>
      <xdr:col>6</xdr:col>
      <xdr:colOff>619125</xdr:colOff>
      <xdr:row>22</xdr:row>
      <xdr:rowOff>47625</xdr:rowOff>
    </xdr:to>
    <xdr:cxnSp macro="">
      <xdr:nvCxnSpPr>
        <xdr:cNvPr id="7" name="Straight Arrow Connector 6"/>
        <xdr:cNvCxnSpPr/>
      </xdr:nvCxnSpPr>
      <xdr:spPr bwMode="auto">
        <a:xfrm flipV="1">
          <a:off x="7381875" y="6810375"/>
          <a:ext cx="666750" cy="222250"/>
        </a:xfrm>
        <a:prstGeom prst="straightConnector1">
          <a:avLst/>
        </a:prstGeom>
        <a:solidFill>
          <a:srgbClr val="FFFFFF"/>
        </a:solidFill>
        <a:ln w="28575" cap="flat" cmpd="sng" algn="ctr">
          <a:solidFill>
            <a:srgbClr val="FF0000"/>
          </a:solidFill>
          <a:prstDash val="solid"/>
          <a:round/>
          <a:headEnd type="none" w="med" len="med"/>
          <a:tailEnd type="triangle"/>
        </a:ln>
        <a:effectLst/>
      </xdr:spPr>
    </xdr:cxnSp>
    <xdr:clientData/>
  </xdr:twoCellAnchor>
  <xdr:twoCellAnchor>
    <xdr:from>
      <xdr:col>5</xdr:col>
      <xdr:colOff>1216025</xdr:colOff>
      <xdr:row>21</xdr:row>
      <xdr:rowOff>279400</xdr:rowOff>
    </xdr:from>
    <xdr:to>
      <xdr:col>6</xdr:col>
      <xdr:colOff>644525</xdr:colOff>
      <xdr:row>22</xdr:row>
      <xdr:rowOff>184150</xdr:rowOff>
    </xdr:to>
    <xdr:cxnSp macro="">
      <xdr:nvCxnSpPr>
        <xdr:cNvPr id="9" name="Straight Arrow Connector 8"/>
        <xdr:cNvCxnSpPr/>
      </xdr:nvCxnSpPr>
      <xdr:spPr bwMode="auto">
        <a:xfrm flipH="1">
          <a:off x="7407275" y="6946900"/>
          <a:ext cx="666750" cy="222250"/>
        </a:xfrm>
        <a:prstGeom prst="straightConnector1">
          <a:avLst/>
        </a:prstGeom>
        <a:solidFill>
          <a:srgbClr val="FFFFFF"/>
        </a:solidFill>
        <a:ln w="28575" cap="flat" cmpd="sng" algn="ctr">
          <a:solidFill>
            <a:srgbClr val="0000FF"/>
          </a:solidFill>
          <a:prstDash val="solid"/>
          <a:round/>
          <a:headEnd type="none" w="med" len="med"/>
          <a:tailEnd type="triangle"/>
        </a:ln>
        <a:effectLst/>
      </xdr:spPr>
    </xdr:cxnSp>
    <xdr:clientData/>
  </xdr:twoCellAnchor>
  <xdr:twoCellAnchor>
    <xdr:from>
      <xdr:col>5</xdr:col>
      <xdr:colOff>1190625</xdr:colOff>
      <xdr:row>18</xdr:row>
      <xdr:rowOff>285750</xdr:rowOff>
    </xdr:from>
    <xdr:to>
      <xdr:col>6</xdr:col>
      <xdr:colOff>952500</xdr:colOff>
      <xdr:row>20</xdr:row>
      <xdr:rowOff>95250</xdr:rowOff>
    </xdr:to>
    <xdr:sp macro="" textlink="">
      <xdr:nvSpPr>
        <xdr:cNvPr id="8" name="TextBox 7"/>
        <xdr:cNvSpPr txBox="1"/>
      </xdr:nvSpPr>
      <xdr:spPr>
        <a:xfrm>
          <a:off x="7381875" y="6000750"/>
          <a:ext cx="1000125" cy="444500"/>
        </a:xfrm>
        <a:prstGeom prst="rect">
          <a:avLst/>
        </a:prstGeom>
        <a:solidFill>
          <a:schemeClr val="lt1"/>
        </a:solidFill>
        <a:ln w="952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 b="1">
              <a:solidFill>
                <a:srgbClr val="FF0000"/>
              </a:solidFill>
            </a:rPr>
            <a:t>Eastbound</a:t>
          </a:r>
        </a:p>
      </xdr:txBody>
    </xdr:sp>
    <xdr:clientData/>
  </xdr:twoCellAnchor>
  <xdr:twoCellAnchor>
    <xdr:from>
      <xdr:col>5</xdr:col>
      <xdr:colOff>1025525</xdr:colOff>
      <xdr:row>23</xdr:row>
      <xdr:rowOff>73025</xdr:rowOff>
    </xdr:from>
    <xdr:to>
      <xdr:col>6</xdr:col>
      <xdr:colOff>873125</xdr:colOff>
      <xdr:row>24</xdr:row>
      <xdr:rowOff>200025</xdr:rowOff>
    </xdr:to>
    <xdr:sp macro="" textlink="">
      <xdr:nvSpPr>
        <xdr:cNvPr id="11" name="TextBox 10"/>
        <xdr:cNvSpPr txBox="1"/>
      </xdr:nvSpPr>
      <xdr:spPr>
        <a:xfrm>
          <a:off x="7216775" y="7375525"/>
          <a:ext cx="1085850" cy="444500"/>
        </a:xfrm>
        <a:prstGeom prst="rect">
          <a:avLst/>
        </a:prstGeom>
        <a:solidFill>
          <a:schemeClr val="lt1"/>
        </a:solidFill>
        <a:ln w="9525" cmpd="sng">
          <a:solidFill>
            <a:srgbClr val="0000FF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 b="1">
              <a:solidFill>
                <a:srgbClr val="0000FF"/>
              </a:solidFill>
            </a:rPr>
            <a:t>Westbound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</xdr:colOff>
      <xdr:row>1</xdr:row>
      <xdr:rowOff>0</xdr:rowOff>
    </xdr:from>
    <xdr:to>
      <xdr:col>7</xdr:col>
      <xdr:colOff>79440</xdr:colOff>
      <xdr:row>5</xdr:row>
      <xdr:rowOff>194977</xdr:rowOff>
    </xdr:to>
    <xdr:pic>
      <xdr:nvPicPr>
        <xdr:cNvPr id="40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2451" y="200025"/>
          <a:ext cx="2994089" cy="9950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142875</xdr:colOff>
      <xdr:row>0</xdr:row>
      <xdr:rowOff>152400</xdr:rowOff>
    </xdr:from>
    <xdr:ext cx="3613150" cy="911225"/>
    <xdr:pic>
      <xdr:nvPicPr>
        <xdr:cNvPr id="2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3344"/>
        <a:stretch>
          <a:fillRect/>
        </a:stretch>
      </xdr:blipFill>
      <xdr:spPr bwMode="auto">
        <a:xfrm>
          <a:off x="142875" y="152400"/>
          <a:ext cx="3613150" cy="911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9"/>
  <sheetViews>
    <sheetView tabSelected="1" zoomScale="75" zoomScaleNormal="75" workbookViewId="0"/>
  </sheetViews>
  <sheetFormatPr defaultRowHeight="12.75"/>
  <cols>
    <col min="1" max="1" width="21.85546875" style="1" customWidth="1"/>
    <col min="2" max="3" width="40.85546875" style="1" customWidth="1"/>
    <col min="4" max="4" width="21.85546875" style="1" customWidth="1"/>
    <col min="5" max="16384" width="9.140625" style="1"/>
  </cols>
  <sheetData>
    <row r="1" spans="1:4" ht="30.75" customHeight="1">
      <c r="A1" s="2"/>
      <c r="B1" s="2"/>
      <c r="C1" s="2"/>
      <c r="D1" s="2"/>
    </row>
    <row r="2" spans="1:4" ht="30.75" customHeight="1"/>
    <row r="3" spans="1:4" ht="30.75" customHeight="1"/>
    <row r="4" spans="1:4" ht="30.75" customHeight="1"/>
    <row r="5" spans="1:4" ht="30.75" customHeight="1"/>
    <row r="6" spans="1:4" ht="30.75" customHeight="1">
      <c r="B6" s="4" t="s">
        <v>0</v>
      </c>
      <c r="C6" s="4" t="s">
        <v>25</v>
      </c>
    </row>
    <row r="7" spans="1:4" ht="30.75" customHeight="1">
      <c r="B7" s="4" t="s">
        <v>1</v>
      </c>
      <c r="C7" s="4" t="s">
        <v>26</v>
      </c>
    </row>
    <row r="8" spans="1:4" ht="30.75" customHeight="1">
      <c r="B8" s="4" t="s">
        <v>2</v>
      </c>
      <c r="C8" s="5" t="s">
        <v>27</v>
      </c>
    </row>
    <row r="9" spans="1:4" ht="30.75" customHeight="1">
      <c r="B9" s="4" t="s">
        <v>3</v>
      </c>
      <c r="C9" s="5" t="s">
        <v>28</v>
      </c>
    </row>
    <row r="10" spans="1:4" ht="30.75" customHeight="1">
      <c r="B10" s="4" t="s">
        <v>4</v>
      </c>
      <c r="C10" s="4" t="s">
        <v>29</v>
      </c>
    </row>
    <row r="11" spans="1:4" ht="30.75" customHeight="1">
      <c r="B11" s="4" t="s">
        <v>5</v>
      </c>
      <c r="C11" s="4" t="s">
        <v>30</v>
      </c>
    </row>
    <row r="12" spans="1:4" ht="30.75" customHeight="1">
      <c r="B12" s="4" t="s">
        <v>6</v>
      </c>
      <c r="C12" s="4" t="s">
        <v>87</v>
      </c>
    </row>
    <row r="13" spans="1:4" ht="30.75" customHeight="1">
      <c r="B13" s="4" t="s">
        <v>7</v>
      </c>
      <c r="C13" s="4" t="s">
        <v>87</v>
      </c>
    </row>
    <row r="14" spans="1:4" ht="30.75" customHeight="1">
      <c r="B14" s="6" t="s">
        <v>8</v>
      </c>
      <c r="C14" s="7"/>
    </row>
    <row r="15" spans="1:4" ht="30.75" customHeight="1">
      <c r="B15" s="119"/>
      <c r="C15" s="120"/>
    </row>
    <row r="16" spans="1:4" ht="30.75" customHeight="1">
      <c r="B16" s="119"/>
      <c r="C16" s="120"/>
    </row>
    <row r="17" spans="1:4" ht="30.75" customHeight="1">
      <c r="B17" s="121"/>
      <c r="C17" s="122"/>
    </row>
    <row r="18" spans="1:4" ht="17.25" customHeight="1"/>
    <row r="19" spans="1:4" ht="30.75" customHeight="1">
      <c r="A19" s="3"/>
      <c r="B19" s="3"/>
      <c r="C19" s="3"/>
      <c r="D19" s="3"/>
    </row>
  </sheetData>
  <mergeCells count="1">
    <mergeCell ref="B15:C17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5"/>
  <sheetViews>
    <sheetView zoomScale="60" zoomScaleNormal="60" workbookViewId="0"/>
  </sheetViews>
  <sheetFormatPr defaultRowHeight="12.75"/>
  <cols>
    <col min="1" max="35" width="18.5703125" style="1" customWidth="1"/>
    <col min="36" max="16384" width="9.140625" style="1"/>
  </cols>
  <sheetData>
    <row r="1" spans="1:13" ht="25.5" customHeight="1">
      <c r="A1" s="12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4"/>
    </row>
    <row r="2" spans="1:13" ht="24.75" customHeight="1">
      <c r="A2" s="15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7"/>
    </row>
    <row r="3" spans="1:13" ht="24.75" customHeight="1">
      <c r="A3" s="15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7"/>
    </row>
    <row r="4" spans="1:13" ht="24.75" customHeight="1">
      <c r="A4" s="8" t="s">
        <v>9</v>
      </c>
      <c r="B4" s="9"/>
      <c r="C4" s="9" t="str">
        <f>'Job Details'!$C$6</f>
        <v>Bristol City Council</v>
      </c>
      <c r="D4" s="9"/>
      <c r="E4" s="9"/>
      <c r="F4" s="10"/>
      <c r="G4" s="8" t="s">
        <v>10</v>
      </c>
      <c r="H4" s="9"/>
      <c r="I4" s="9" t="str">
        <f>'Job Details'!$C$8</f>
        <v>Site 6 - Ashton Drive (between Risdale Rd &amp; Silbury Rd)</v>
      </c>
      <c r="J4" s="9"/>
      <c r="K4" s="9"/>
      <c r="L4" s="9"/>
      <c r="M4" s="24"/>
    </row>
    <row r="5" spans="1:13" ht="24.75" customHeight="1">
      <c r="A5" s="8" t="s">
        <v>11</v>
      </c>
      <c r="B5" s="9"/>
      <c r="C5" s="9" t="str">
        <f>'Job Details'!$C$7</f>
        <v>WAL-2270 Church Road, Bristol</v>
      </c>
      <c r="D5" s="9"/>
      <c r="E5" s="9"/>
      <c r="F5" s="10"/>
      <c r="G5" s="8" t="s">
        <v>12</v>
      </c>
      <c r="H5" s="9"/>
      <c r="I5" s="11" t="str">
        <f>'Job Details'!$C$9</f>
        <v>Tuesday 29th September 2015</v>
      </c>
      <c r="J5" s="9"/>
      <c r="K5" s="9"/>
      <c r="L5" s="9"/>
      <c r="M5" s="24"/>
    </row>
    <row r="6" spans="1:13" ht="24.75" customHeight="1">
      <c r="A6" s="20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9"/>
    </row>
    <row r="7" spans="1:13" ht="24.75" customHeight="1">
      <c r="A7" s="20"/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9"/>
    </row>
    <row r="8" spans="1:13" ht="24.75" customHeight="1">
      <c r="A8" s="20"/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9"/>
    </row>
    <row r="9" spans="1:13" ht="24.75" customHeight="1">
      <c r="A9" s="20"/>
      <c r="B9" s="18"/>
      <c r="C9" s="18"/>
      <c r="D9" s="18"/>
      <c r="E9" s="18"/>
      <c r="F9" s="18"/>
      <c r="G9" s="18"/>
      <c r="H9" s="18"/>
      <c r="I9" s="18"/>
      <c r="J9" s="18"/>
      <c r="K9" s="18"/>
      <c r="L9" s="18"/>
      <c r="M9" s="19"/>
    </row>
    <row r="10" spans="1:13" ht="24.75" customHeight="1">
      <c r="A10" s="20"/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9"/>
    </row>
    <row r="11" spans="1:13" ht="24.75" customHeight="1">
      <c r="A11" s="20"/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9"/>
    </row>
    <row r="12" spans="1:13" ht="24.75" customHeight="1">
      <c r="A12" s="20"/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9"/>
    </row>
    <row r="13" spans="1:13" ht="24.75" customHeight="1">
      <c r="A13" s="20"/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9"/>
    </row>
    <row r="14" spans="1:13" ht="24.75" customHeight="1">
      <c r="A14" s="20"/>
      <c r="B14" s="18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9"/>
    </row>
    <row r="15" spans="1:13" ht="24.75" customHeight="1">
      <c r="A15" s="20"/>
      <c r="B15" s="18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9"/>
    </row>
    <row r="16" spans="1:13" ht="24.75" customHeight="1">
      <c r="A16" s="20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9"/>
    </row>
    <row r="17" spans="1:13" ht="24.75" customHeight="1">
      <c r="A17" s="20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9"/>
    </row>
    <row r="18" spans="1:13" ht="24.75" customHeight="1">
      <c r="A18" s="20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9"/>
    </row>
    <row r="19" spans="1:13" ht="24.75" customHeight="1">
      <c r="A19" s="20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9"/>
    </row>
    <row r="20" spans="1:13" ht="24.75" customHeight="1">
      <c r="A20" s="20"/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9"/>
    </row>
    <row r="21" spans="1:13" ht="24.75" customHeight="1">
      <c r="A21" s="20"/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9"/>
    </row>
    <row r="22" spans="1:13" ht="24.75" customHeight="1">
      <c r="A22" s="20"/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9"/>
    </row>
    <row r="23" spans="1:13" ht="24.75" customHeight="1">
      <c r="A23" s="20"/>
      <c r="B23" s="18"/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9"/>
    </row>
    <row r="24" spans="1:13" ht="24.75" customHeight="1">
      <c r="A24" s="20"/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9"/>
    </row>
    <row r="25" spans="1:13" ht="24.75" customHeight="1">
      <c r="A25" s="20"/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9"/>
    </row>
    <row r="26" spans="1:13" ht="24.75" customHeight="1">
      <c r="A26" s="20"/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9"/>
    </row>
    <row r="27" spans="1:13" ht="24.75" customHeight="1">
      <c r="A27" s="20"/>
      <c r="B27" s="18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9"/>
    </row>
    <row r="28" spans="1:13" ht="24.75" customHeight="1">
      <c r="A28" s="20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9"/>
    </row>
    <row r="29" spans="1:13" ht="24.75" customHeight="1">
      <c r="A29" s="20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9"/>
    </row>
    <row r="30" spans="1:13" ht="24.75" customHeight="1">
      <c r="A30" s="20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9"/>
    </row>
    <row r="31" spans="1:13" ht="24.75" customHeight="1">
      <c r="A31" s="20"/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9"/>
    </row>
    <row r="32" spans="1:13" ht="24.75" customHeight="1">
      <c r="A32" s="20"/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9"/>
    </row>
    <row r="33" spans="1:13" ht="24.75" customHeight="1">
      <c r="A33" s="20"/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9"/>
    </row>
    <row r="34" spans="1:13" ht="24.75" customHeight="1">
      <c r="A34" s="20"/>
      <c r="B34" s="18"/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9"/>
    </row>
    <row r="35" spans="1:13" ht="24.75" customHeight="1">
      <c r="A35" s="21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3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82"/>
  <sheetViews>
    <sheetView zoomScale="75" zoomScaleNormal="75" workbookViewId="0"/>
  </sheetViews>
  <sheetFormatPr defaultRowHeight="15.75" customHeight="1"/>
  <cols>
    <col min="1" max="1" width="8.28515625" style="28" customWidth="1"/>
    <col min="2" max="8" width="7.28515625" style="28" customWidth="1"/>
    <col min="9" max="9" width="1.28515625" style="28" customWidth="1"/>
    <col min="10" max="16" width="7.28515625" style="28" customWidth="1"/>
    <col min="17" max="17" width="1.28515625" style="28" customWidth="1"/>
    <col min="18" max="18" width="8.28515625" style="28" customWidth="1"/>
    <col min="19" max="16384" width="9.140625" style="28"/>
  </cols>
  <sheetData>
    <row r="1" spans="1:26" ht="15.75" customHeight="1">
      <c r="A1" s="25"/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7"/>
    </row>
    <row r="2" spans="1:26" ht="15.75" customHeight="1">
      <c r="A2" s="29"/>
      <c r="B2" s="30"/>
      <c r="C2" s="30"/>
      <c r="D2" s="30"/>
      <c r="E2" s="30"/>
      <c r="F2" s="30"/>
      <c r="G2" s="30"/>
      <c r="H2" s="30"/>
      <c r="I2" s="30"/>
      <c r="J2" s="30"/>
      <c r="K2" s="30"/>
      <c r="L2" s="31" t="s">
        <v>0</v>
      </c>
      <c r="M2" s="32"/>
      <c r="N2" s="32" t="str">
        <f>'Job Details'!$C$6</f>
        <v>Bristol City Council</v>
      </c>
      <c r="O2" s="32"/>
      <c r="P2" s="32"/>
      <c r="Q2" s="32"/>
      <c r="R2" s="32"/>
      <c r="S2" s="32"/>
      <c r="T2" s="32"/>
      <c r="U2" s="33"/>
      <c r="V2" s="34"/>
      <c r="W2" s="34"/>
      <c r="X2" s="34"/>
      <c r="Y2" s="34"/>
      <c r="Z2" s="34"/>
    </row>
    <row r="3" spans="1:26" ht="15.75" customHeight="1">
      <c r="A3" s="29"/>
      <c r="B3" s="30"/>
      <c r="C3" s="30"/>
      <c r="D3" s="30"/>
      <c r="E3" s="30"/>
      <c r="F3" s="30"/>
      <c r="G3" s="30"/>
      <c r="H3" s="30"/>
      <c r="I3" s="30"/>
      <c r="J3" s="30"/>
      <c r="K3" s="30"/>
      <c r="L3" s="31" t="s">
        <v>1</v>
      </c>
      <c r="M3" s="32"/>
      <c r="N3" s="32" t="str">
        <f>'Job Details'!$C$7</f>
        <v>WAL-2270 Church Road, Bristol</v>
      </c>
      <c r="O3" s="32"/>
      <c r="P3" s="32"/>
      <c r="Q3" s="32"/>
      <c r="R3" s="32"/>
      <c r="S3" s="32"/>
      <c r="T3" s="32"/>
      <c r="U3" s="33"/>
      <c r="V3" s="34"/>
      <c r="W3" s="34"/>
      <c r="X3" s="34"/>
      <c r="Y3" s="34"/>
      <c r="Z3" s="34"/>
    </row>
    <row r="4" spans="1:26" ht="15.75" customHeight="1">
      <c r="A4" s="29"/>
      <c r="B4" s="30"/>
      <c r="C4" s="30"/>
      <c r="D4" s="30"/>
      <c r="E4" s="30"/>
      <c r="F4" s="30"/>
      <c r="G4" s="30"/>
      <c r="H4" s="30"/>
      <c r="I4" s="30"/>
      <c r="J4" s="30"/>
      <c r="K4" s="30"/>
      <c r="L4" s="31" t="s">
        <v>2</v>
      </c>
      <c r="M4" s="32"/>
      <c r="N4" s="32" t="str">
        <f>'Job Details'!$C$8</f>
        <v>Site 6 - Ashton Drive (between Risdale Rd &amp; Silbury Rd)</v>
      </c>
      <c r="O4" s="32"/>
      <c r="P4" s="32"/>
      <c r="Q4" s="32"/>
      <c r="R4" s="32"/>
      <c r="S4" s="32"/>
      <c r="T4" s="32"/>
      <c r="U4" s="33"/>
      <c r="V4" s="34"/>
      <c r="W4" s="35"/>
      <c r="X4" s="34"/>
      <c r="Y4" s="34"/>
      <c r="Z4" s="34"/>
    </row>
    <row r="5" spans="1:26" ht="15.75" customHeight="1">
      <c r="A5" s="29"/>
      <c r="B5" s="30"/>
      <c r="C5" s="30"/>
      <c r="D5" s="30"/>
      <c r="E5" s="30"/>
      <c r="F5" s="30"/>
      <c r="G5" s="30"/>
      <c r="H5" s="30"/>
      <c r="I5" s="30"/>
      <c r="J5" s="30"/>
      <c r="K5" s="30"/>
      <c r="L5" s="31" t="s">
        <v>13</v>
      </c>
      <c r="M5" s="32"/>
      <c r="N5" s="36" t="str">
        <f>'Job Details'!$C$9</f>
        <v>Tuesday 29th September 2015</v>
      </c>
      <c r="O5" s="37"/>
      <c r="P5" s="37"/>
      <c r="Q5" s="32"/>
      <c r="R5" s="32"/>
      <c r="S5" s="32"/>
      <c r="T5" s="32"/>
      <c r="U5" s="33"/>
      <c r="V5" s="34"/>
      <c r="W5" s="35"/>
      <c r="X5" s="34"/>
      <c r="Y5" s="34"/>
      <c r="Z5" s="34"/>
    </row>
    <row r="6" spans="1:26" ht="21.75" customHeight="1">
      <c r="A6" s="38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  <c r="U6" s="40"/>
    </row>
    <row r="8" spans="1:26" ht="15.75" customHeight="1">
      <c r="A8" s="134" t="s">
        <v>88</v>
      </c>
      <c r="B8" s="34"/>
    </row>
    <row r="9" spans="1:26" ht="15.75" customHeight="1">
      <c r="B9" s="41" t="s">
        <v>14</v>
      </c>
      <c r="C9" s="42"/>
      <c r="D9" s="42" t="s">
        <v>85</v>
      </c>
      <c r="E9" s="42"/>
      <c r="F9" s="42"/>
      <c r="G9" s="43"/>
      <c r="H9" s="44"/>
      <c r="J9" s="41" t="s">
        <v>14</v>
      </c>
      <c r="K9" s="42"/>
      <c r="L9" s="42" t="s">
        <v>86</v>
      </c>
      <c r="M9" s="42"/>
      <c r="N9" s="42"/>
      <c r="O9" s="43"/>
      <c r="P9" s="44"/>
      <c r="R9" s="123" t="s">
        <v>22</v>
      </c>
    </row>
    <row r="10" spans="1:26" s="45" customFormat="1" ht="15.75" customHeight="1">
      <c r="B10" s="46" t="s">
        <v>15</v>
      </c>
      <c r="C10" s="47" t="s">
        <v>16</v>
      </c>
      <c r="D10" s="47" t="s">
        <v>17</v>
      </c>
      <c r="E10" s="47" t="s">
        <v>18</v>
      </c>
      <c r="F10" s="47" t="s">
        <v>19</v>
      </c>
      <c r="G10" s="48" t="s">
        <v>20</v>
      </c>
      <c r="H10" s="49" t="s">
        <v>21</v>
      </c>
      <c r="J10" s="46" t="str">
        <f>$B$10</f>
        <v>CAR</v>
      </c>
      <c r="K10" s="47" t="str">
        <f>$C$10</f>
        <v>LGV</v>
      </c>
      <c r="L10" s="47" t="str">
        <f>$D$10</f>
        <v>OGV1</v>
      </c>
      <c r="M10" s="47" t="str">
        <f>$E$10</f>
        <v>OGV2</v>
      </c>
      <c r="N10" s="47" t="str">
        <f>$F$10</f>
        <v>PSV</v>
      </c>
      <c r="O10" s="48" t="str">
        <f>$G$10</f>
        <v>MC</v>
      </c>
      <c r="P10" s="49" t="s">
        <v>21</v>
      </c>
      <c r="R10" s="124"/>
    </row>
    <row r="12" spans="1:26" ht="15.75" customHeight="1">
      <c r="A12" s="50">
        <v>0.29166666666666669</v>
      </c>
      <c r="B12" s="25">
        <v>9</v>
      </c>
      <c r="C12" s="26">
        <v>3</v>
      </c>
      <c r="D12" s="26">
        <v>0</v>
      </c>
      <c r="E12" s="26">
        <v>0</v>
      </c>
      <c r="F12" s="26">
        <v>0</v>
      </c>
      <c r="G12" s="27">
        <v>0</v>
      </c>
      <c r="H12" s="51">
        <f>SUM(B12:G12)</f>
        <v>12</v>
      </c>
      <c r="J12" s="25">
        <v>1</v>
      </c>
      <c r="K12" s="26">
        <v>1</v>
      </c>
      <c r="L12" s="26">
        <v>0</v>
      </c>
      <c r="M12" s="26">
        <v>0</v>
      </c>
      <c r="N12" s="26">
        <v>0</v>
      </c>
      <c r="O12" s="27">
        <v>0</v>
      </c>
      <c r="P12" s="51">
        <f>SUM(J12:O12)</f>
        <v>2</v>
      </c>
      <c r="R12" s="51">
        <f>SUM(H12+P12)</f>
        <v>14</v>
      </c>
    </row>
    <row r="13" spans="1:26" ht="15.75" customHeight="1">
      <c r="A13" s="52">
        <v>0.30208333333333331</v>
      </c>
      <c r="B13" s="29">
        <v>11</v>
      </c>
      <c r="C13" s="30">
        <v>3</v>
      </c>
      <c r="D13" s="30">
        <v>0</v>
      </c>
      <c r="E13" s="30">
        <v>0</v>
      </c>
      <c r="F13" s="30">
        <v>0</v>
      </c>
      <c r="G13" s="53">
        <v>0</v>
      </c>
      <c r="H13" s="54">
        <f>SUM(B13:G13)</f>
        <v>14</v>
      </c>
      <c r="J13" s="29">
        <v>3</v>
      </c>
      <c r="K13" s="30">
        <v>1</v>
      </c>
      <c r="L13" s="30">
        <v>0</v>
      </c>
      <c r="M13" s="30">
        <v>0</v>
      </c>
      <c r="N13" s="30">
        <v>0</v>
      </c>
      <c r="O13" s="53">
        <v>0</v>
      </c>
      <c r="P13" s="54">
        <f>SUM(J13:O13)</f>
        <v>4</v>
      </c>
      <c r="R13" s="54">
        <f>SUM(H13+P13)</f>
        <v>18</v>
      </c>
    </row>
    <row r="14" spans="1:26" ht="15.75" customHeight="1">
      <c r="A14" s="52">
        <v>0.3125</v>
      </c>
      <c r="B14" s="29">
        <v>10</v>
      </c>
      <c r="C14" s="30">
        <v>6</v>
      </c>
      <c r="D14" s="30">
        <v>0</v>
      </c>
      <c r="E14" s="30">
        <v>0</v>
      </c>
      <c r="F14" s="30">
        <v>0</v>
      </c>
      <c r="G14" s="53">
        <v>0</v>
      </c>
      <c r="H14" s="54">
        <f>SUM(B14:G14)</f>
        <v>16</v>
      </c>
      <c r="J14" s="29">
        <v>1</v>
      </c>
      <c r="K14" s="30">
        <v>0</v>
      </c>
      <c r="L14" s="30">
        <v>0</v>
      </c>
      <c r="M14" s="30">
        <v>0</v>
      </c>
      <c r="N14" s="30">
        <v>0</v>
      </c>
      <c r="O14" s="53">
        <v>0</v>
      </c>
      <c r="P14" s="54">
        <f>SUM(J14:O14)</f>
        <v>1</v>
      </c>
      <c r="R14" s="54">
        <f>SUM(H14+P14)</f>
        <v>17</v>
      </c>
    </row>
    <row r="15" spans="1:26" ht="15.75" customHeight="1">
      <c r="A15" s="55">
        <v>0.32291666666666669</v>
      </c>
      <c r="B15" s="38">
        <v>12</v>
      </c>
      <c r="C15" s="39">
        <v>1</v>
      </c>
      <c r="D15" s="39">
        <v>0</v>
      </c>
      <c r="E15" s="39">
        <v>0</v>
      </c>
      <c r="F15" s="39">
        <v>0</v>
      </c>
      <c r="G15" s="40">
        <v>0</v>
      </c>
      <c r="H15" s="56">
        <f>SUM(B15:G15)</f>
        <v>13</v>
      </c>
      <c r="J15" s="38">
        <v>7</v>
      </c>
      <c r="K15" s="39">
        <v>1</v>
      </c>
      <c r="L15" s="39">
        <v>0</v>
      </c>
      <c r="M15" s="39">
        <v>0</v>
      </c>
      <c r="N15" s="39">
        <v>0</v>
      </c>
      <c r="O15" s="40">
        <v>0</v>
      </c>
      <c r="P15" s="56">
        <f>SUM(J15:O15)</f>
        <v>8</v>
      </c>
      <c r="R15" s="56">
        <f>SUM(H15+P15)</f>
        <v>21</v>
      </c>
    </row>
    <row r="16" spans="1:26" ht="15.75" customHeight="1">
      <c r="A16" s="44" t="s">
        <v>23</v>
      </c>
      <c r="B16" s="41">
        <f t="shared" ref="B16:G16" si="0">SUM(B12:B15)</f>
        <v>42</v>
      </c>
      <c r="C16" s="42">
        <f t="shared" si="0"/>
        <v>13</v>
      </c>
      <c r="D16" s="42">
        <f t="shared" si="0"/>
        <v>0</v>
      </c>
      <c r="E16" s="42">
        <f t="shared" si="0"/>
        <v>0</v>
      </c>
      <c r="F16" s="42">
        <f t="shared" si="0"/>
        <v>0</v>
      </c>
      <c r="G16" s="43">
        <f t="shared" si="0"/>
        <v>0</v>
      </c>
      <c r="H16" s="44">
        <f t="shared" ref="H16" si="1">SUM(H12:H15)</f>
        <v>55</v>
      </c>
      <c r="J16" s="41">
        <f t="shared" ref="J16:O16" si="2">SUM(J12:J15)</f>
        <v>12</v>
      </c>
      <c r="K16" s="42">
        <f t="shared" si="2"/>
        <v>3</v>
      </c>
      <c r="L16" s="42">
        <f t="shared" si="2"/>
        <v>0</v>
      </c>
      <c r="M16" s="42">
        <f t="shared" si="2"/>
        <v>0</v>
      </c>
      <c r="N16" s="42">
        <f t="shared" si="2"/>
        <v>0</v>
      </c>
      <c r="O16" s="43">
        <f t="shared" si="2"/>
        <v>0</v>
      </c>
      <c r="P16" s="44">
        <f t="shared" ref="P16" si="3">SUM(P12:P15)</f>
        <v>15</v>
      </c>
      <c r="R16" s="44">
        <f>SUM(R12:R15)</f>
        <v>70</v>
      </c>
    </row>
    <row r="17" spans="1:18" ht="15.75" customHeight="1">
      <c r="A17" s="50">
        <v>0.33333333333333331</v>
      </c>
      <c r="B17" s="25">
        <v>19</v>
      </c>
      <c r="C17" s="26">
        <v>2</v>
      </c>
      <c r="D17" s="26">
        <v>0</v>
      </c>
      <c r="E17" s="26">
        <v>0</v>
      </c>
      <c r="F17" s="26">
        <v>0</v>
      </c>
      <c r="G17" s="27">
        <v>0</v>
      </c>
      <c r="H17" s="51">
        <f>SUM(B17:G17)</f>
        <v>21</v>
      </c>
      <c r="J17" s="25">
        <v>7</v>
      </c>
      <c r="K17" s="26">
        <v>1</v>
      </c>
      <c r="L17" s="26">
        <v>0</v>
      </c>
      <c r="M17" s="26">
        <v>0</v>
      </c>
      <c r="N17" s="26">
        <v>0</v>
      </c>
      <c r="O17" s="27">
        <v>0</v>
      </c>
      <c r="P17" s="51">
        <f>SUM(J17:O17)</f>
        <v>8</v>
      </c>
      <c r="R17" s="51">
        <f>SUM(H17+P17)</f>
        <v>29</v>
      </c>
    </row>
    <row r="18" spans="1:18" ht="15.75" customHeight="1">
      <c r="A18" s="52">
        <v>0.34375</v>
      </c>
      <c r="B18" s="29">
        <v>16</v>
      </c>
      <c r="C18" s="30">
        <v>0</v>
      </c>
      <c r="D18" s="30">
        <v>0</v>
      </c>
      <c r="E18" s="30">
        <v>0</v>
      </c>
      <c r="F18" s="30">
        <v>0</v>
      </c>
      <c r="G18" s="53">
        <v>0</v>
      </c>
      <c r="H18" s="54">
        <f>SUM(B18:G18)</f>
        <v>16</v>
      </c>
      <c r="J18" s="29">
        <v>2</v>
      </c>
      <c r="K18" s="30">
        <v>1</v>
      </c>
      <c r="L18" s="30">
        <v>0</v>
      </c>
      <c r="M18" s="30">
        <v>0</v>
      </c>
      <c r="N18" s="30">
        <v>0</v>
      </c>
      <c r="O18" s="53">
        <v>0</v>
      </c>
      <c r="P18" s="54">
        <f>SUM(J18:O18)</f>
        <v>3</v>
      </c>
      <c r="R18" s="54">
        <f>SUM(H18+P18)</f>
        <v>19</v>
      </c>
    </row>
    <row r="19" spans="1:18" ht="15.75" customHeight="1">
      <c r="A19" s="52">
        <v>0.35416666666666669</v>
      </c>
      <c r="B19" s="29">
        <v>12</v>
      </c>
      <c r="C19" s="30">
        <v>1</v>
      </c>
      <c r="D19" s="30">
        <v>0</v>
      </c>
      <c r="E19" s="30">
        <v>0</v>
      </c>
      <c r="F19" s="30">
        <v>0</v>
      </c>
      <c r="G19" s="53">
        <v>0</v>
      </c>
      <c r="H19" s="54">
        <f>SUM(B19:G19)</f>
        <v>13</v>
      </c>
      <c r="J19" s="29">
        <v>3</v>
      </c>
      <c r="K19" s="30">
        <v>0</v>
      </c>
      <c r="L19" s="30">
        <v>0</v>
      </c>
      <c r="M19" s="30">
        <v>0</v>
      </c>
      <c r="N19" s="30">
        <v>0</v>
      </c>
      <c r="O19" s="53">
        <v>0</v>
      </c>
      <c r="P19" s="54">
        <f>SUM(J19:O19)</f>
        <v>3</v>
      </c>
      <c r="R19" s="54">
        <f>SUM(H19+P19)</f>
        <v>16</v>
      </c>
    </row>
    <row r="20" spans="1:18" ht="15.75" customHeight="1">
      <c r="A20" s="55">
        <v>0.36458333333333331</v>
      </c>
      <c r="B20" s="38">
        <v>28</v>
      </c>
      <c r="C20" s="39">
        <v>3</v>
      </c>
      <c r="D20" s="39">
        <v>0</v>
      </c>
      <c r="E20" s="39">
        <v>0</v>
      </c>
      <c r="F20" s="39">
        <v>0</v>
      </c>
      <c r="G20" s="40">
        <v>0</v>
      </c>
      <c r="H20" s="56">
        <f>SUM(B20:G20)</f>
        <v>31</v>
      </c>
      <c r="J20" s="38">
        <v>1</v>
      </c>
      <c r="K20" s="39">
        <v>1</v>
      </c>
      <c r="L20" s="39">
        <v>0</v>
      </c>
      <c r="M20" s="39">
        <v>0</v>
      </c>
      <c r="N20" s="39">
        <v>0</v>
      </c>
      <c r="O20" s="40">
        <v>1</v>
      </c>
      <c r="P20" s="56">
        <f>SUM(J20:O20)</f>
        <v>3</v>
      </c>
      <c r="R20" s="56">
        <f>SUM(H20+P20)</f>
        <v>34</v>
      </c>
    </row>
    <row r="21" spans="1:18" ht="15.75" customHeight="1">
      <c r="A21" s="44" t="s">
        <v>23</v>
      </c>
      <c r="B21" s="41">
        <f t="shared" ref="B21:G21" si="4">SUM(B17:B20)</f>
        <v>75</v>
      </c>
      <c r="C21" s="42">
        <f t="shared" si="4"/>
        <v>6</v>
      </c>
      <c r="D21" s="42">
        <f t="shared" si="4"/>
        <v>0</v>
      </c>
      <c r="E21" s="42">
        <f t="shared" si="4"/>
        <v>0</v>
      </c>
      <c r="F21" s="42">
        <f t="shared" si="4"/>
        <v>0</v>
      </c>
      <c r="G21" s="43">
        <f t="shared" si="4"/>
        <v>0</v>
      </c>
      <c r="H21" s="44">
        <f t="shared" ref="H21" si="5">SUM(H17:H20)</f>
        <v>81</v>
      </c>
      <c r="J21" s="41">
        <f t="shared" ref="J21:O21" si="6">SUM(J17:J20)</f>
        <v>13</v>
      </c>
      <c r="K21" s="42">
        <f t="shared" si="6"/>
        <v>3</v>
      </c>
      <c r="L21" s="42">
        <f t="shared" si="6"/>
        <v>0</v>
      </c>
      <c r="M21" s="42">
        <f t="shared" si="6"/>
        <v>0</v>
      </c>
      <c r="N21" s="42">
        <f t="shared" si="6"/>
        <v>0</v>
      </c>
      <c r="O21" s="43">
        <f t="shared" si="6"/>
        <v>1</v>
      </c>
      <c r="P21" s="44">
        <f t="shared" ref="P21" si="7">SUM(P17:P20)</f>
        <v>17</v>
      </c>
      <c r="R21" s="44">
        <f>SUM(R17:R20)</f>
        <v>98</v>
      </c>
    </row>
    <row r="22" spans="1:18" ht="15.75" customHeight="1">
      <c r="A22" s="50">
        <v>0.375</v>
      </c>
      <c r="B22" s="25">
        <v>21</v>
      </c>
      <c r="C22" s="26">
        <v>1</v>
      </c>
      <c r="D22" s="26">
        <v>0</v>
      </c>
      <c r="E22" s="26">
        <v>0</v>
      </c>
      <c r="F22" s="26">
        <v>1</v>
      </c>
      <c r="G22" s="27">
        <v>0</v>
      </c>
      <c r="H22" s="51">
        <f>SUM(B22:G22)</f>
        <v>23</v>
      </c>
      <c r="J22" s="25">
        <v>5</v>
      </c>
      <c r="K22" s="26">
        <v>0</v>
      </c>
      <c r="L22" s="26">
        <v>0</v>
      </c>
      <c r="M22" s="26">
        <v>0</v>
      </c>
      <c r="N22" s="26">
        <v>0</v>
      </c>
      <c r="O22" s="27">
        <v>0</v>
      </c>
      <c r="P22" s="51">
        <f>SUM(J22:O22)</f>
        <v>5</v>
      </c>
      <c r="R22" s="51">
        <f>SUM(H22+P22)</f>
        <v>28</v>
      </c>
    </row>
    <row r="23" spans="1:18" ht="15.75" customHeight="1">
      <c r="A23" s="52">
        <v>0.38541666666666669</v>
      </c>
      <c r="B23" s="29">
        <v>16</v>
      </c>
      <c r="C23" s="30">
        <v>1</v>
      </c>
      <c r="D23" s="30">
        <v>2</v>
      </c>
      <c r="E23" s="30">
        <v>0</v>
      </c>
      <c r="F23" s="30">
        <v>0</v>
      </c>
      <c r="G23" s="53">
        <v>0</v>
      </c>
      <c r="H23" s="54">
        <f>SUM(B23:G23)</f>
        <v>19</v>
      </c>
      <c r="J23" s="29">
        <v>4</v>
      </c>
      <c r="K23" s="30">
        <v>2</v>
      </c>
      <c r="L23" s="30">
        <v>0</v>
      </c>
      <c r="M23" s="30">
        <v>0</v>
      </c>
      <c r="N23" s="30">
        <v>0</v>
      </c>
      <c r="O23" s="53">
        <v>0</v>
      </c>
      <c r="P23" s="54">
        <f>SUM(J23:O23)</f>
        <v>6</v>
      </c>
      <c r="R23" s="54">
        <f>SUM(H23+P23)</f>
        <v>25</v>
      </c>
    </row>
    <row r="24" spans="1:18" ht="15.75" customHeight="1">
      <c r="A24" s="52">
        <v>0.39583333333333331</v>
      </c>
      <c r="B24" s="29">
        <v>9</v>
      </c>
      <c r="C24" s="30">
        <v>2</v>
      </c>
      <c r="D24" s="30">
        <v>0</v>
      </c>
      <c r="E24" s="30">
        <v>0</v>
      </c>
      <c r="F24" s="30">
        <v>0</v>
      </c>
      <c r="G24" s="53">
        <v>0</v>
      </c>
      <c r="H24" s="54">
        <f>SUM(B24:G24)</f>
        <v>11</v>
      </c>
      <c r="J24" s="29">
        <v>9</v>
      </c>
      <c r="K24" s="30">
        <v>1</v>
      </c>
      <c r="L24" s="30">
        <v>0</v>
      </c>
      <c r="M24" s="30">
        <v>0</v>
      </c>
      <c r="N24" s="30">
        <v>0</v>
      </c>
      <c r="O24" s="53">
        <v>0</v>
      </c>
      <c r="P24" s="54">
        <f>SUM(J24:O24)</f>
        <v>10</v>
      </c>
      <c r="R24" s="54">
        <f>SUM(H24+P24)</f>
        <v>21</v>
      </c>
    </row>
    <row r="25" spans="1:18" ht="15.75" customHeight="1">
      <c r="A25" s="55">
        <v>0.40625</v>
      </c>
      <c r="B25" s="38">
        <v>10</v>
      </c>
      <c r="C25" s="39">
        <v>0</v>
      </c>
      <c r="D25" s="39">
        <v>0</v>
      </c>
      <c r="E25" s="39">
        <v>0</v>
      </c>
      <c r="F25" s="39">
        <v>0</v>
      </c>
      <c r="G25" s="40">
        <v>0</v>
      </c>
      <c r="H25" s="56">
        <f>SUM(B25:G25)</f>
        <v>10</v>
      </c>
      <c r="J25" s="38">
        <v>11</v>
      </c>
      <c r="K25" s="39">
        <v>0</v>
      </c>
      <c r="L25" s="39">
        <v>0</v>
      </c>
      <c r="M25" s="39">
        <v>0</v>
      </c>
      <c r="N25" s="39">
        <v>0</v>
      </c>
      <c r="O25" s="40">
        <v>0</v>
      </c>
      <c r="P25" s="56">
        <f>SUM(J25:O25)</f>
        <v>11</v>
      </c>
      <c r="R25" s="56">
        <f>SUM(H25+P25)</f>
        <v>21</v>
      </c>
    </row>
    <row r="26" spans="1:18" ht="15.75" customHeight="1">
      <c r="A26" s="44" t="s">
        <v>23</v>
      </c>
      <c r="B26" s="41">
        <f t="shared" ref="B26:G26" si="8">SUM(B22:B25)</f>
        <v>56</v>
      </c>
      <c r="C26" s="42">
        <f t="shared" si="8"/>
        <v>4</v>
      </c>
      <c r="D26" s="42">
        <f t="shared" si="8"/>
        <v>2</v>
      </c>
      <c r="E26" s="42">
        <f t="shared" si="8"/>
        <v>0</v>
      </c>
      <c r="F26" s="42">
        <f t="shared" si="8"/>
        <v>1</v>
      </c>
      <c r="G26" s="43">
        <f t="shared" si="8"/>
        <v>0</v>
      </c>
      <c r="H26" s="44">
        <f t="shared" ref="H26" si="9">SUM(H22:H25)</f>
        <v>63</v>
      </c>
      <c r="J26" s="41">
        <f t="shared" ref="J26:O26" si="10">SUM(J22:J25)</f>
        <v>29</v>
      </c>
      <c r="K26" s="42">
        <f t="shared" si="10"/>
        <v>3</v>
      </c>
      <c r="L26" s="42">
        <f t="shared" si="10"/>
        <v>0</v>
      </c>
      <c r="M26" s="42">
        <f t="shared" si="10"/>
        <v>0</v>
      </c>
      <c r="N26" s="42">
        <f t="shared" si="10"/>
        <v>0</v>
      </c>
      <c r="O26" s="43">
        <f t="shared" si="10"/>
        <v>0</v>
      </c>
      <c r="P26" s="44">
        <f t="shared" ref="P26" si="11">SUM(P22:P25)</f>
        <v>32</v>
      </c>
      <c r="R26" s="44">
        <f>SUM(R22:R25)</f>
        <v>95</v>
      </c>
    </row>
    <row r="27" spans="1:18" ht="15.75" customHeight="1">
      <c r="A27" s="50">
        <v>0.41666666666666669</v>
      </c>
      <c r="B27" s="25">
        <v>7</v>
      </c>
      <c r="C27" s="26">
        <v>3</v>
      </c>
      <c r="D27" s="26">
        <v>0</v>
      </c>
      <c r="E27" s="26">
        <v>0</v>
      </c>
      <c r="F27" s="26">
        <v>0</v>
      </c>
      <c r="G27" s="27">
        <v>0</v>
      </c>
      <c r="H27" s="51">
        <f>SUM(B27:G27)</f>
        <v>10</v>
      </c>
      <c r="J27" s="25">
        <v>1</v>
      </c>
      <c r="K27" s="26">
        <v>1</v>
      </c>
      <c r="L27" s="26">
        <v>0</v>
      </c>
      <c r="M27" s="26">
        <v>0</v>
      </c>
      <c r="N27" s="26">
        <v>0</v>
      </c>
      <c r="O27" s="27">
        <v>0</v>
      </c>
      <c r="P27" s="51">
        <f>SUM(J27:O27)</f>
        <v>2</v>
      </c>
      <c r="R27" s="51">
        <f>SUM(H27+P27)</f>
        <v>12</v>
      </c>
    </row>
    <row r="28" spans="1:18" ht="15.75" customHeight="1">
      <c r="A28" s="52">
        <v>0.42708333333333331</v>
      </c>
      <c r="B28" s="29">
        <v>6</v>
      </c>
      <c r="C28" s="30">
        <v>3</v>
      </c>
      <c r="D28" s="30">
        <v>0</v>
      </c>
      <c r="E28" s="30">
        <v>0</v>
      </c>
      <c r="F28" s="30">
        <v>0</v>
      </c>
      <c r="G28" s="53">
        <v>0</v>
      </c>
      <c r="H28" s="54">
        <f>SUM(B28:G28)</f>
        <v>9</v>
      </c>
      <c r="J28" s="29">
        <v>1</v>
      </c>
      <c r="K28" s="30">
        <v>2</v>
      </c>
      <c r="L28" s="30">
        <v>0</v>
      </c>
      <c r="M28" s="30">
        <v>0</v>
      </c>
      <c r="N28" s="30">
        <v>0</v>
      </c>
      <c r="O28" s="53">
        <v>0</v>
      </c>
      <c r="P28" s="54">
        <f>SUM(J28:O28)</f>
        <v>3</v>
      </c>
      <c r="R28" s="54">
        <f>SUM(H28+P28)</f>
        <v>12</v>
      </c>
    </row>
    <row r="29" spans="1:18" ht="15.75" customHeight="1">
      <c r="A29" s="52">
        <v>0.4375</v>
      </c>
      <c r="B29" s="29">
        <v>3</v>
      </c>
      <c r="C29" s="30">
        <v>0</v>
      </c>
      <c r="D29" s="30">
        <v>0</v>
      </c>
      <c r="E29" s="30">
        <v>0</v>
      </c>
      <c r="F29" s="30">
        <v>1</v>
      </c>
      <c r="G29" s="53">
        <v>0</v>
      </c>
      <c r="H29" s="54">
        <f>SUM(B29:G29)</f>
        <v>4</v>
      </c>
      <c r="J29" s="29">
        <v>5</v>
      </c>
      <c r="K29" s="30">
        <v>1</v>
      </c>
      <c r="L29" s="30">
        <v>0</v>
      </c>
      <c r="M29" s="30">
        <v>0</v>
      </c>
      <c r="N29" s="30">
        <v>0</v>
      </c>
      <c r="O29" s="53">
        <v>0</v>
      </c>
      <c r="P29" s="54">
        <f>SUM(J29:O29)</f>
        <v>6</v>
      </c>
      <c r="R29" s="54">
        <f>SUM(H29+P29)</f>
        <v>10</v>
      </c>
    </row>
    <row r="30" spans="1:18" ht="15.75" customHeight="1">
      <c r="A30" s="55">
        <v>0.44791666666666669</v>
      </c>
      <c r="B30" s="38">
        <v>7</v>
      </c>
      <c r="C30" s="39">
        <v>0</v>
      </c>
      <c r="D30" s="39">
        <v>0</v>
      </c>
      <c r="E30" s="39">
        <v>0</v>
      </c>
      <c r="F30" s="39">
        <v>0</v>
      </c>
      <c r="G30" s="40">
        <v>0</v>
      </c>
      <c r="H30" s="56">
        <f>SUM(B30:G30)</f>
        <v>7</v>
      </c>
      <c r="J30" s="38">
        <v>5</v>
      </c>
      <c r="K30" s="39">
        <v>2</v>
      </c>
      <c r="L30" s="39">
        <v>0</v>
      </c>
      <c r="M30" s="39">
        <v>0</v>
      </c>
      <c r="N30" s="39">
        <v>0</v>
      </c>
      <c r="O30" s="40">
        <v>0</v>
      </c>
      <c r="P30" s="56">
        <f>SUM(J30:O30)</f>
        <v>7</v>
      </c>
      <c r="R30" s="56">
        <f>SUM(H30+P30)</f>
        <v>14</v>
      </c>
    </row>
    <row r="31" spans="1:18" ht="15.75" customHeight="1">
      <c r="A31" s="44" t="s">
        <v>23</v>
      </c>
      <c r="B31" s="41">
        <f t="shared" ref="B31:G31" si="12">SUM(B27:B30)</f>
        <v>23</v>
      </c>
      <c r="C31" s="42">
        <f t="shared" si="12"/>
        <v>6</v>
      </c>
      <c r="D31" s="42">
        <f t="shared" si="12"/>
        <v>0</v>
      </c>
      <c r="E31" s="42">
        <f t="shared" si="12"/>
        <v>0</v>
      </c>
      <c r="F31" s="42">
        <f t="shared" si="12"/>
        <v>1</v>
      </c>
      <c r="G31" s="43">
        <f t="shared" si="12"/>
        <v>0</v>
      </c>
      <c r="H31" s="44">
        <f t="shared" ref="H31" si="13">SUM(H27:H30)</f>
        <v>30</v>
      </c>
      <c r="J31" s="41">
        <f t="shared" ref="J31:O31" si="14">SUM(J27:J30)</f>
        <v>12</v>
      </c>
      <c r="K31" s="42">
        <f t="shared" si="14"/>
        <v>6</v>
      </c>
      <c r="L31" s="42">
        <f t="shared" si="14"/>
        <v>0</v>
      </c>
      <c r="M31" s="42">
        <f t="shared" si="14"/>
        <v>0</v>
      </c>
      <c r="N31" s="42">
        <f t="shared" si="14"/>
        <v>0</v>
      </c>
      <c r="O31" s="43">
        <f t="shared" si="14"/>
        <v>0</v>
      </c>
      <c r="P31" s="44">
        <f t="shared" ref="P31" si="15">SUM(P27:P30)</f>
        <v>18</v>
      </c>
      <c r="R31" s="44">
        <f>SUM(R27:R30)</f>
        <v>48</v>
      </c>
    </row>
    <row r="32" spans="1:18" ht="15.75" customHeight="1">
      <c r="A32" s="50">
        <v>0.45833333333333331</v>
      </c>
      <c r="B32" s="25">
        <v>7</v>
      </c>
      <c r="C32" s="26">
        <v>5</v>
      </c>
      <c r="D32" s="26">
        <v>0</v>
      </c>
      <c r="E32" s="26">
        <v>0</v>
      </c>
      <c r="F32" s="26">
        <v>0</v>
      </c>
      <c r="G32" s="27">
        <v>0</v>
      </c>
      <c r="H32" s="51">
        <f>SUM(B32:G32)</f>
        <v>12</v>
      </c>
      <c r="J32" s="25">
        <v>6</v>
      </c>
      <c r="K32" s="26">
        <v>3</v>
      </c>
      <c r="L32" s="26">
        <v>0</v>
      </c>
      <c r="M32" s="26">
        <v>0</v>
      </c>
      <c r="N32" s="26">
        <v>0</v>
      </c>
      <c r="O32" s="27">
        <v>1</v>
      </c>
      <c r="P32" s="51">
        <f>SUM(J32:O32)</f>
        <v>10</v>
      </c>
      <c r="R32" s="51">
        <f>SUM(H32+P32)</f>
        <v>22</v>
      </c>
    </row>
    <row r="33" spans="1:18" ht="15.75" customHeight="1">
      <c r="A33" s="52">
        <v>0.46875</v>
      </c>
      <c r="B33" s="29">
        <v>8</v>
      </c>
      <c r="C33" s="30">
        <v>1</v>
      </c>
      <c r="D33" s="30">
        <v>0</v>
      </c>
      <c r="E33" s="30">
        <v>0</v>
      </c>
      <c r="F33" s="30">
        <v>0</v>
      </c>
      <c r="G33" s="53">
        <v>0</v>
      </c>
      <c r="H33" s="54">
        <f>SUM(B33:G33)</f>
        <v>9</v>
      </c>
      <c r="J33" s="29">
        <v>9</v>
      </c>
      <c r="K33" s="30">
        <v>2</v>
      </c>
      <c r="L33" s="30">
        <v>0</v>
      </c>
      <c r="M33" s="30">
        <v>0</v>
      </c>
      <c r="N33" s="30">
        <v>0</v>
      </c>
      <c r="O33" s="53">
        <v>0</v>
      </c>
      <c r="P33" s="54">
        <f>SUM(J33:O33)</f>
        <v>11</v>
      </c>
      <c r="R33" s="54">
        <f>SUM(H33+P33)</f>
        <v>20</v>
      </c>
    </row>
    <row r="34" spans="1:18" ht="15.75" customHeight="1">
      <c r="A34" s="52">
        <v>0.47916666666666669</v>
      </c>
      <c r="B34" s="29">
        <v>11</v>
      </c>
      <c r="C34" s="30">
        <v>2</v>
      </c>
      <c r="D34" s="30">
        <v>0</v>
      </c>
      <c r="E34" s="30">
        <v>0</v>
      </c>
      <c r="F34" s="30">
        <v>0</v>
      </c>
      <c r="G34" s="53">
        <v>0</v>
      </c>
      <c r="H34" s="54">
        <f>SUM(B34:G34)</f>
        <v>13</v>
      </c>
      <c r="J34" s="29">
        <v>2</v>
      </c>
      <c r="K34" s="30">
        <v>2</v>
      </c>
      <c r="L34" s="30">
        <v>0</v>
      </c>
      <c r="M34" s="30">
        <v>0</v>
      </c>
      <c r="N34" s="30">
        <v>0</v>
      </c>
      <c r="O34" s="53">
        <v>1</v>
      </c>
      <c r="P34" s="54">
        <f>SUM(J34:O34)</f>
        <v>5</v>
      </c>
      <c r="R34" s="54">
        <f>SUM(H34+P34)</f>
        <v>18</v>
      </c>
    </row>
    <row r="35" spans="1:18" ht="15.75" customHeight="1">
      <c r="A35" s="55">
        <v>0.48958333333333331</v>
      </c>
      <c r="B35" s="38">
        <v>8</v>
      </c>
      <c r="C35" s="39">
        <v>2</v>
      </c>
      <c r="D35" s="39">
        <v>0</v>
      </c>
      <c r="E35" s="39">
        <v>0</v>
      </c>
      <c r="F35" s="39">
        <v>0</v>
      </c>
      <c r="G35" s="40">
        <v>0</v>
      </c>
      <c r="H35" s="56">
        <f>SUM(B35:G35)</f>
        <v>10</v>
      </c>
      <c r="J35" s="38">
        <v>3</v>
      </c>
      <c r="K35" s="39">
        <v>2</v>
      </c>
      <c r="L35" s="39">
        <v>0</v>
      </c>
      <c r="M35" s="39">
        <v>0</v>
      </c>
      <c r="N35" s="39">
        <v>0</v>
      </c>
      <c r="O35" s="40">
        <v>0</v>
      </c>
      <c r="P35" s="56">
        <f>SUM(J35:O35)</f>
        <v>5</v>
      </c>
      <c r="R35" s="56">
        <f>SUM(H35+P35)</f>
        <v>15</v>
      </c>
    </row>
    <row r="36" spans="1:18" ht="15.75" customHeight="1">
      <c r="A36" s="44" t="s">
        <v>23</v>
      </c>
      <c r="B36" s="41">
        <f t="shared" ref="B36:G36" si="16">SUM(B32:B35)</f>
        <v>34</v>
      </c>
      <c r="C36" s="42">
        <f t="shared" si="16"/>
        <v>10</v>
      </c>
      <c r="D36" s="42">
        <f t="shared" si="16"/>
        <v>0</v>
      </c>
      <c r="E36" s="42">
        <f t="shared" si="16"/>
        <v>0</v>
      </c>
      <c r="F36" s="42">
        <f t="shared" si="16"/>
        <v>0</v>
      </c>
      <c r="G36" s="43">
        <f t="shared" si="16"/>
        <v>0</v>
      </c>
      <c r="H36" s="44">
        <f t="shared" ref="H36" si="17">SUM(H32:H35)</f>
        <v>44</v>
      </c>
      <c r="J36" s="41">
        <f t="shared" ref="J36:O36" si="18">SUM(J32:J35)</f>
        <v>20</v>
      </c>
      <c r="K36" s="42">
        <f t="shared" si="18"/>
        <v>9</v>
      </c>
      <c r="L36" s="42">
        <f t="shared" si="18"/>
        <v>0</v>
      </c>
      <c r="M36" s="42">
        <f t="shared" si="18"/>
        <v>0</v>
      </c>
      <c r="N36" s="42">
        <f t="shared" si="18"/>
        <v>0</v>
      </c>
      <c r="O36" s="43">
        <f t="shared" si="18"/>
        <v>2</v>
      </c>
      <c r="P36" s="44">
        <f t="shared" ref="P36" si="19">SUM(P32:P35)</f>
        <v>31</v>
      </c>
      <c r="R36" s="44">
        <f>SUM(R32:R35)</f>
        <v>75</v>
      </c>
    </row>
    <row r="37" spans="1:18" ht="15.75" customHeight="1">
      <c r="A37" s="50">
        <v>0.5</v>
      </c>
      <c r="B37" s="25">
        <v>3</v>
      </c>
      <c r="C37" s="26">
        <v>0</v>
      </c>
      <c r="D37" s="26">
        <v>0</v>
      </c>
      <c r="E37" s="26">
        <v>0</v>
      </c>
      <c r="F37" s="26">
        <v>0</v>
      </c>
      <c r="G37" s="27">
        <v>0</v>
      </c>
      <c r="H37" s="51">
        <f>SUM(B37:G37)</f>
        <v>3</v>
      </c>
      <c r="J37" s="25">
        <v>8</v>
      </c>
      <c r="K37" s="26">
        <v>0</v>
      </c>
      <c r="L37" s="26">
        <v>0</v>
      </c>
      <c r="M37" s="26">
        <v>0</v>
      </c>
      <c r="N37" s="26">
        <v>0</v>
      </c>
      <c r="O37" s="27">
        <v>0</v>
      </c>
      <c r="P37" s="51">
        <f>SUM(J37:O37)</f>
        <v>8</v>
      </c>
      <c r="R37" s="51">
        <f>SUM(H37+P37)</f>
        <v>11</v>
      </c>
    </row>
    <row r="38" spans="1:18" ht="15.75" customHeight="1">
      <c r="A38" s="52">
        <v>0.51041666666666663</v>
      </c>
      <c r="B38" s="29">
        <v>8</v>
      </c>
      <c r="C38" s="30">
        <v>1</v>
      </c>
      <c r="D38" s="30">
        <v>0</v>
      </c>
      <c r="E38" s="30">
        <v>0</v>
      </c>
      <c r="F38" s="30">
        <v>0</v>
      </c>
      <c r="G38" s="53">
        <v>0</v>
      </c>
      <c r="H38" s="54">
        <f>SUM(B38:G38)</f>
        <v>9</v>
      </c>
      <c r="J38" s="29">
        <v>6</v>
      </c>
      <c r="K38" s="30">
        <v>3</v>
      </c>
      <c r="L38" s="30">
        <v>0</v>
      </c>
      <c r="M38" s="30">
        <v>0</v>
      </c>
      <c r="N38" s="30">
        <v>0</v>
      </c>
      <c r="O38" s="53">
        <v>0</v>
      </c>
      <c r="P38" s="54">
        <f>SUM(J38:O38)</f>
        <v>9</v>
      </c>
      <c r="R38" s="54">
        <f>SUM(H38+P38)</f>
        <v>18</v>
      </c>
    </row>
    <row r="39" spans="1:18" ht="15.75" customHeight="1">
      <c r="A39" s="52">
        <v>0.52083333333333337</v>
      </c>
      <c r="B39" s="29">
        <v>3</v>
      </c>
      <c r="C39" s="30">
        <v>1</v>
      </c>
      <c r="D39" s="30">
        <v>0</v>
      </c>
      <c r="E39" s="30">
        <v>0</v>
      </c>
      <c r="F39" s="30">
        <v>0</v>
      </c>
      <c r="G39" s="53">
        <v>0</v>
      </c>
      <c r="H39" s="54">
        <f>SUM(B39:G39)</f>
        <v>4</v>
      </c>
      <c r="J39" s="29">
        <v>5</v>
      </c>
      <c r="K39" s="30">
        <v>1</v>
      </c>
      <c r="L39" s="30">
        <v>1</v>
      </c>
      <c r="M39" s="30">
        <v>0</v>
      </c>
      <c r="N39" s="30">
        <v>0</v>
      </c>
      <c r="O39" s="53">
        <v>0</v>
      </c>
      <c r="P39" s="54">
        <f>SUM(J39:O39)</f>
        <v>7</v>
      </c>
      <c r="R39" s="54">
        <f>SUM(H39+P39)</f>
        <v>11</v>
      </c>
    </row>
    <row r="40" spans="1:18" ht="15.75" customHeight="1">
      <c r="A40" s="55">
        <v>0.53125</v>
      </c>
      <c r="B40" s="38">
        <v>14</v>
      </c>
      <c r="C40" s="39">
        <v>2</v>
      </c>
      <c r="D40" s="39">
        <v>1</v>
      </c>
      <c r="E40" s="39">
        <v>0</v>
      </c>
      <c r="F40" s="39">
        <v>0</v>
      </c>
      <c r="G40" s="40">
        <v>1</v>
      </c>
      <c r="H40" s="56">
        <f>SUM(B40:G40)</f>
        <v>18</v>
      </c>
      <c r="J40" s="38">
        <v>8</v>
      </c>
      <c r="K40" s="39">
        <v>3</v>
      </c>
      <c r="L40" s="39">
        <v>0</v>
      </c>
      <c r="M40" s="39">
        <v>0</v>
      </c>
      <c r="N40" s="39">
        <v>0</v>
      </c>
      <c r="O40" s="40">
        <v>0</v>
      </c>
      <c r="P40" s="56">
        <f>SUM(J40:O40)</f>
        <v>11</v>
      </c>
      <c r="R40" s="56">
        <f>SUM(H40+P40)</f>
        <v>29</v>
      </c>
    </row>
    <row r="41" spans="1:18" ht="15.75" customHeight="1">
      <c r="A41" s="44" t="s">
        <v>23</v>
      </c>
      <c r="B41" s="41">
        <f t="shared" ref="B41:G41" si="20">SUM(B37:B40)</f>
        <v>28</v>
      </c>
      <c r="C41" s="42">
        <f t="shared" si="20"/>
        <v>4</v>
      </c>
      <c r="D41" s="42">
        <f t="shared" si="20"/>
        <v>1</v>
      </c>
      <c r="E41" s="42">
        <f t="shared" si="20"/>
        <v>0</v>
      </c>
      <c r="F41" s="42">
        <f t="shared" si="20"/>
        <v>0</v>
      </c>
      <c r="G41" s="43">
        <f t="shared" si="20"/>
        <v>1</v>
      </c>
      <c r="H41" s="44">
        <f t="shared" ref="H41" si="21">SUM(H37:H40)</f>
        <v>34</v>
      </c>
      <c r="J41" s="41">
        <f t="shared" ref="J41:O41" si="22">SUM(J37:J40)</f>
        <v>27</v>
      </c>
      <c r="K41" s="42">
        <f t="shared" si="22"/>
        <v>7</v>
      </c>
      <c r="L41" s="42">
        <f t="shared" si="22"/>
        <v>1</v>
      </c>
      <c r="M41" s="42">
        <f t="shared" si="22"/>
        <v>0</v>
      </c>
      <c r="N41" s="42">
        <f t="shared" si="22"/>
        <v>0</v>
      </c>
      <c r="O41" s="43">
        <f t="shared" si="22"/>
        <v>0</v>
      </c>
      <c r="P41" s="44">
        <f t="shared" ref="P41" si="23">SUM(P37:P40)</f>
        <v>35</v>
      </c>
      <c r="R41" s="44">
        <f>SUM(R37:R40)</f>
        <v>69</v>
      </c>
    </row>
    <row r="43" spans="1:18" ht="15.75" customHeight="1">
      <c r="A43" s="44" t="s">
        <v>24</v>
      </c>
      <c r="B43" s="41">
        <f t="shared" ref="B43:H43" si="24">SUM(B41+B36+B31+B26+B21+B16)</f>
        <v>258</v>
      </c>
      <c r="C43" s="42">
        <f t="shared" si="24"/>
        <v>43</v>
      </c>
      <c r="D43" s="42">
        <f t="shared" si="24"/>
        <v>3</v>
      </c>
      <c r="E43" s="42">
        <f t="shared" si="24"/>
        <v>0</v>
      </c>
      <c r="F43" s="42">
        <f t="shared" si="24"/>
        <v>2</v>
      </c>
      <c r="G43" s="43">
        <f t="shared" si="24"/>
        <v>1</v>
      </c>
      <c r="H43" s="44">
        <f t="shared" si="24"/>
        <v>307</v>
      </c>
      <c r="J43" s="41">
        <f t="shared" ref="J43:P43" si="25">SUM(J41+J36+J31+J26+J21+J16)</f>
        <v>113</v>
      </c>
      <c r="K43" s="42">
        <f t="shared" si="25"/>
        <v>31</v>
      </c>
      <c r="L43" s="42">
        <f t="shared" si="25"/>
        <v>1</v>
      </c>
      <c r="M43" s="42">
        <f t="shared" si="25"/>
        <v>0</v>
      </c>
      <c r="N43" s="42">
        <f t="shared" si="25"/>
        <v>0</v>
      </c>
      <c r="O43" s="43">
        <f t="shared" si="25"/>
        <v>3</v>
      </c>
      <c r="P43" s="44">
        <f t="shared" si="25"/>
        <v>148</v>
      </c>
      <c r="R43" s="44">
        <f>SUM(R41+R36+R31+R26+R21+R16)</f>
        <v>455</v>
      </c>
    </row>
    <row r="45" spans="1:18" ht="15.75" customHeight="1">
      <c r="A45" s="134" t="s">
        <v>88</v>
      </c>
      <c r="B45" s="34"/>
    </row>
    <row r="46" spans="1:18" ht="15.75" customHeight="1">
      <c r="B46" s="41" t="s">
        <v>14</v>
      </c>
      <c r="C46" s="42"/>
      <c r="D46" s="42" t="str">
        <f>$D$9</f>
        <v>Eastbound</v>
      </c>
      <c r="E46" s="42"/>
      <c r="F46" s="42"/>
      <c r="G46" s="43"/>
      <c r="H46" s="44"/>
      <c r="J46" s="41" t="s">
        <v>14</v>
      </c>
      <c r="K46" s="42"/>
      <c r="L46" s="42" t="str">
        <f>$L$9</f>
        <v>Westbound</v>
      </c>
      <c r="M46" s="42"/>
      <c r="N46" s="42"/>
      <c r="O46" s="43"/>
      <c r="P46" s="44"/>
      <c r="R46" s="123" t="s">
        <v>22</v>
      </c>
    </row>
    <row r="47" spans="1:18" s="45" customFormat="1" ht="15.75" customHeight="1">
      <c r="B47" s="46" t="str">
        <f>$B$10</f>
        <v>CAR</v>
      </c>
      <c r="C47" s="47" t="str">
        <f>$C$10</f>
        <v>LGV</v>
      </c>
      <c r="D47" s="47" t="str">
        <f>$D$10</f>
        <v>OGV1</v>
      </c>
      <c r="E47" s="47" t="str">
        <f>$E$10</f>
        <v>OGV2</v>
      </c>
      <c r="F47" s="47" t="str">
        <f>$F$10</f>
        <v>PSV</v>
      </c>
      <c r="G47" s="48" t="str">
        <f>$G$10</f>
        <v>MC</v>
      </c>
      <c r="H47" s="49" t="s">
        <v>21</v>
      </c>
      <c r="J47" s="46" t="str">
        <f>$B$10</f>
        <v>CAR</v>
      </c>
      <c r="K47" s="47" t="str">
        <f>$C$10</f>
        <v>LGV</v>
      </c>
      <c r="L47" s="47" t="str">
        <f>$D$10</f>
        <v>OGV1</v>
      </c>
      <c r="M47" s="47" t="str">
        <f>$E$10</f>
        <v>OGV2</v>
      </c>
      <c r="N47" s="47" t="str">
        <f>$F$10</f>
        <v>PSV</v>
      </c>
      <c r="O47" s="48" t="str">
        <f>$G$10</f>
        <v>MC</v>
      </c>
      <c r="P47" s="49" t="s">
        <v>21</v>
      </c>
      <c r="R47" s="124"/>
    </row>
    <row r="49" spans="1:18" ht="15.75" customHeight="1">
      <c r="A49" s="50">
        <v>0.54166666666666663</v>
      </c>
      <c r="B49" s="25">
        <v>6</v>
      </c>
      <c r="C49" s="26">
        <v>2</v>
      </c>
      <c r="D49" s="26">
        <v>0</v>
      </c>
      <c r="E49" s="26">
        <v>0</v>
      </c>
      <c r="F49" s="26">
        <v>0</v>
      </c>
      <c r="G49" s="27">
        <v>0</v>
      </c>
      <c r="H49" s="51">
        <f>SUM(B49:G49)</f>
        <v>8</v>
      </c>
      <c r="J49" s="25">
        <v>11</v>
      </c>
      <c r="K49" s="26">
        <v>1</v>
      </c>
      <c r="L49" s="26">
        <v>0</v>
      </c>
      <c r="M49" s="26">
        <v>0</v>
      </c>
      <c r="N49" s="26">
        <v>0</v>
      </c>
      <c r="O49" s="27">
        <v>0</v>
      </c>
      <c r="P49" s="51">
        <f>SUM(J49:O49)</f>
        <v>12</v>
      </c>
      <c r="R49" s="51">
        <f>SUM(H49+P49)</f>
        <v>20</v>
      </c>
    </row>
    <row r="50" spans="1:18" ht="15.75" customHeight="1">
      <c r="A50" s="52">
        <v>0.55208333333333337</v>
      </c>
      <c r="B50" s="29">
        <v>4</v>
      </c>
      <c r="C50" s="30">
        <v>1</v>
      </c>
      <c r="D50" s="30">
        <v>0</v>
      </c>
      <c r="E50" s="30">
        <v>0</v>
      </c>
      <c r="F50" s="30">
        <v>0</v>
      </c>
      <c r="G50" s="53">
        <v>0</v>
      </c>
      <c r="H50" s="54">
        <f>SUM(B50:G50)</f>
        <v>5</v>
      </c>
      <c r="J50" s="29">
        <v>6</v>
      </c>
      <c r="K50" s="30">
        <v>0</v>
      </c>
      <c r="L50" s="30">
        <v>0</v>
      </c>
      <c r="M50" s="30">
        <v>0</v>
      </c>
      <c r="N50" s="30">
        <v>0</v>
      </c>
      <c r="O50" s="53">
        <v>0</v>
      </c>
      <c r="P50" s="54">
        <f>SUM(J50:O50)</f>
        <v>6</v>
      </c>
      <c r="R50" s="54">
        <f>SUM(H50+P50)</f>
        <v>11</v>
      </c>
    </row>
    <row r="51" spans="1:18" ht="15.75" customHeight="1">
      <c r="A51" s="52">
        <v>0.5625</v>
      </c>
      <c r="B51" s="29">
        <v>9</v>
      </c>
      <c r="C51" s="30">
        <v>0</v>
      </c>
      <c r="D51" s="30">
        <v>0</v>
      </c>
      <c r="E51" s="30">
        <v>0</v>
      </c>
      <c r="F51" s="30">
        <v>0</v>
      </c>
      <c r="G51" s="53">
        <v>1</v>
      </c>
      <c r="H51" s="54">
        <f>SUM(B51:G51)</f>
        <v>10</v>
      </c>
      <c r="J51" s="29">
        <v>9</v>
      </c>
      <c r="K51" s="30">
        <v>1</v>
      </c>
      <c r="L51" s="30">
        <v>0</v>
      </c>
      <c r="M51" s="30">
        <v>0</v>
      </c>
      <c r="N51" s="30">
        <v>0</v>
      </c>
      <c r="O51" s="53">
        <v>0</v>
      </c>
      <c r="P51" s="54">
        <f>SUM(J51:O51)</f>
        <v>10</v>
      </c>
      <c r="R51" s="54">
        <f>SUM(H51+P51)</f>
        <v>20</v>
      </c>
    </row>
    <row r="52" spans="1:18" ht="15.75" customHeight="1">
      <c r="A52" s="55">
        <v>0.57291666666666663</v>
      </c>
      <c r="B52" s="38">
        <v>10</v>
      </c>
      <c r="C52" s="39">
        <v>1</v>
      </c>
      <c r="D52" s="39">
        <v>0</v>
      </c>
      <c r="E52" s="39">
        <v>0</v>
      </c>
      <c r="F52" s="39">
        <v>0</v>
      </c>
      <c r="G52" s="40">
        <v>0</v>
      </c>
      <c r="H52" s="56">
        <f>SUM(B52:G52)</f>
        <v>11</v>
      </c>
      <c r="J52" s="38">
        <v>8</v>
      </c>
      <c r="K52" s="39">
        <v>0</v>
      </c>
      <c r="L52" s="39">
        <v>0</v>
      </c>
      <c r="M52" s="39">
        <v>0</v>
      </c>
      <c r="N52" s="39">
        <v>0</v>
      </c>
      <c r="O52" s="40">
        <v>0</v>
      </c>
      <c r="P52" s="56">
        <f>SUM(J52:O52)</f>
        <v>8</v>
      </c>
      <c r="R52" s="56">
        <f>SUM(H52+P52)</f>
        <v>19</v>
      </c>
    </row>
    <row r="53" spans="1:18" ht="15.75" customHeight="1">
      <c r="A53" s="44" t="s">
        <v>23</v>
      </c>
      <c r="B53" s="41">
        <f t="shared" ref="B53:G53" si="26">SUM(B49:B52)</f>
        <v>29</v>
      </c>
      <c r="C53" s="42">
        <f t="shared" si="26"/>
        <v>4</v>
      </c>
      <c r="D53" s="42">
        <f t="shared" si="26"/>
        <v>0</v>
      </c>
      <c r="E53" s="42">
        <f t="shared" si="26"/>
        <v>0</v>
      </c>
      <c r="F53" s="42">
        <f t="shared" si="26"/>
        <v>0</v>
      </c>
      <c r="G53" s="43">
        <f t="shared" si="26"/>
        <v>1</v>
      </c>
      <c r="H53" s="44">
        <f t="shared" ref="H53" si="27">SUM(H49:H52)</f>
        <v>34</v>
      </c>
      <c r="J53" s="41">
        <f t="shared" ref="J53:O53" si="28">SUM(J49:J52)</f>
        <v>34</v>
      </c>
      <c r="K53" s="42">
        <f t="shared" si="28"/>
        <v>2</v>
      </c>
      <c r="L53" s="42">
        <f t="shared" si="28"/>
        <v>0</v>
      </c>
      <c r="M53" s="42">
        <f t="shared" si="28"/>
        <v>0</v>
      </c>
      <c r="N53" s="42">
        <f t="shared" si="28"/>
        <v>0</v>
      </c>
      <c r="O53" s="43">
        <f t="shared" si="28"/>
        <v>0</v>
      </c>
      <c r="P53" s="44">
        <f t="shared" ref="P53" si="29">SUM(P49:P52)</f>
        <v>36</v>
      </c>
      <c r="R53" s="44">
        <f>SUM(R49:R52)</f>
        <v>70</v>
      </c>
    </row>
    <row r="54" spans="1:18" ht="15.75" customHeight="1">
      <c r="A54" s="50">
        <v>0.58333333333333337</v>
      </c>
      <c r="B54" s="25">
        <v>6</v>
      </c>
      <c r="C54" s="26">
        <v>0</v>
      </c>
      <c r="D54" s="26">
        <v>0</v>
      </c>
      <c r="E54" s="26">
        <v>0</v>
      </c>
      <c r="F54" s="26">
        <v>0</v>
      </c>
      <c r="G54" s="27">
        <v>0</v>
      </c>
      <c r="H54" s="51">
        <f>SUM(B54:G54)</f>
        <v>6</v>
      </c>
      <c r="J54" s="25">
        <v>7</v>
      </c>
      <c r="K54" s="26">
        <v>0</v>
      </c>
      <c r="L54" s="26">
        <v>0</v>
      </c>
      <c r="M54" s="26">
        <v>0</v>
      </c>
      <c r="N54" s="26">
        <v>0</v>
      </c>
      <c r="O54" s="27">
        <v>0</v>
      </c>
      <c r="P54" s="51">
        <f>SUM(J54:O54)</f>
        <v>7</v>
      </c>
      <c r="R54" s="51">
        <f>SUM(H54+P54)</f>
        <v>13</v>
      </c>
    </row>
    <row r="55" spans="1:18" ht="15.75" customHeight="1">
      <c r="A55" s="52">
        <v>0.59375</v>
      </c>
      <c r="B55" s="29">
        <v>8</v>
      </c>
      <c r="C55" s="30">
        <v>0</v>
      </c>
      <c r="D55" s="30">
        <v>0</v>
      </c>
      <c r="E55" s="30">
        <v>0</v>
      </c>
      <c r="F55" s="30">
        <v>0</v>
      </c>
      <c r="G55" s="53">
        <v>0</v>
      </c>
      <c r="H55" s="54">
        <f>SUM(B55:G55)</f>
        <v>8</v>
      </c>
      <c r="J55" s="29">
        <v>6</v>
      </c>
      <c r="K55" s="30">
        <v>0</v>
      </c>
      <c r="L55" s="30">
        <v>0</v>
      </c>
      <c r="M55" s="30">
        <v>0</v>
      </c>
      <c r="N55" s="30">
        <v>0</v>
      </c>
      <c r="O55" s="53">
        <v>0</v>
      </c>
      <c r="P55" s="54">
        <f>SUM(J55:O55)</f>
        <v>6</v>
      </c>
      <c r="R55" s="54">
        <f>SUM(H55+P55)</f>
        <v>14</v>
      </c>
    </row>
    <row r="56" spans="1:18" ht="15.75" customHeight="1">
      <c r="A56" s="52">
        <v>0.60416666666666663</v>
      </c>
      <c r="B56" s="29">
        <v>6</v>
      </c>
      <c r="C56" s="30">
        <v>1</v>
      </c>
      <c r="D56" s="30">
        <v>1</v>
      </c>
      <c r="E56" s="30">
        <v>0</v>
      </c>
      <c r="F56" s="30">
        <v>0</v>
      </c>
      <c r="G56" s="53">
        <v>0</v>
      </c>
      <c r="H56" s="54">
        <f>SUM(B56:G56)</f>
        <v>8</v>
      </c>
      <c r="J56" s="29">
        <v>8</v>
      </c>
      <c r="K56" s="30">
        <v>3</v>
      </c>
      <c r="L56" s="30">
        <v>0</v>
      </c>
      <c r="M56" s="30">
        <v>0</v>
      </c>
      <c r="N56" s="30">
        <v>0</v>
      </c>
      <c r="O56" s="53">
        <v>0</v>
      </c>
      <c r="P56" s="54">
        <f>SUM(J56:O56)</f>
        <v>11</v>
      </c>
      <c r="R56" s="54">
        <f>SUM(H56+P56)</f>
        <v>19</v>
      </c>
    </row>
    <row r="57" spans="1:18" ht="15.75" customHeight="1">
      <c r="A57" s="55">
        <v>0.61458333333333337</v>
      </c>
      <c r="B57" s="38">
        <v>9</v>
      </c>
      <c r="C57" s="39">
        <v>2</v>
      </c>
      <c r="D57" s="39">
        <v>0</v>
      </c>
      <c r="E57" s="39">
        <v>0</v>
      </c>
      <c r="F57" s="39">
        <v>0</v>
      </c>
      <c r="G57" s="40">
        <v>0</v>
      </c>
      <c r="H57" s="56">
        <f>SUM(B57:G57)</f>
        <v>11</v>
      </c>
      <c r="J57" s="38">
        <v>13</v>
      </c>
      <c r="K57" s="39">
        <v>3</v>
      </c>
      <c r="L57" s="39">
        <v>0</v>
      </c>
      <c r="M57" s="39">
        <v>0</v>
      </c>
      <c r="N57" s="39">
        <v>0</v>
      </c>
      <c r="O57" s="40">
        <v>0</v>
      </c>
      <c r="P57" s="56">
        <f>SUM(J57:O57)</f>
        <v>16</v>
      </c>
      <c r="R57" s="56">
        <f>SUM(H57+P57)</f>
        <v>27</v>
      </c>
    </row>
    <row r="58" spans="1:18" ht="15.75" customHeight="1">
      <c r="A58" s="44" t="s">
        <v>23</v>
      </c>
      <c r="B58" s="41">
        <f t="shared" ref="B58:G58" si="30">SUM(B54:B57)</f>
        <v>29</v>
      </c>
      <c r="C58" s="42">
        <f t="shared" si="30"/>
        <v>3</v>
      </c>
      <c r="D58" s="42">
        <f t="shared" si="30"/>
        <v>1</v>
      </c>
      <c r="E58" s="42">
        <f t="shared" si="30"/>
        <v>0</v>
      </c>
      <c r="F58" s="42">
        <f t="shared" si="30"/>
        <v>0</v>
      </c>
      <c r="G58" s="43">
        <f t="shared" si="30"/>
        <v>0</v>
      </c>
      <c r="H58" s="44">
        <f t="shared" ref="H58" si="31">SUM(H54:H57)</f>
        <v>33</v>
      </c>
      <c r="J58" s="41">
        <f t="shared" ref="J58:O58" si="32">SUM(J54:J57)</f>
        <v>34</v>
      </c>
      <c r="K58" s="42">
        <f t="shared" si="32"/>
        <v>6</v>
      </c>
      <c r="L58" s="42">
        <f t="shared" si="32"/>
        <v>0</v>
      </c>
      <c r="M58" s="42">
        <f t="shared" si="32"/>
        <v>0</v>
      </c>
      <c r="N58" s="42">
        <f t="shared" si="32"/>
        <v>0</v>
      </c>
      <c r="O58" s="43">
        <f t="shared" si="32"/>
        <v>0</v>
      </c>
      <c r="P58" s="44">
        <f t="shared" ref="P58" si="33">SUM(P54:P57)</f>
        <v>40</v>
      </c>
      <c r="R58" s="44">
        <f>SUM(R54:R57)</f>
        <v>73</v>
      </c>
    </row>
    <row r="59" spans="1:18" ht="15.75" customHeight="1">
      <c r="A59" s="50">
        <v>0.625</v>
      </c>
      <c r="B59" s="25">
        <v>7</v>
      </c>
      <c r="C59" s="26">
        <v>1</v>
      </c>
      <c r="D59" s="26">
        <v>0</v>
      </c>
      <c r="E59" s="26">
        <v>0</v>
      </c>
      <c r="F59" s="26">
        <v>0</v>
      </c>
      <c r="G59" s="27">
        <v>0</v>
      </c>
      <c r="H59" s="51">
        <f>SUM(B59:G59)</f>
        <v>8</v>
      </c>
      <c r="J59" s="25">
        <v>13</v>
      </c>
      <c r="K59" s="26">
        <v>0</v>
      </c>
      <c r="L59" s="26">
        <v>0</v>
      </c>
      <c r="M59" s="26">
        <v>0</v>
      </c>
      <c r="N59" s="26">
        <v>0</v>
      </c>
      <c r="O59" s="27">
        <v>0</v>
      </c>
      <c r="P59" s="51">
        <f>SUM(J59:O59)</f>
        <v>13</v>
      </c>
      <c r="R59" s="51">
        <f>SUM(H59+P59)</f>
        <v>21</v>
      </c>
    </row>
    <row r="60" spans="1:18" ht="15.75" customHeight="1">
      <c r="A60" s="52">
        <v>0.63541666666666663</v>
      </c>
      <c r="B60" s="29">
        <v>31</v>
      </c>
      <c r="C60" s="30">
        <v>2</v>
      </c>
      <c r="D60" s="30">
        <v>0</v>
      </c>
      <c r="E60" s="30">
        <v>0</v>
      </c>
      <c r="F60" s="30">
        <v>0</v>
      </c>
      <c r="G60" s="53">
        <v>0</v>
      </c>
      <c r="H60" s="54">
        <f>SUM(B60:G60)</f>
        <v>33</v>
      </c>
      <c r="J60" s="29">
        <v>3</v>
      </c>
      <c r="K60" s="30">
        <v>1</v>
      </c>
      <c r="L60" s="30">
        <v>0</v>
      </c>
      <c r="M60" s="30">
        <v>0</v>
      </c>
      <c r="N60" s="30">
        <v>0</v>
      </c>
      <c r="O60" s="53">
        <v>0</v>
      </c>
      <c r="P60" s="54">
        <f>SUM(J60:O60)</f>
        <v>4</v>
      </c>
      <c r="R60" s="54">
        <f>SUM(H60+P60)</f>
        <v>37</v>
      </c>
    </row>
    <row r="61" spans="1:18" ht="15.75" customHeight="1">
      <c r="A61" s="52">
        <v>0.64583333333333337</v>
      </c>
      <c r="B61" s="29">
        <v>26</v>
      </c>
      <c r="C61" s="30">
        <v>0</v>
      </c>
      <c r="D61" s="30">
        <v>2</v>
      </c>
      <c r="E61" s="30">
        <v>0</v>
      </c>
      <c r="F61" s="30">
        <v>0</v>
      </c>
      <c r="G61" s="53">
        <v>0</v>
      </c>
      <c r="H61" s="54">
        <f>SUM(B61:G61)</f>
        <v>28</v>
      </c>
      <c r="J61" s="29">
        <v>8</v>
      </c>
      <c r="K61" s="30">
        <v>0</v>
      </c>
      <c r="L61" s="30">
        <v>2</v>
      </c>
      <c r="M61" s="30">
        <v>0</v>
      </c>
      <c r="N61" s="30">
        <v>0</v>
      </c>
      <c r="O61" s="53">
        <v>0</v>
      </c>
      <c r="P61" s="54">
        <f>SUM(J61:O61)</f>
        <v>10</v>
      </c>
      <c r="R61" s="54">
        <f>SUM(H61+P61)</f>
        <v>38</v>
      </c>
    </row>
    <row r="62" spans="1:18" ht="15.75" customHeight="1">
      <c r="A62" s="55">
        <v>0.65625</v>
      </c>
      <c r="B62" s="38">
        <v>10</v>
      </c>
      <c r="C62" s="39">
        <v>0</v>
      </c>
      <c r="D62" s="39">
        <v>0</v>
      </c>
      <c r="E62" s="39">
        <v>0</v>
      </c>
      <c r="F62" s="39">
        <v>0</v>
      </c>
      <c r="G62" s="40">
        <v>0</v>
      </c>
      <c r="H62" s="56">
        <f>SUM(B62:G62)</f>
        <v>10</v>
      </c>
      <c r="J62" s="38">
        <v>5</v>
      </c>
      <c r="K62" s="39">
        <v>1</v>
      </c>
      <c r="L62" s="39">
        <v>0</v>
      </c>
      <c r="M62" s="39">
        <v>0</v>
      </c>
      <c r="N62" s="39">
        <v>0</v>
      </c>
      <c r="O62" s="40">
        <v>0</v>
      </c>
      <c r="P62" s="56">
        <f>SUM(J62:O62)</f>
        <v>6</v>
      </c>
      <c r="R62" s="56">
        <f>SUM(H62+P62)</f>
        <v>16</v>
      </c>
    </row>
    <row r="63" spans="1:18" ht="15.75" customHeight="1">
      <c r="A63" s="44" t="s">
        <v>23</v>
      </c>
      <c r="B63" s="41">
        <f t="shared" ref="B63:G63" si="34">SUM(B59:B62)</f>
        <v>74</v>
      </c>
      <c r="C63" s="42">
        <f t="shared" si="34"/>
        <v>3</v>
      </c>
      <c r="D63" s="42">
        <f t="shared" si="34"/>
        <v>2</v>
      </c>
      <c r="E63" s="42">
        <f t="shared" si="34"/>
        <v>0</v>
      </c>
      <c r="F63" s="42">
        <f t="shared" si="34"/>
        <v>0</v>
      </c>
      <c r="G63" s="43">
        <f t="shared" si="34"/>
        <v>0</v>
      </c>
      <c r="H63" s="44">
        <f t="shared" ref="H63" si="35">SUM(H59:H62)</f>
        <v>79</v>
      </c>
      <c r="J63" s="41">
        <f t="shared" ref="J63:O63" si="36">SUM(J59:J62)</f>
        <v>29</v>
      </c>
      <c r="K63" s="42">
        <f t="shared" si="36"/>
        <v>2</v>
      </c>
      <c r="L63" s="42">
        <f t="shared" si="36"/>
        <v>2</v>
      </c>
      <c r="M63" s="42">
        <f t="shared" si="36"/>
        <v>0</v>
      </c>
      <c r="N63" s="42">
        <f t="shared" si="36"/>
        <v>0</v>
      </c>
      <c r="O63" s="43">
        <f t="shared" si="36"/>
        <v>0</v>
      </c>
      <c r="P63" s="44">
        <f t="shared" ref="P63" si="37">SUM(P59:P62)</f>
        <v>33</v>
      </c>
      <c r="R63" s="44">
        <f>SUM(R59:R62)</f>
        <v>112</v>
      </c>
    </row>
    <row r="64" spans="1:18" ht="15.75" customHeight="1">
      <c r="A64" s="50">
        <v>0.66666666666666663</v>
      </c>
      <c r="B64" s="25">
        <v>10</v>
      </c>
      <c r="C64" s="26">
        <v>2</v>
      </c>
      <c r="D64" s="26">
        <v>0</v>
      </c>
      <c r="E64" s="26">
        <v>0</v>
      </c>
      <c r="F64" s="26">
        <v>0</v>
      </c>
      <c r="G64" s="27">
        <v>0</v>
      </c>
      <c r="H64" s="51">
        <f>SUM(B64:G64)</f>
        <v>12</v>
      </c>
      <c r="J64" s="25">
        <v>8</v>
      </c>
      <c r="K64" s="26">
        <v>1</v>
      </c>
      <c r="L64" s="26">
        <v>0</v>
      </c>
      <c r="M64" s="26">
        <v>0</v>
      </c>
      <c r="N64" s="26">
        <v>0</v>
      </c>
      <c r="O64" s="27">
        <v>0</v>
      </c>
      <c r="P64" s="51">
        <f>SUM(J64:O64)</f>
        <v>9</v>
      </c>
      <c r="R64" s="51">
        <f>SUM(H64+P64)</f>
        <v>21</v>
      </c>
    </row>
    <row r="65" spans="1:18" ht="15.75" customHeight="1">
      <c r="A65" s="52">
        <v>0.67708333333333337</v>
      </c>
      <c r="B65" s="29">
        <v>16</v>
      </c>
      <c r="C65" s="30">
        <v>3</v>
      </c>
      <c r="D65" s="30">
        <v>0</v>
      </c>
      <c r="E65" s="30">
        <v>0</v>
      </c>
      <c r="F65" s="30">
        <v>0</v>
      </c>
      <c r="G65" s="53">
        <v>0</v>
      </c>
      <c r="H65" s="54">
        <f>SUM(B65:G65)</f>
        <v>19</v>
      </c>
      <c r="J65" s="29">
        <v>10</v>
      </c>
      <c r="K65" s="30">
        <v>2</v>
      </c>
      <c r="L65" s="30">
        <v>0</v>
      </c>
      <c r="M65" s="30">
        <v>0</v>
      </c>
      <c r="N65" s="30">
        <v>0</v>
      </c>
      <c r="O65" s="53">
        <v>0</v>
      </c>
      <c r="P65" s="54">
        <f>SUM(J65:O65)</f>
        <v>12</v>
      </c>
      <c r="R65" s="54">
        <f>SUM(H65+P65)</f>
        <v>31</v>
      </c>
    </row>
    <row r="66" spans="1:18" ht="15.75" customHeight="1">
      <c r="A66" s="52">
        <v>0.6875</v>
      </c>
      <c r="B66" s="29">
        <v>14</v>
      </c>
      <c r="C66" s="30">
        <v>1</v>
      </c>
      <c r="D66" s="30">
        <v>0</v>
      </c>
      <c r="E66" s="30">
        <v>0</v>
      </c>
      <c r="F66" s="30">
        <v>0</v>
      </c>
      <c r="G66" s="53">
        <v>0</v>
      </c>
      <c r="H66" s="54">
        <f>SUM(B66:G66)</f>
        <v>15</v>
      </c>
      <c r="J66" s="29">
        <v>6</v>
      </c>
      <c r="K66" s="30">
        <v>1</v>
      </c>
      <c r="L66" s="30">
        <v>0</v>
      </c>
      <c r="M66" s="30">
        <v>0</v>
      </c>
      <c r="N66" s="30">
        <v>0</v>
      </c>
      <c r="O66" s="53">
        <v>0</v>
      </c>
      <c r="P66" s="54">
        <f>SUM(J66:O66)</f>
        <v>7</v>
      </c>
      <c r="R66" s="54">
        <f>SUM(H66+P66)</f>
        <v>22</v>
      </c>
    </row>
    <row r="67" spans="1:18" ht="15.75" customHeight="1">
      <c r="A67" s="55">
        <v>0.69791666666666663</v>
      </c>
      <c r="B67" s="38">
        <v>7</v>
      </c>
      <c r="C67" s="39">
        <v>0</v>
      </c>
      <c r="D67" s="39">
        <v>0</v>
      </c>
      <c r="E67" s="39">
        <v>0</v>
      </c>
      <c r="F67" s="39">
        <v>0</v>
      </c>
      <c r="G67" s="40">
        <v>0</v>
      </c>
      <c r="H67" s="56">
        <f>SUM(B67:G67)</f>
        <v>7</v>
      </c>
      <c r="J67" s="38">
        <v>6</v>
      </c>
      <c r="K67" s="39">
        <v>4</v>
      </c>
      <c r="L67" s="39">
        <v>0</v>
      </c>
      <c r="M67" s="39">
        <v>0</v>
      </c>
      <c r="N67" s="39">
        <v>0</v>
      </c>
      <c r="O67" s="40">
        <v>0</v>
      </c>
      <c r="P67" s="56">
        <f>SUM(J67:O67)</f>
        <v>10</v>
      </c>
      <c r="R67" s="56">
        <f>SUM(H67+P67)</f>
        <v>17</v>
      </c>
    </row>
    <row r="68" spans="1:18" ht="15.75" customHeight="1">
      <c r="A68" s="44" t="s">
        <v>23</v>
      </c>
      <c r="B68" s="41">
        <f t="shared" ref="B68:G68" si="38">SUM(B64:B67)</f>
        <v>47</v>
      </c>
      <c r="C68" s="42">
        <f t="shared" si="38"/>
        <v>6</v>
      </c>
      <c r="D68" s="42">
        <f t="shared" si="38"/>
        <v>0</v>
      </c>
      <c r="E68" s="42">
        <f t="shared" si="38"/>
        <v>0</v>
      </c>
      <c r="F68" s="42">
        <f t="shared" si="38"/>
        <v>0</v>
      </c>
      <c r="G68" s="43">
        <f t="shared" si="38"/>
        <v>0</v>
      </c>
      <c r="H68" s="44">
        <f t="shared" ref="H68" si="39">SUM(H64:H67)</f>
        <v>53</v>
      </c>
      <c r="J68" s="41">
        <f t="shared" ref="J68:O68" si="40">SUM(J64:J67)</f>
        <v>30</v>
      </c>
      <c r="K68" s="42">
        <f t="shared" si="40"/>
        <v>8</v>
      </c>
      <c r="L68" s="42">
        <f t="shared" si="40"/>
        <v>0</v>
      </c>
      <c r="M68" s="42">
        <f t="shared" si="40"/>
        <v>0</v>
      </c>
      <c r="N68" s="42">
        <f t="shared" si="40"/>
        <v>0</v>
      </c>
      <c r="O68" s="43">
        <f t="shared" si="40"/>
        <v>0</v>
      </c>
      <c r="P68" s="44">
        <f t="shared" ref="P68" si="41">SUM(P64:P67)</f>
        <v>38</v>
      </c>
      <c r="R68" s="44">
        <f>SUM(R64:R67)</f>
        <v>91</v>
      </c>
    </row>
    <row r="69" spans="1:18" ht="15.75" customHeight="1">
      <c r="A69" s="50">
        <v>0.70833333333333337</v>
      </c>
      <c r="B69" s="25">
        <v>15</v>
      </c>
      <c r="C69" s="26">
        <v>0</v>
      </c>
      <c r="D69" s="26">
        <v>0</v>
      </c>
      <c r="E69" s="26">
        <v>0</v>
      </c>
      <c r="F69" s="26">
        <v>0</v>
      </c>
      <c r="G69" s="27">
        <v>0</v>
      </c>
      <c r="H69" s="51">
        <f>SUM(B69:G69)</f>
        <v>15</v>
      </c>
      <c r="J69" s="25">
        <v>9</v>
      </c>
      <c r="K69" s="26">
        <v>2</v>
      </c>
      <c r="L69" s="26">
        <v>0</v>
      </c>
      <c r="M69" s="26">
        <v>0</v>
      </c>
      <c r="N69" s="26">
        <v>0</v>
      </c>
      <c r="O69" s="27">
        <v>0</v>
      </c>
      <c r="P69" s="51">
        <f>SUM(J69:O69)</f>
        <v>11</v>
      </c>
      <c r="R69" s="51">
        <f>SUM(H69+P69)</f>
        <v>26</v>
      </c>
    </row>
    <row r="70" spans="1:18" ht="15.75" customHeight="1">
      <c r="A70" s="52">
        <v>0.71875</v>
      </c>
      <c r="B70" s="29">
        <v>6</v>
      </c>
      <c r="C70" s="30">
        <v>1</v>
      </c>
      <c r="D70" s="30">
        <v>0</v>
      </c>
      <c r="E70" s="30">
        <v>0</v>
      </c>
      <c r="F70" s="30">
        <v>0</v>
      </c>
      <c r="G70" s="53">
        <v>0</v>
      </c>
      <c r="H70" s="54">
        <f>SUM(B70:G70)</f>
        <v>7</v>
      </c>
      <c r="J70" s="29">
        <v>10</v>
      </c>
      <c r="K70" s="30">
        <v>3</v>
      </c>
      <c r="L70" s="30">
        <v>0</v>
      </c>
      <c r="M70" s="30">
        <v>0</v>
      </c>
      <c r="N70" s="30">
        <v>0</v>
      </c>
      <c r="O70" s="53">
        <v>0</v>
      </c>
      <c r="P70" s="54">
        <f>SUM(J70:O70)</f>
        <v>13</v>
      </c>
      <c r="R70" s="54">
        <f>SUM(H70+P70)</f>
        <v>20</v>
      </c>
    </row>
    <row r="71" spans="1:18" ht="15.75" customHeight="1">
      <c r="A71" s="52">
        <v>0.72916666666666663</v>
      </c>
      <c r="B71" s="29">
        <v>3</v>
      </c>
      <c r="C71" s="30">
        <v>0</v>
      </c>
      <c r="D71" s="30">
        <v>0</v>
      </c>
      <c r="E71" s="30">
        <v>0</v>
      </c>
      <c r="F71" s="30">
        <v>0</v>
      </c>
      <c r="G71" s="53">
        <v>0</v>
      </c>
      <c r="H71" s="54">
        <f>SUM(B71:G71)</f>
        <v>3</v>
      </c>
      <c r="J71" s="29">
        <v>6</v>
      </c>
      <c r="K71" s="30">
        <v>1</v>
      </c>
      <c r="L71" s="30">
        <v>0</v>
      </c>
      <c r="M71" s="30">
        <v>0</v>
      </c>
      <c r="N71" s="30">
        <v>0</v>
      </c>
      <c r="O71" s="53">
        <v>0</v>
      </c>
      <c r="P71" s="54">
        <f>SUM(J71:O71)</f>
        <v>7</v>
      </c>
      <c r="R71" s="54">
        <f>SUM(H71+P71)</f>
        <v>10</v>
      </c>
    </row>
    <row r="72" spans="1:18" ht="15.75" customHeight="1">
      <c r="A72" s="55">
        <v>0.73958333333333337</v>
      </c>
      <c r="B72" s="38">
        <v>9</v>
      </c>
      <c r="C72" s="39">
        <v>1</v>
      </c>
      <c r="D72" s="39">
        <v>0</v>
      </c>
      <c r="E72" s="39">
        <v>0</v>
      </c>
      <c r="F72" s="39">
        <v>0</v>
      </c>
      <c r="G72" s="40">
        <v>0</v>
      </c>
      <c r="H72" s="56">
        <f>SUM(B72:G72)</f>
        <v>10</v>
      </c>
      <c r="J72" s="38">
        <v>12</v>
      </c>
      <c r="K72" s="39">
        <v>2</v>
      </c>
      <c r="L72" s="39">
        <v>0</v>
      </c>
      <c r="M72" s="39">
        <v>0</v>
      </c>
      <c r="N72" s="39">
        <v>0</v>
      </c>
      <c r="O72" s="40">
        <v>0</v>
      </c>
      <c r="P72" s="56">
        <f>SUM(J72:O72)</f>
        <v>14</v>
      </c>
      <c r="R72" s="56">
        <f>SUM(H72+P72)</f>
        <v>24</v>
      </c>
    </row>
    <row r="73" spans="1:18" ht="15.75" customHeight="1">
      <c r="A73" s="44" t="s">
        <v>23</v>
      </c>
      <c r="B73" s="41">
        <f t="shared" ref="B73:G73" si="42">SUM(B69:B72)</f>
        <v>33</v>
      </c>
      <c r="C73" s="42">
        <f t="shared" si="42"/>
        <v>2</v>
      </c>
      <c r="D73" s="42">
        <f t="shared" si="42"/>
        <v>0</v>
      </c>
      <c r="E73" s="42">
        <f t="shared" si="42"/>
        <v>0</v>
      </c>
      <c r="F73" s="42">
        <f t="shared" si="42"/>
        <v>0</v>
      </c>
      <c r="G73" s="43">
        <f t="shared" si="42"/>
        <v>0</v>
      </c>
      <c r="H73" s="44">
        <f t="shared" ref="H73" si="43">SUM(H69:H72)</f>
        <v>35</v>
      </c>
      <c r="J73" s="41">
        <f t="shared" ref="J73:O73" si="44">SUM(J69:J72)</f>
        <v>37</v>
      </c>
      <c r="K73" s="42">
        <f t="shared" si="44"/>
        <v>8</v>
      </c>
      <c r="L73" s="42">
        <f t="shared" si="44"/>
        <v>0</v>
      </c>
      <c r="M73" s="42">
        <f t="shared" si="44"/>
        <v>0</v>
      </c>
      <c r="N73" s="42">
        <f t="shared" si="44"/>
        <v>0</v>
      </c>
      <c r="O73" s="43">
        <f t="shared" si="44"/>
        <v>0</v>
      </c>
      <c r="P73" s="44">
        <f t="shared" ref="P73" si="45">SUM(P69:P72)</f>
        <v>45</v>
      </c>
      <c r="R73" s="44">
        <f>SUM(R69:R72)</f>
        <v>80</v>
      </c>
    </row>
    <row r="74" spans="1:18" ht="15.75" customHeight="1">
      <c r="A74" s="50">
        <v>0.75</v>
      </c>
      <c r="B74" s="25">
        <v>10</v>
      </c>
      <c r="C74" s="26">
        <v>0</v>
      </c>
      <c r="D74" s="26">
        <v>0</v>
      </c>
      <c r="E74" s="26">
        <v>0</v>
      </c>
      <c r="F74" s="26">
        <v>0</v>
      </c>
      <c r="G74" s="27">
        <v>0</v>
      </c>
      <c r="H74" s="51">
        <f>SUM(B74:G74)</f>
        <v>10</v>
      </c>
      <c r="J74" s="25">
        <v>14</v>
      </c>
      <c r="K74" s="26">
        <v>0</v>
      </c>
      <c r="L74" s="26">
        <v>0</v>
      </c>
      <c r="M74" s="26">
        <v>0</v>
      </c>
      <c r="N74" s="26">
        <v>0</v>
      </c>
      <c r="O74" s="27">
        <v>1</v>
      </c>
      <c r="P74" s="51">
        <f>SUM(J74:O74)</f>
        <v>15</v>
      </c>
      <c r="R74" s="51">
        <f>SUM(H74+P74)</f>
        <v>25</v>
      </c>
    </row>
    <row r="75" spans="1:18" ht="15.75" customHeight="1">
      <c r="A75" s="52">
        <v>0.76041666666666663</v>
      </c>
      <c r="B75" s="29">
        <v>9</v>
      </c>
      <c r="C75" s="30">
        <v>0</v>
      </c>
      <c r="D75" s="30">
        <v>0</v>
      </c>
      <c r="E75" s="30">
        <v>0</v>
      </c>
      <c r="F75" s="30">
        <v>0</v>
      </c>
      <c r="G75" s="53">
        <v>0</v>
      </c>
      <c r="H75" s="54">
        <f>SUM(B75:G75)</f>
        <v>9</v>
      </c>
      <c r="J75" s="29">
        <v>14</v>
      </c>
      <c r="K75" s="30">
        <v>3</v>
      </c>
      <c r="L75" s="30">
        <v>0</v>
      </c>
      <c r="M75" s="30">
        <v>0</v>
      </c>
      <c r="N75" s="30">
        <v>0</v>
      </c>
      <c r="O75" s="53">
        <v>0</v>
      </c>
      <c r="P75" s="54">
        <f>SUM(J75:O75)</f>
        <v>17</v>
      </c>
      <c r="R75" s="54">
        <f>SUM(H75+P75)</f>
        <v>26</v>
      </c>
    </row>
    <row r="76" spans="1:18" ht="15.75" customHeight="1">
      <c r="A76" s="52">
        <v>0.77083333333333337</v>
      </c>
      <c r="B76" s="29">
        <v>10</v>
      </c>
      <c r="C76" s="30">
        <v>0</v>
      </c>
      <c r="D76" s="30">
        <v>0</v>
      </c>
      <c r="E76" s="30">
        <v>0</v>
      </c>
      <c r="F76" s="30">
        <v>0</v>
      </c>
      <c r="G76" s="53">
        <v>1</v>
      </c>
      <c r="H76" s="54">
        <f>SUM(B76:G76)</f>
        <v>11</v>
      </c>
      <c r="J76" s="29">
        <v>11</v>
      </c>
      <c r="K76" s="30">
        <v>3</v>
      </c>
      <c r="L76" s="30">
        <v>0</v>
      </c>
      <c r="M76" s="30">
        <v>0</v>
      </c>
      <c r="N76" s="30">
        <v>0</v>
      </c>
      <c r="O76" s="53">
        <v>1</v>
      </c>
      <c r="P76" s="54">
        <f>SUM(J76:O76)</f>
        <v>15</v>
      </c>
      <c r="R76" s="54">
        <f>SUM(H76+P76)</f>
        <v>26</v>
      </c>
    </row>
    <row r="77" spans="1:18" ht="15.75" customHeight="1">
      <c r="A77" s="55">
        <v>0.78125</v>
      </c>
      <c r="B77" s="38">
        <v>10</v>
      </c>
      <c r="C77" s="39">
        <v>0</v>
      </c>
      <c r="D77" s="39">
        <v>0</v>
      </c>
      <c r="E77" s="39">
        <v>0</v>
      </c>
      <c r="F77" s="39">
        <v>0</v>
      </c>
      <c r="G77" s="40">
        <v>0</v>
      </c>
      <c r="H77" s="56">
        <f>SUM(B77:G77)</f>
        <v>10</v>
      </c>
      <c r="J77" s="38">
        <v>2</v>
      </c>
      <c r="K77" s="39">
        <v>1</v>
      </c>
      <c r="L77" s="39">
        <v>0</v>
      </c>
      <c r="M77" s="39">
        <v>0</v>
      </c>
      <c r="N77" s="39">
        <v>0</v>
      </c>
      <c r="O77" s="40">
        <v>0</v>
      </c>
      <c r="P77" s="56">
        <f>SUM(J77:O77)</f>
        <v>3</v>
      </c>
      <c r="R77" s="56">
        <f>SUM(H77+P77)</f>
        <v>13</v>
      </c>
    </row>
    <row r="78" spans="1:18" ht="15.75" customHeight="1">
      <c r="A78" s="44" t="s">
        <v>23</v>
      </c>
      <c r="B78" s="41">
        <f t="shared" ref="B78:G78" si="46">SUM(B74:B77)</f>
        <v>39</v>
      </c>
      <c r="C78" s="42">
        <f t="shared" si="46"/>
        <v>0</v>
      </c>
      <c r="D78" s="42">
        <f t="shared" si="46"/>
        <v>0</v>
      </c>
      <c r="E78" s="42">
        <f t="shared" si="46"/>
        <v>0</v>
      </c>
      <c r="F78" s="42">
        <f t="shared" si="46"/>
        <v>0</v>
      </c>
      <c r="G78" s="43">
        <f t="shared" si="46"/>
        <v>1</v>
      </c>
      <c r="H78" s="44">
        <f t="shared" ref="H78" si="47">SUM(H74:H77)</f>
        <v>40</v>
      </c>
      <c r="J78" s="41">
        <f t="shared" ref="J78:O78" si="48">SUM(J74:J77)</f>
        <v>41</v>
      </c>
      <c r="K78" s="42">
        <f t="shared" si="48"/>
        <v>7</v>
      </c>
      <c r="L78" s="42">
        <f t="shared" si="48"/>
        <v>0</v>
      </c>
      <c r="M78" s="42">
        <f t="shared" si="48"/>
        <v>0</v>
      </c>
      <c r="N78" s="42">
        <f t="shared" si="48"/>
        <v>0</v>
      </c>
      <c r="O78" s="43">
        <f t="shared" si="48"/>
        <v>2</v>
      </c>
      <c r="P78" s="44">
        <f t="shared" ref="P78" si="49">SUM(P74:P77)</f>
        <v>50</v>
      </c>
      <c r="R78" s="44">
        <f>SUM(R74:R77)</f>
        <v>90</v>
      </c>
    </row>
    <row r="80" spans="1:18" ht="15.75" customHeight="1">
      <c r="A80" s="44" t="s">
        <v>24</v>
      </c>
      <c r="B80" s="41">
        <f t="shared" ref="B80:H80" si="50">SUM(B78+B73+B68+B63+B58+B53)</f>
        <v>251</v>
      </c>
      <c r="C80" s="42">
        <f t="shared" si="50"/>
        <v>18</v>
      </c>
      <c r="D80" s="42">
        <f t="shared" si="50"/>
        <v>3</v>
      </c>
      <c r="E80" s="42">
        <f t="shared" si="50"/>
        <v>0</v>
      </c>
      <c r="F80" s="42">
        <f t="shared" si="50"/>
        <v>0</v>
      </c>
      <c r="G80" s="43">
        <f t="shared" si="50"/>
        <v>2</v>
      </c>
      <c r="H80" s="44">
        <f t="shared" si="50"/>
        <v>274</v>
      </c>
      <c r="J80" s="41">
        <f t="shared" ref="J80:P80" si="51">SUM(J78+J73+J68+J63+J58+J53)</f>
        <v>205</v>
      </c>
      <c r="K80" s="42">
        <f t="shared" si="51"/>
        <v>33</v>
      </c>
      <c r="L80" s="42">
        <f t="shared" si="51"/>
        <v>2</v>
      </c>
      <c r="M80" s="42">
        <f t="shared" si="51"/>
        <v>0</v>
      </c>
      <c r="N80" s="42">
        <f t="shared" si="51"/>
        <v>0</v>
      </c>
      <c r="O80" s="43">
        <f t="shared" si="51"/>
        <v>2</v>
      </c>
      <c r="P80" s="44">
        <f t="shared" si="51"/>
        <v>242</v>
      </c>
      <c r="R80" s="44">
        <f>SUM(R78+R73+R68+R63+R58+R53)</f>
        <v>516</v>
      </c>
    </row>
    <row r="82" spans="1:18" ht="15.75" customHeight="1">
      <c r="A82" s="44" t="s">
        <v>21</v>
      </c>
      <c r="B82" s="41">
        <f t="shared" ref="B82:H82" si="52">SUM(B43+B80)</f>
        <v>509</v>
      </c>
      <c r="C82" s="42">
        <f t="shared" si="52"/>
        <v>61</v>
      </c>
      <c r="D82" s="42">
        <f t="shared" si="52"/>
        <v>6</v>
      </c>
      <c r="E82" s="42">
        <f t="shared" si="52"/>
        <v>0</v>
      </c>
      <c r="F82" s="42">
        <f t="shared" si="52"/>
        <v>2</v>
      </c>
      <c r="G82" s="43">
        <f t="shared" si="52"/>
        <v>3</v>
      </c>
      <c r="H82" s="44">
        <f t="shared" si="52"/>
        <v>581</v>
      </c>
      <c r="J82" s="41">
        <f t="shared" ref="J82:P82" si="53">SUM(J43+J80)</f>
        <v>318</v>
      </c>
      <c r="K82" s="42">
        <f t="shared" si="53"/>
        <v>64</v>
      </c>
      <c r="L82" s="42">
        <f t="shared" si="53"/>
        <v>3</v>
      </c>
      <c r="M82" s="42">
        <f t="shared" si="53"/>
        <v>0</v>
      </c>
      <c r="N82" s="42">
        <f t="shared" si="53"/>
        <v>0</v>
      </c>
      <c r="O82" s="43">
        <f t="shared" si="53"/>
        <v>5</v>
      </c>
      <c r="P82" s="44">
        <f t="shared" si="53"/>
        <v>390</v>
      </c>
      <c r="R82" s="44">
        <f>SUM(R43+R80)</f>
        <v>971</v>
      </c>
    </row>
  </sheetData>
  <mergeCells count="2">
    <mergeCell ref="R9:R10"/>
    <mergeCell ref="R46:R47"/>
  </mergeCells>
  <pageMargins left="0.7" right="0.7" top="0.75" bottom="0.75" header="0.3" footer="0.3"/>
  <pageSetup paperSize="9" scale="69" orientation="landscape" r:id="rId1"/>
  <rowBreaks count="2" manualBreakCount="2">
    <brk id="43" max="16383" man="1"/>
    <brk id="82" max="16383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R836"/>
  <sheetViews>
    <sheetView showGridLines="0" defaultGridColor="0" colorId="8" zoomScale="75" zoomScaleNormal="75" zoomScaleSheetLayoutView="50" workbookViewId="0"/>
  </sheetViews>
  <sheetFormatPr defaultColWidth="6.7109375" defaultRowHeight="15"/>
  <cols>
    <col min="1" max="1" width="8.28515625" style="81" customWidth="1"/>
    <col min="2" max="4" width="8.7109375" style="65" customWidth="1"/>
    <col min="5" max="5" width="1.7109375" style="65" customWidth="1"/>
    <col min="6" max="8" width="8.7109375" style="65" customWidth="1"/>
    <col min="9" max="9" width="3.5703125" style="65" customWidth="1"/>
    <col min="10" max="12" width="8.7109375" style="65" customWidth="1"/>
    <col min="13" max="13" width="1.7109375" style="79" customWidth="1"/>
    <col min="14" max="16" width="8.7109375" style="79" customWidth="1"/>
    <col min="17" max="256" width="6.7109375" style="79"/>
    <col min="257" max="257" width="8.28515625" style="79" customWidth="1"/>
    <col min="258" max="260" width="8.7109375" style="79" customWidth="1"/>
    <col min="261" max="261" width="1.7109375" style="79" customWidth="1"/>
    <col min="262" max="264" width="8.7109375" style="79" customWidth="1"/>
    <col min="265" max="265" width="3.5703125" style="79" customWidth="1"/>
    <col min="266" max="268" width="8.7109375" style="79" customWidth="1"/>
    <col min="269" max="269" width="1.7109375" style="79" customWidth="1"/>
    <col min="270" max="272" width="8.7109375" style="79" customWidth="1"/>
    <col min="273" max="512" width="6.7109375" style="79"/>
    <col min="513" max="513" width="8.28515625" style="79" customWidth="1"/>
    <col min="514" max="516" width="8.7109375" style="79" customWidth="1"/>
    <col min="517" max="517" width="1.7109375" style="79" customWidth="1"/>
    <col min="518" max="520" width="8.7109375" style="79" customWidth="1"/>
    <col min="521" max="521" width="3.5703125" style="79" customWidth="1"/>
    <col min="522" max="524" width="8.7109375" style="79" customWidth="1"/>
    <col min="525" max="525" width="1.7109375" style="79" customWidth="1"/>
    <col min="526" max="528" width="8.7109375" style="79" customWidth="1"/>
    <col min="529" max="768" width="6.7109375" style="79"/>
    <col min="769" max="769" width="8.28515625" style="79" customWidth="1"/>
    <col min="770" max="772" width="8.7109375" style="79" customWidth="1"/>
    <col min="773" max="773" width="1.7109375" style="79" customWidth="1"/>
    <col min="774" max="776" width="8.7109375" style="79" customWidth="1"/>
    <col min="777" max="777" width="3.5703125" style="79" customWidth="1"/>
    <col min="778" max="780" width="8.7109375" style="79" customWidth="1"/>
    <col min="781" max="781" width="1.7109375" style="79" customWidth="1"/>
    <col min="782" max="784" width="8.7109375" style="79" customWidth="1"/>
    <col min="785" max="1024" width="6.7109375" style="79"/>
    <col min="1025" max="1025" width="8.28515625" style="79" customWidth="1"/>
    <col min="1026" max="1028" width="8.7109375" style="79" customWidth="1"/>
    <col min="1029" max="1029" width="1.7109375" style="79" customWidth="1"/>
    <col min="1030" max="1032" width="8.7109375" style="79" customWidth="1"/>
    <col min="1033" max="1033" width="3.5703125" style="79" customWidth="1"/>
    <col min="1034" max="1036" width="8.7109375" style="79" customWidth="1"/>
    <col min="1037" max="1037" width="1.7109375" style="79" customWidth="1"/>
    <col min="1038" max="1040" width="8.7109375" style="79" customWidth="1"/>
    <col min="1041" max="1280" width="6.7109375" style="79"/>
    <col min="1281" max="1281" width="8.28515625" style="79" customWidth="1"/>
    <col min="1282" max="1284" width="8.7109375" style="79" customWidth="1"/>
    <col min="1285" max="1285" width="1.7109375" style="79" customWidth="1"/>
    <col min="1286" max="1288" width="8.7109375" style="79" customWidth="1"/>
    <col min="1289" max="1289" width="3.5703125" style="79" customWidth="1"/>
    <col min="1290" max="1292" width="8.7109375" style="79" customWidth="1"/>
    <col min="1293" max="1293" width="1.7109375" style="79" customWidth="1"/>
    <col min="1294" max="1296" width="8.7109375" style="79" customWidth="1"/>
    <col min="1297" max="1536" width="6.7109375" style="79"/>
    <col min="1537" max="1537" width="8.28515625" style="79" customWidth="1"/>
    <col min="1538" max="1540" width="8.7109375" style="79" customWidth="1"/>
    <col min="1541" max="1541" width="1.7109375" style="79" customWidth="1"/>
    <col min="1542" max="1544" width="8.7109375" style="79" customWidth="1"/>
    <col min="1545" max="1545" width="3.5703125" style="79" customWidth="1"/>
    <col min="1546" max="1548" width="8.7109375" style="79" customWidth="1"/>
    <col min="1549" max="1549" width="1.7109375" style="79" customWidth="1"/>
    <col min="1550" max="1552" width="8.7109375" style="79" customWidth="1"/>
    <col min="1553" max="1792" width="6.7109375" style="79"/>
    <col min="1793" max="1793" width="8.28515625" style="79" customWidth="1"/>
    <col min="1794" max="1796" width="8.7109375" style="79" customWidth="1"/>
    <col min="1797" max="1797" width="1.7109375" style="79" customWidth="1"/>
    <col min="1798" max="1800" width="8.7109375" style="79" customWidth="1"/>
    <col min="1801" max="1801" width="3.5703125" style="79" customWidth="1"/>
    <col min="1802" max="1804" width="8.7109375" style="79" customWidth="1"/>
    <col min="1805" max="1805" width="1.7109375" style="79" customWidth="1"/>
    <col min="1806" max="1808" width="8.7109375" style="79" customWidth="1"/>
    <col min="1809" max="2048" width="6.7109375" style="79"/>
    <col min="2049" max="2049" width="8.28515625" style="79" customWidth="1"/>
    <col min="2050" max="2052" width="8.7109375" style="79" customWidth="1"/>
    <col min="2053" max="2053" width="1.7109375" style="79" customWidth="1"/>
    <col min="2054" max="2056" width="8.7109375" style="79" customWidth="1"/>
    <col min="2057" max="2057" width="3.5703125" style="79" customWidth="1"/>
    <col min="2058" max="2060" width="8.7109375" style="79" customWidth="1"/>
    <col min="2061" max="2061" width="1.7109375" style="79" customWidth="1"/>
    <col min="2062" max="2064" width="8.7109375" style="79" customWidth="1"/>
    <col min="2065" max="2304" width="6.7109375" style="79"/>
    <col min="2305" max="2305" width="8.28515625" style="79" customWidth="1"/>
    <col min="2306" max="2308" width="8.7109375" style="79" customWidth="1"/>
    <col min="2309" max="2309" width="1.7109375" style="79" customWidth="1"/>
    <col min="2310" max="2312" width="8.7109375" style="79" customWidth="1"/>
    <col min="2313" max="2313" width="3.5703125" style="79" customWidth="1"/>
    <col min="2314" max="2316" width="8.7109375" style="79" customWidth="1"/>
    <col min="2317" max="2317" width="1.7109375" style="79" customWidth="1"/>
    <col min="2318" max="2320" width="8.7109375" style="79" customWidth="1"/>
    <col min="2321" max="2560" width="6.7109375" style="79"/>
    <col min="2561" max="2561" width="8.28515625" style="79" customWidth="1"/>
    <col min="2562" max="2564" width="8.7109375" style="79" customWidth="1"/>
    <col min="2565" max="2565" width="1.7109375" style="79" customWidth="1"/>
    <col min="2566" max="2568" width="8.7109375" style="79" customWidth="1"/>
    <col min="2569" max="2569" width="3.5703125" style="79" customWidth="1"/>
    <col min="2570" max="2572" width="8.7109375" style="79" customWidth="1"/>
    <col min="2573" max="2573" width="1.7109375" style="79" customWidth="1"/>
    <col min="2574" max="2576" width="8.7109375" style="79" customWidth="1"/>
    <col min="2577" max="2816" width="6.7109375" style="79"/>
    <col min="2817" max="2817" width="8.28515625" style="79" customWidth="1"/>
    <col min="2818" max="2820" width="8.7109375" style="79" customWidth="1"/>
    <col min="2821" max="2821" width="1.7109375" style="79" customWidth="1"/>
    <col min="2822" max="2824" width="8.7109375" style="79" customWidth="1"/>
    <col min="2825" max="2825" width="3.5703125" style="79" customWidth="1"/>
    <col min="2826" max="2828" width="8.7109375" style="79" customWidth="1"/>
    <col min="2829" max="2829" width="1.7109375" style="79" customWidth="1"/>
    <col min="2830" max="2832" width="8.7109375" style="79" customWidth="1"/>
    <col min="2833" max="3072" width="6.7109375" style="79"/>
    <col min="3073" max="3073" width="8.28515625" style="79" customWidth="1"/>
    <col min="3074" max="3076" width="8.7109375" style="79" customWidth="1"/>
    <col min="3077" max="3077" width="1.7109375" style="79" customWidth="1"/>
    <col min="3078" max="3080" width="8.7109375" style="79" customWidth="1"/>
    <col min="3081" max="3081" width="3.5703125" style="79" customWidth="1"/>
    <col min="3082" max="3084" width="8.7109375" style="79" customWidth="1"/>
    <col min="3085" max="3085" width="1.7109375" style="79" customWidth="1"/>
    <col min="3086" max="3088" width="8.7109375" style="79" customWidth="1"/>
    <col min="3089" max="3328" width="6.7109375" style="79"/>
    <col min="3329" max="3329" width="8.28515625" style="79" customWidth="1"/>
    <col min="3330" max="3332" width="8.7109375" style="79" customWidth="1"/>
    <col min="3333" max="3333" width="1.7109375" style="79" customWidth="1"/>
    <col min="3334" max="3336" width="8.7109375" style="79" customWidth="1"/>
    <col min="3337" max="3337" width="3.5703125" style="79" customWidth="1"/>
    <col min="3338" max="3340" width="8.7109375" style="79" customWidth="1"/>
    <col min="3341" max="3341" width="1.7109375" style="79" customWidth="1"/>
    <col min="3342" max="3344" width="8.7109375" style="79" customWidth="1"/>
    <col min="3345" max="3584" width="6.7109375" style="79"/>
    <col min="3585" max="3585" width="8.28515625" style="79" customWidth="1"/>
    <col min="3586" max="3588" width="8.7109375" style="79" customWidth="1"/>
    <col min="3589" max="3589" width="1.7109375" style="79" customWidth="1"/>
    <col min="3590" max="3592" width="8.7109375" style="79" customWidth="1"/>
    <col min="3593" max="3593" width="3.5703125" style="79" customWidth="1"/>
    <col min="3594" max="3596" width="8.7109375" style="79" customWidth="1"/>
    <col min="3597" max="3597" width="1.7109375" style="79" customWidth="1"/>
    <col min="3598" max="3600" width="8.7109375" style="79" customWidth="1"/>
    <col min="3601" max="3840" width="6.7109375" style="79"/>
    <col min="3841" max="3841" width="8.28515625" style="79" customWidth="1"/>
    <col min="3842" max="3844" width="8.7109375" style="79" customWidth="1"/>
    <col min="3845" max="3845" width="1.7109375" style="79" customWidth="1"/>
    <col min="3846" max="3848" width="8.7109375" style="79" customWidth="1"/>
    <col min="3849" max="3849" width="3.5703125" style="79" customWidth="1"/>
    <col min="3850" max="3852" width="8.7109375" style="79" customWidth="1"/>
    <col min="3853" max="3853" width="1.7109375" style="79" customWidth="1"/>
    <col min="3854" max="3856" width="8.7109375" style="79" customWidth="1"/>
    <col min="3857" max="4096" width="6.7109375" style="79"/>
    <col min="4097" max="4097" width="8.28515625" style="79" customWidth="1"/>
    <col min="4098" max="4100" width="8.7109375" style="79" customWidth="1"/>
    <col min="4101" max="4101" width="1.7109375" style="79" customWidth="1"/>
    <col min="4102" max="4104" width="8.7109375" style="79" customWidth="1"/>
    <col min="4105" max="4105" width="3.5703125" style="79" customWidth="1"/>
    <col min="4106" max="4108" width="8.7109375" style="79" customWidth="1"/>
    <col min="4109" max="4109" width="1.7109375" style="79" customWidth="1"/>
    <col min="4110" max="4112" width="8.7109375" style="79" customWidth="1"/>
    <col min="4113" max="4352" width="6.7109375" style="79"/>
    <col min="4353" max="4353" width="8.28515625" style="79" customWidth="1"/>
    <col min="4354" max="4356" width="8.7109375" style="79" customWidth="1"/>
    <col min="4357" max="4357" width="1.7109375" style="79" customWidth="1"/>
    <col min="4358" max="4360" width="8.7109375" style="79" customWidth="1"/>
    <col min="4361" max="4361" width="3.5703125" style="79" customWidth="1"/>
    <col min="4362" max="4364" width="8.7109375" style="79" customWidth="1"/>
    <col min="4365" max="4365" width="1.7109375" style="79" customWidth="1"/>
    <col min="4366" max="4368" width="8.7109375" style="79" customWidth="1"/>
    <col min="4369" max="4608" width="6.7109375" style="79"/>
    <col min="4609" max="4609" width="8.28515625" style="79" customWidth="1"/>
    <col min="4610" max="4612" width="8.7109375" style="79" customWidth="1"/>
    <col min="4613" max="4613" width="1.7109375" style="79" customWidth="1"/>
    <col min="4614" max="4616" width="8.7109375" style="79" customWidth="1"/>
    <col min="4617" max="4617" width="3.5703125" style="79" customWidth="1"/>
    <col min="4618" max="4620" width="8.7109375" style="79" customWidth="1"/>
    <col min="4621" max="4621" width="1.7109375" style="79" customWidth="1"/>
    <col min="4622" max="4624" width="8.7109375" style="79" customWidth="1"/>
    <col min="4625" max="4864" width="6.7109375" style="79"/>
    <col min="4865" max="4865" width="8.28515625" style="79" customWidth="1"/>
    <col min="4866" max="4868" width="8.7109375" style="79" customWidth="1"/>
    <col min="4869" max="4869" width="1.7109375" style="79" customWidth="1"/>
    <col min="4870" max="4872" width="8.7109375" style="79" customWidth="1"/>
    <col min="4873" max="4873" width="3.5703125" style="79" customWidth="1"/>
    <col min="4874" max="4876" width="8.7109375" style="79" customWidth="1"/>
    <col min="4877" max="4877" width="1.7109375" style="79" customWidth="1"/>
    <col min="4878" max="4880" width="8.7109375" style="79" customWidth="1"/>
    <col min="4881" max="5120" width="6.7109375" style="79"/>
    <col min="5121" max="5121" width="8.28515625" style="79" customWidth="1"/>
    <col min="5122" max="5124" width="8.7109375" style="79" customWidth="1"/>
    <col min="5125" max="5125" width="1.7109375" style="79" customWidth="1"/>
    <col min="5126" max="5128" width="8.7109375" style="79" customWidth="1"/>
    <col min="5129" max="5129" width="3.5703125" style="79" customWidth="1"/>
    <col min="5130" max="5132" width="8.7109375" style="79" customWidth="1"/>
    <col min="5133" max="5133" width="1.7109375" style="79" customWidth="1"/>
    <col min="5134" max="5136" width="8.7109375" style="79" customWidth="1"/>
    <col min="5137" max="5376" width="6.7109375" style="79"/>
    <col min="5377" max="5377" width="8.28515625" style="79" customWidth="1"/>
    <col min="5378" max="5380" width="8.7109375" style="79" customWidth="1"/>
    <col min="5381" max="5381" width="1.7109375" style="79" customWidth="1"/>
    <col min="5382" max="5384" width="8.7109375" style="79" customWidth="1"/>
    <col min="5385" max="5385" width="3.5703125" style="79" customWidth="1"/>
    <col min="5386" max="5388" width="8.7109375" style="79" customWidth="1"/>
    <col min="5389" max="5389" width="1.7109375" style="79" customWidth="1"/>
    <col min="5390" max="5392" width="8.7109375" style="79" customWidth="1"/>
    <col min="5393" max="5632" width="6.7109375" style="79"/>
    <col min="5633" max="5633" width="8.28515625" style="79" customWidth="1"/>
    <col min="5634" max="5636" width="8.7109375" style="79" customWidth="1"/>
    <col min="5637" max="5637" width="1.7109375" style="79" customWidth="1"/>
    <col min="5638" max="5640" width="8.7109375" style="79" customWidth="1"/>
    <col min="5641" max="5641" width="3.5703125" style="79" customWidth="1"/>
    <col min="5642" max="5644" width="8.7109375" style="79" customWidth="1"/>
    <col min="5645" max="5645" width="1.7109375" style="79" customWidth="1"/>
    <col min="5646" max="5648" width="8.7109375" style="79" customWidth="1"/>
    <col min="5649" max="5888" width="6.7109375" style="79"/>
    <col min="5889" max="5889" width="8.28515625" style="79" customWidth="1"/>
    <col min="5890" max="5892" width="8.7109375" style="79" customWidth="1"/>
    <col min="5893" max="5893" width="1.7109375" style="79" customWidth="1"/>
    <col min="5894" max="5896" width="8.7109375" style="79" customWidth="1"/>
    <col min="5897" max="5897" width="3.5703125" style="79" customWidth="1"/>
    <col min="5898" max="5900" width="8.7109375" style="79" customWidth="1"/>
    <col min="5901" max="5901" width="1.7109375" style="79" customWidth="1"/>
    <col min="5902" max="5904" width="8.7109375" style="79" customWidth="1"/>
    <col min="5905" max="6144" width="6.7109375" style="79"/>
    <col min="6145" max="6145" width="8.28515625" style="79" customWidth="1"/>
    <col min="6146" max="6148" width="8.7109375" style="79" customWidth="1"/>
    <col min="6149" max="6149" width="1.7109375" style="79" customWidth="1"/>
    <col min="6150" max="6152" width="8.7109375" style="79" customWidth="1"/>
    <col min="6153" max="6153" width="3.5703125" style="79" customWidth="1"/>
    <col min="6154" max="6156" width="8.7109375" style="79" customWidth="1"/>
    <col min="6157" max="6157" width="1.7109375" style="79" customWidth="1"/>
    <col min="6158" max="6160" width="8.7109375" style="79" customWidth="1"/>
    <col min="6161" max="6400" width="6.7109375" style="79"/>
    <col min="6401" max="6401" width="8.28515625" style="79" customWidth="1"/>
    <col min="6402" max="6404" width="8.7109375" style="79" customWidth="1"/>
    <col min="6405" max="6405" width="1.7109375" style="79" customWidth="1"/>
    <col min="6406" max="6408" width="8.7109375" style="79" customWidth="1"/>
    <col min="6409" max="6409" width="3.5703125" style="79" customWidth="1"/>
    <col min="6410" max="6412" width="8.7109375" style="79" customWidth="1"/>
    <col min="6413" max="6413" width="1.7109375" style="79" customWidth="1"/>
    <col min="6414" max="6416" width="8.7109375" style="79" customWidth="1"/>
    <col min="6417" max="6656" width="6.7109375" style="79"/>
    <col min="6657" max="6657" width="8.28515625" style="79" customWidth="1"/>
    <col min="6658" max="6660" width="8.7109375" style="79" customWidth="1"/>
    <col min="6661" max="6661" width="1.7109375" style="79" customWidth="1"/>
    <col min="6662" max="6664" width="8.7109375" style="79" customWidth="1"/>
    <col min="6665" max="6665" width="3.5703125" style="79" customWidth="1"/>
    <col min="6666" max="6668" width="8.7109375" style="79" customWidth="1"/>
    <col min="6669" max="6669" width="1.7109375" style="79" customWidth="1"/>
    <col min="6670" max="6672" width="8.7109375" style="79" customWidth="1"/>
    <col min="6673" max="6912" width="6.7109375" style="79"/>
    <col min="6913" max="6913" width="8.28515625" style="79" customWidth="1"/>
    <col min="6914" max="6916" width="8.7109375" style="79" customWidth="1"/>
    <col min="6917" max="6917" width="1.7109375" style="79" customWidth="1"/>
    <col min="6918" max="6920" width="8.7109375" style="79" customWidth="1"/>
    <col min="6921" max="6921" width="3.5703125" style="79" customWidth="1"/>
    <col min="6922" max="6924" width="8.7109375" style="79" customWidth="1"/>
    <col min="6925" max="6925" width="1.7109375" style="79" customWidth="1"/>
    <col min="6926" max="6928" width="8.7109375" style="79" customWidth="1"/>
    <col min="6929" max="7168" width="6.7109375" style="79"/>
    <col min="7169" max="7169" width="8.28515625" style="79" customWidth="1"/>
    <col min="7170" max="7172" width="8.7109375" style="79" customWidth="1"/>
    <col min="7173" max="7173" width="1.7109375" style="79" customWidth="1"/>
    <col min="7174" max="7176" width="8.7109375" style="79" customWidth="1"/>
    <col min="7177" max="7177" width="3.5703125" style="79" customWidth="1"/>
    <col min="7178" max="7180" width="8.7109375" style="79" customWidth="1"/>
    <col min="7181" max="7181" width="1.7109375" style="79" customWidth="1"/>
    <col min="7182" max="7184" width="8.7109375" style="79" customWidth="1"/>
    <col min="7185" max="7424" width="6.7109375" style="79"/>
    <col min="7425" max="7425" width="8.28515625" style="79" customWidth="1"/>
    <col min="7426" max="7428" width="8.7109375" style="79" customWidth="1"/>
    <col min="7429" max="7429" width="1.7109375" style="79" customWidth="1"/>
    <col min="7430" max="7432" width="8.7109375" style="79" customWidth="1"/>
    <col min="7433" max="7433" width="3.5703125" style="79" customWidth="1"/>
    <col min="7434" max="7436" width="8.7109375" style="79" customWidth="1"/>
    <col min="7437" max="7437" width="1.7109375" style="79" customWidth="1"/>
    <col min="7438" max="7440" width="8.7109375" style="79" customWidth="1"/>
    <col min="7441" max="7680" width="6.7109375" style="79"/>
    <col min="7681" max="7681" width="8.28515625" style="79" customWidth="1"/>
    <col min="7682" max="7684" width="8.7109375" style="79" customWidth="1"/>
    <col min="7685" max="7685" width="1.7109375" style="79" customWidth="1"/>
    <col min="7686" max="7688" width="8.7109375" style="79" customWidth="1"/>
    <col min="7689" max="7689" width="3.5703125" style="79" customWidth="1"/>
    <col min="7690" max="7692" width="8.7109375" style="79" customWidth="1"/>
    <col min="7693" max="7693" width="1.7109375" style="79" customWidth="1"/>
    <col min="7694" max="7696" width="8.7109375" style="79" customWidth="1"/>
    <col min="7697" max="7936" width="6.7109375" style="79"/>
    <col min="7937" max="7937" width="8.28515625" style="79" customWidth="1"/>
    <col min="7938" max="7940" width="8.7109375" style="79" customWidth="1"/>
    <col min="7941" max="7941" width="1.7109375" style="79" customWidth="1"/>
    <col min="7942" max="7944" width="8.7109375" style="79" customWidth="1"/>
    <col min="7945" max="7945" width="3.5703125" style="79" customWidth="1"/>
    <col min="7946" max="7948" width="8.7109375" style="79" customWidth="1"/>
    <col min="7949" max="7949" width="1.7109375" style="79" customWidth="1"/>
    <col min="7950" max="7952" width="8.7109375" style="79" customWidth="1"/>
    <col min="7953" max="8192" width="6.7109375" style="79"/>
    <col min="8193" max="8193" width="8.28515625" style="79" customWidth="1"/>
    <col min="8194" max="8196" width="8.7109375" style="79" customWidth="1"/>
    <col min="8197" max="8197" width="1.7109375" style="79" customWidth="1"/>
    <col min="8198" max="8200" width="8.7109375" style="79" customWidth="1"/>
    <col min="8201" max="8201" width="3.5703125" style="79" customWidth="1"/>
    <col min="8202" max="8204" width="8.7109375" style="79" customWidth="1"/>
    <col min="8205" max="8205" width="1.7109375" style="79" customWidth="1"/>
    <col min="8206" max="8208" width="8.7109375" style="79" customWidth="1"/>
    <col min="8209" max="8448" width="6.7109375" style="79"/>
    <col min="8449" max="8449" width="8.28515625" style="79" customWidth="1"/>
    <col min="8450" max="8452" width="8.7109375" style="79" customWidth="1"/>
    <col min="8453" max="8453" width="1.7109375" style="79" customWidth="1"/>
    <col min="8454" max="8456" width="8.7109375" style="79" customWidth="1"/>
    <col min="8457" max="8457" width="3.5703125" style="79" customWidth="1"/>
    <col min="8458" max="8460" width="8.7109375" style="79" customWidth="1"/>
    <col min="8461" max="8461" width="1.7109375" style="79" customWidth="1"/>
    <col min="8462" max="8464" width="8.7109375" style="79" customWidth="1"/>
    <col min="8465" max="8704" width="6.7109375" style="79"/>
    <col min="8705" max="8705" width="8.28515625" style="79" customWidth="1"/>
    <col min="8706" max="8708" width="8.7109375" style="79" customWidth="1"/>
    <col min="8709" max="8709" width="1.7109375" style="79" customWidth="1"/>
    <col min="8710" max="8712" width="8.7109375" style="79" customWidth="1"/>
    <col min="8713" max="8713" width="3.5703125" style="79" customWidth="1"/>
    <col min="8714" max="8716" width="8.7109375" style="79" customWidth="1"/>
    <col min="8717" max="8717" width="1.7109375" style="79" customWidth="1"/>
    <col min="8718" max="8720" width="8.7109375" style="79" customWidth="1"/>
    <col min="8721" max="8960" width="6.7109375" style="79"/>
    <col min="8961" max="8961" width="8.28515625" style="79" customWidth="1"/>
    <col min="8962" max="8964" width="8.7109375" style="79" customWidth="1"/>
    <col min="8965" max="8965" width="1.7109375" style="79" customWidth="1"/>
    <col min="8966" max="8968" width="8.7109375" style="79" customWidth="1"/>
    <col min="8969" max="8969" width="3.5703125" style="79" customWidth="1"/>
    <col min="8970" max="8972" width="8.7109375" style="79" customWidth="1"/>
    <col min="8973" max="8973" width="1.7109375" style="79" customWidth="1"/>
    <col min="8974" max="8976" width="8.7109375" style="79" customWidth="1"/>
    <col min="8977" max="9216" width="6.7109375" style="79"/>
    <col min="9217" max="9217" width="8.28515625" style="79" customWidth="1"/>
    <col min="9218" max="9220" width="8.7109375" style="79" customWidth="1"/>
    <col min="9221" max="9221" width="1.7109375" style="79" customWidth="1"/>
    <col min="9222" max="9224" width="8.7109375" style="79" customWidth="1"/>
    <col min="9225" max="9225" width="3.5703125" style="79" customWidth="1"/>
    <col min="9226" max="9228" width="8.7109375" style="79" customWidth="1"/>
    <col min="9229" max="9229" width="1.7109375" style="79" customWidth="1"/>
    <col min="9230" max="9232" width="8.7109375" style="79" customWidth="1"/>
    <col min="9233" max="9472" width="6.7109375" style="79"/>
    <col min="9473" max="9473" width="8.28515625" style="79" customWidth="1"/>
    <col min="9474" max="9476" width="8.7109375" style="79" customWidth="1"/>
    <col min="9477" max="9477" width="1.7109375" style="79" customWidth="1"/>
    <col min="9478" max="9480" width="8.7109375" style="79" customWidth="1"/>
    <col min="9481" max="9481" width="3.5703125" style="79" customWidth="1"/>
    <col min="9482" max="9484" width="8.7109375" style="79" customWidth="1"/>
    <col min="9485" max="9485" width="1.7109375" style="79" customWidth="1"/>
    <col min="9486" max="9488" width="8.7109375" style="79" customWidth="1"/>
    <col min="9489" max="9728" width="6.7109375" style="79"/>
    <col min="9729" max="9729" width="8.28515625" style="79" customWidth="1"/>
    <col min="9730" max="9732" width="8.7109375" style="79" customWidth="1"/>
    <col min="9733" max="9733" width="1.7109375" style="79" customWidth="1"/>
    <col min="9734" max="9736" width="8.7109375" style="79" customWidth="1"/>
    <col min="9737" max="9737" width="3.5703125" style="79" customWidth="1"/>
    <col min="9738" max="9740" width="8.7109375" style="79" customWidth="1"/>
    <col min="9741" max="9741" width="1.7109375" style="79" customWidth="1"/>
    <col min="9742" max="9744" width="8.7109375" style="79" customWidth="1"/>
    <col min="9745" max="9984" width="6.7109375" style="79"/>
    <col min="9985" max="9985" width="8.28515625" style="79" customWidth="1"/>
    <col min="9986" max="9988" width="8.7109375" style="79" customWidth="1"/>
    <col min="9989" max="9989" width="1.7109375" style="79" customWidth="1"/>
    <col min="9990" max="9992" width="8.7109375" style="79" customWidth="1"/>
    <col min="9993" max="9993" width="3.5703125" style="79" customWidth="1"/>
    <col min="9994" max="9996" width="8.7109375" style="79" customWidth="1"/>
    <col min="9997" max="9997" width="1.7109375" style="79" customWidth="1"/>
    <col min="9998" max="10000" width="8.7109375" style="79" customWidth="1"/>
    <col min="10001" max="10240" width="6.7109375" style="79"/>
    <col min="10241" max="10241" width="8.28515625" style="79" customWidth="1"/>
    <col min="10242" max="10244" width="8.7109375" style="79" customWidth="1"/>
    <col min="10245" max="10245" width="1.7109375" style="79" customWidth="1"/>
    <col min="10246" max="10248" width="8.7109375" style="79" customWidth="1"/>
    <col min="10249" max="10249" width="3.5703125" style="79" customWidth="1"/>
    <col min="10250" max="10252" width="8.7109375" style="79" customWidth="1"/>
    <col min="10253" max="10253" width="1.7109375" style="79" customWidth="1"/>
    <col min="10254" max="10256" width="8.7109375" style="79" customWidth="1"/>
    <col min="10257" max="10496" width="6.7109375" style="79"/>
    <col min="10497" max="10497" width="8.28515625" style="79" customWidth="1"/>
    <col min="10498" max="10500" width="8.7109375" style="79" customWidth="1"/>
    <col min="10501" max="10501" width="1.7109375" style="79" customWidth="1"/>
    <col min="10502" max="10504" width="8.7109375" style="79" customWidth="1"/>
    <col min="10505" max="10505" width="3.5703125" style="79" customWidth="1"/>
    <col min="10506" max="10508" width="8.7109375" style="79" customWidth="1"/>
    <col min="10509" max="10509" width="1.7109375" style="79" customWidth="1"/>
    <col min="10510" max="10512" width="8.7109375" style="79" customWidth="1"/>
    <col min="10513" max="10752" width="6.7109375" style="79"/>
    <col min="10753" max="10753" width="8.28515625" style="79" customWidth="1"/>
    <col min="10754" max="10756" width="8.7109375" style="79" customWidth="1"/>
    <col min="10757" max="10757" width="1.7109375" style="79" customWidth="1"/>
    <col min="10758" max="10760" width="8.7109375" style="79" customWidth="1"/>
    <col min="10761" max="10761" width="3.5703125" style="79" customWidth="1"/>
    <col min="10762" max="10764" width="8.7109375" style="79" customWidth="1"/>
    <col min="10765" max="10765" width="1.7109375" style="79" customWidth="1"/>
    <col min="10766" max="10768" width="8.7109375" style="79" customWidth="1"/>
    <col min="10769" max="11008" width="6.7109375" style="79"/>
    <col min="11009" max="11009" width="8.28515625" style="79" customWidth="1"/>
    <col min="11010" max="11012" width="8.7109375" style="79" customWidth="1"/>
    <col min="11013" max="11013" width="1.7109375" style="79" customWidth="1"/>
    <col min="11014" max="11016" width="8.7109375" style="79" customWidth="1"/>
    <col min="11017" max="11017" width="3.5703125" style="79" customWidth="1"/>
    <col min="11018" max="11020" width="8.7109375" style="79" customWidth="1"/>
    <col min="11021" max="11021" width="1.7109375" style="79" customWidth="1"/>
    <col min="11022" max="11024" width="8.7109375" style="79" customWidth="1"/>
    <col min="11025" max="11264" width="6.7109375" style="79"/>
    <col min="11265" max="11265" width="8.28515625" style="79" customWidth="1"/>
    <col min="11266" max="11268" width="8.7109375" style="79" customWidth="1"/>
    <col min="11269" max="11269" width="1.7109375" style="79" customWidth="1"/>
    <col min="11270" max="11272" width="8.7109375" style="79" customWidth="1"/>
    <col min="11273" max="11273" width="3.5703125" style="79" customWidth="1"/>
    <col min="11274" max="11276" width="8.7109375" style="79" customWidth="1"/>
    <col min="11277" max="11277" width="1.7109375" style="79" customWidth="1"/>
    <col min="11278" max="11280" width="8.7109375" style="79" customWidth="1"/>
    <col min="11281" max="11520" width="6.7109375" style="79"/>
    <col min="11521" max="11521" width="8.28515625" style="79" customWidth="1"/>
    <col min="11522" max="11524" width="8.7109375" style="79" customWidth="1"/>
    <col min="11525" max="11525" width="1.7109375" style="79" customWidth="1"/>
    <col min="11526" max="11528" width="8.7109375" style="79" customWidth="1"/>
    <col min="11529" max="11529" width="3.5703125" style="79" customWidth="1"/>
    <col min="11530" max="11532" width="8.7109375" style="79" customWidth="1"/>
    <col min="11533" max="11533" width="1.7109375" style="79" customWidth="1"/>
    <col min="11534" max="11536" width="8.7109375" style="79" customWidth="1"/>
    <col min="11537" max="11776" width="6.7109375" style="79"/>
    <col min="11777" max="11777" width="8.28515625" style="79" customWidth="1"/>
    <col min="11778" max="11780" width="8.7109375" style="79" customWidth="1"/>
    <col min="11781" max="11781" width="1.7109375" style="79" customWidth="1"/>
    <col min="11782" max="11784" width="8.7109375" style="79" customWidth="1"/>
    <col min="11785" max="11785" width="3.5703125" style="79" customWidth="1"/>
    <col min="11786" max="11788" width="8.7109375" style="79" customWidth="1"/>
    <col min="11789" max="11789" width="1.7109375" style="79" customWidth="1"/>
    <col min="11790" max="11792" width="8.7109375" style="79" customWidth="1"/>
    <col min="11793" max="12032" width="6.7109375" style="79"/>
    <col min="12033" max="12033" width="8.28515625" style="79" customWidth="1"/>
    <col min="12034" max="12036" width="8.7109375" style="79" customWidth="1"/>
    <col min="12037" max="12037" width="1.7109375" style="79" customWidth="1"/>
    <col min="12038" max="12040" width="8.7109375" style="79" customWidth="1"/>
    <col min="12041" max="12041" width="3.5703125" style="79" customWidth="1"/>
    <col min="12042" max="12044" width="8.7109375" style="79" customWidth="1"/>
    <col min="12045" max="12045" width="1.7109375" style="79" customWidth="1"/>
    <col min="12046" max="12048" width="8.7109375" style="79" customWidth="1"/>
    <col min="12049" max="12288" width="6.7109375" style="79"/>
    <col min="12289" max="12289" width="8.28515625" style="79" customWidth="1"/>
    <col min="12290" max="12292" width="8.7109375" style="79" customWidth="1"/>
    <col min="12293" max="12293" width="1.7109375" style="79" customWidth="1"/>
    <col min="12294" max="12296" width="8.7109375" style="79" customWidth="1"/>
    <col min="12297" max="12297" width="3.5703125" style="79" customWidth="1"/>
    <col min="12298" max="12300" width="8.7109375" style="79" customWidth="1"/>
    <col min="12301" max="12301" width="1.7109375" style="79" customWidth="1"/>
    <col min="12302" max="12304" width="8.7109375" style="79" customWidth="1"/>
    <col min="12305" max="12544" width="6.7109375" style="79"/>
    <col min="12545" max="12545" width="8.28515625" style="79" customWidth="1"/>
    <col min="12546" max="12548" width="8.7109375" style="79" customWidth="1"/>
    <col min="12549" max="12549" width="1.7109375" style="79" customWidth="1"/>
    <col min="12550" max="12552" width="8.7109375" style="79" customWidth="1"/>
    <col min="12553" max="12553" width="3.5703125" style="79" customWidth="1"/>
    <col min="12554" max="12556" width="8.7109375" style="79" customWidth="1"/>
    <col min="12557" max="12557" width="1.7109375" style="79" customWidth="1"/>
    <col min="12558" max="12560" width="8.7109375" style="79" customWidth="1"/>
    <col min="12561" max="12800" width="6.7109375" style="79"/>
    <col min="12801" max="12801" width="8.28515625" style="79" customWidth="1"/>
    <col min="12802" max="12804" width="8.7109375" style="79" customWidth="1"/>
    <col min="12805" max="12805" width="1.7109375" style="79" customWidth="1"/>
    <col min="12806" max="12808" width="8.7109375" style="79" customWidth="1"/>
    <col min="12809" max="12809" width="3.5703125" style="79" customWidth="1"/>
    <col min="12810" max="12812" width="8.7109375" style="79" customWidth="1"/>
    <col min="12813" max="12813" width="1.7109375" style="79" customWidth="1"/>
    <col min="12814" max="12816" width="8.7109375" style="79" customWidth="1"/>
    <col min="12817" max="13056" width="6.7109375" style="79"/>
    <col min="13057" max="13057" width="8.28515625" style="79" customWidth="1"/>
    <col min="13058" max="13060" width="8.7109375" style="79" customWidth="1"/>
    <col min="13061" max="13061" width="1.7109375" style="79" customWidth="1"/>
    <col min="13062" max="13064" width="8.7109375" style="79" customWidth="1"/>
    <col min="13065" max="13065" width="3.5703125" style="79" customWidth="1"/>
    <col min="13066" max="13068" width="8.7109375" style="79" customWidth="1"/>
    <col min="13069" max="13069" width="1.7109375" style="79" customWidth="1"/>
    <col min="13070" max="13072" width="8.7109375" style="79" customWidth="1"/>
    <col min="13073" max="13312" width="6.7109375" style="79"/>
    <col min="13313" max="13313" width="8.28515625" style="79" customWidth="1"/>
    <col min="13314" max="13316" width="8.7109375" style="79" customWidth="1"/>
    <col min="13317" max="13317" width="1.7109375" style="79" customWidth="1"/>
    <col min="13318" max="13320" width="8.7109375" style="79" customWidth="1"/>
    <col min="13321" max="13321" width="3.5703125" style="79" customWidth="1"/>
    <col min="13322" max="13324" width="8.7109375" style="79" customWidth="1"/>
    <col min="13325" max="13325" width="1.7109375" style="79" customWidth="1"/>
    <col min="13326" max="13328" width="8.7109375" style="79" customWidth="1"/>
    <col min="13329" max="13568" width="6.7109375" style="79"/>
    <col min="13569" max="13569" width="8.28515625" style="79" customWidth="1"/>
    <col min="13570" max="13572" width="8.7109375" style="79" customWidth="1"/>
    <col min="13573" max="13573" width="1.7109375" style="79" customWidth="1"/>
    <col min="13574" max="13576" width="8.7109375" style="79" customWidth="1"/>
    <col min="13577" max="13577" width="3.5703125" style="79" customWidth="1"/>
    <col min="13578" max="13580" width="8.7109375" style="79" customWidth="1"/>
    <col min="13581" max="13581" width="1.7109375" style="79" customWidth="1"/>
    <col min="13582" max="13584" width="8.7109375" style="79" customWidth="1"/>
    <col min="13585" max="13824" width="6.7109375" style="79"/>
    <col min="13825" max="13825" width="8.28515625" style="79" customWidth="1"/>
    <col min="13826" max="13828" width="8.7109375" style="79" customWidth="1"/>
    <col min="13829" max="13829" width="1.7109375" style="79" customWidth="1"/>
    <col min="13830" max="13832" width="8.7109375" style="79" customWidth="1"/>
    <col min="13833" max="13833" width="3.5703125" style="79" customWidth="1"/>
    <col min="13834" max="13836" width="8.7109375" style="79" customWidth="1"/>
    <col min="13837" max="13837" width="1.7109375" style="79" customWidth="1"/>
    <col min="13838" max="13840" width="8.7109375" style="79" customWidth="1"/>
    <col min="13841" max="14080" width="6.7109375" style="79"/>
    <col min="14081" max="14081" width="8.28515625" style="79" customWidth="1"/>
    <col min="14082" max="14084" width="8.7109375" style="79" customWidth="1"/>
    <col min="14085" max="14085" width="1.7109375" style="79" customWidth="1"/>
    <col min="14086" max="14088" width="8.7109375" style="79" customWidth="1"/>
    <col min="14089" max="14089" width="3.5703125" style="79" customWidth="1"/>
    <col min="14090" max="14092" width="8.7109375" style="79" customWidth="1"/>
    <col min="14093" max="14093" width="1.7109375" style="79" customWidth="1"/>
    <col min="14094" max="14096" width="8.7109375" style="79" customWidth="1"/>
    <col min="14097" max="14336" width="6.7109375" style="79"/>
    <col min="14337" max="14337" width="8.28515625" style="79" customWidth="1"/>
    <col min="14338" max="14340" width="8.7109375" style="79" customWidth="1"/>
    <col min="14341" max="14341" width="1.7109375" style="79" customWidth="1"/>
    <col min="14342" max="14344" width="8.7109375" style="79" customWidth="1"/>
    <col min="14345" max="14345" width="3.5703125" style="79" customWidth="1"/>
    <col min="14346" max="14348" width="8.7109375" style="79" customWidth="1"/>
    <col min="14349" max="14349" width="1.7109375" style="79" customWidth="1"/>
    <col min="14350" max="14352" width="8.7109375" style="79" customWidth="1"/>
    <col min="14353" max="14592" width="6.7109375" style="79"/>
    <col min="14593" max="14593" width="8.28515625" style="79" customWidth="1"/>
    <col min="14594" max="14596" width="8.7109375" style="79" customWidth="1"/>
    <col min="14597" max="14597" width="1.7109375" style="79" customWidth="1"/>
    <col min="14598" max="14600" width="8.7109375" style="79" customWidth="1"/>
    <col min="14601" max="14601" width="3.5703125" style="79" customWidth="1"/>
    <col min="14602" max="14604" width="8.7109375" style="79" customWidth="1"/>
    <col min="14605" max="14605" width="1.7109375" style="79" customWidth="1"/>
    <col min="14606" max="14608" width="8.7109375" style="79" customWidth="1"/>
    <col min="14609" max="14848" width="6.7109375" style="79"/>
    <col min="14849" max="14849" width="8.28515625" style="79" customWidth="1"/>
    <col min="14850" max="14852" width="8.7109375" style="79" customWidth="1"/>
    <col min="14853" max="14853" width="1.7109375" style="79" customWidth="1"/>
    <col min="14854" max="14856" width="8.7109375" style="79" customWidth="1"/>
    <col min="14857" max="14857" width="3.5703125" style="79" customWidth="1"/>
    <col min="14858" max="14860" width="8.7109375" style="79" customWidth="1"/>
    <col min="14861" max="14861" width="1.7109375" style="79" customWidth="1"/>
    <col min="14862" max="14864" width="8.7109375" style="79" customWidth="1"/>
    <col min="14865" max="15104" width="6.7109375" style="79"/>
    <col min="15105" max="15105" width="8.28515625" style="79" customWidth="1"/>
    <col min="15106" max="15108" width="8.7109375" style="79" customWidth="1"/>
    <col min="15109" max="15109" width="1.7109375" style="79" customWidth="1"/>
    <col min="15110" max="15112" width="8.7109375" style="79" customWidth="1"/>
    <col min="15113" max="15113" width="3.5703125" style="79" customWidth="1"/>
    <col min="15114" max="15116" width="8.7109375" style="79" customWidth="1"/>
    <col min="15117" max="15117" width="1.7109375" style="79" customWidth="1"/>
    <col min="15118" max="15120" width="8.7109375" style="79" customWidth="1"/>
    <col min="15121" max="15360" width="6.7109375" style="79"/>
    <col min="15361" max="15361" width="8.28515625" style="79" customWidth="1"/>
    <col min="15362" max="15364" width="8.7109375" style="79" customWidth="1"/>
    <col min="15365" max="15365" width="1.7109375" style="79" customWidth="1"/>
    <col min="15366" max="15368" width="8.7109375" style="79" customWidth="1"/>
    <col min="15369" max="15369" width="3.5703125" style="79" customWidth="1"/>
    <col min="15370" max="15372" width="8.7109375" style="79" customWidth="1"/>
    <col min="15373" max="15373" width="1.7109375" style="79" customWidth="1"/>
    <col min="15374" max="15376" width="8.7109375" style="79" customWidth="1"/>
    <col min="15377" max="15616" width="6.7109375" style="79"/>
    <col min="15617" max="15617" width="8.28515625" style="79" customWidth="1"/>
    <col min="15618" max="15620" width="8.7109375" style="79" customWidth="1"/>
    <col min="15621" max="15621" width="1.7109375" style="79" customWidth="1"/>
    <col min="15622" max="15624" width="8.7109375" style="79" customWidth="1"/>
    <col min="15625" max="15625" width="3.5703125" style="79" customWidth="1"/>
    <col min="15626" max="15628" width="8.7109375" style="79" customWidth="1"/>
    <col min="15629" max="15629" width="1.7109375" style="79" customWidth="1"/>
    <col min="15630" max="15632" width="8.7109375" style="79" customWidth="1"/>
    <col min="15633" max="15872" width="6.7109375" style="79"/>
    <col min="15873" max="15873" width="8.28515625" style="79" customWidth="1"/>
    <col min="15874" max="15876" width="8.7109375" style="79" customWidth="1"/>
    <col min="15877" max="15877" width="1.7109375" style="79" customWidth="1"/>
    <col min="15878" max="15880" width="8.7109375" style="79" customWidth="1"/>
    <col min="15881" max="15881" width="3.5703125" style="79" customWidth="1"/>
    <col min="15882" max="15884" width="8.7109375" style="79" customWidth="1"/>
    <col min="15885" max="15885" width="1.7109375" style="79" customWidth="1"/>
    <col min="15886" max="15888" width="8.7109375" style="79" customWidth="1"/>
    <col min="15889" max="16128" width="6.7109375" style="79"/>
    <col min="16129" max="16129" width="8.28515625" style="79" customWidth="1"/>
    <col min="16130" max="16132" width="8.7109375" style="79" customWidth="1"/>
    <col min="16133" max="16133" width="1.7109375" style="79" customWidth="1"/>
    <col min="16134" max="16136" width="8.7109375" style="79" customWidth="1"/>
    <col min="16137" max="16137" width="3.5703125" style="79" customWidth="1"/>
    <col min="16138" max="16140" width="8.7109375" style="79" customWidth="1"/>
    <col min="16141" max="16141" width="1.7109375" style="79" customWidth="1"/>
    <col min="16142" max="16144" width="8.7109375" style="79" customWidth="1"/>
    <col min="16145" max="16384" width="6.7109375" style="79"/>
  </cols>
  <sheetData>
    <row r="1" spans="1:18" s="63" customFormat="1" ht="15.75" customHeight="1">
      <c r="A1" s="57"/>
      <c r="B1" s="58"/>
      <c r="C1" s="58"/>
      <c r="D1" s="58"/>
      <c r="E1" s="58"/>
      <c r="F1" s="59"/>
      <c r="G1" s="60"/>
      <c r="H1" s="58"/>
      <c r="I1" s="61"/>
      <c r="J1" s="60"/>
      <c r="K1" s="58"/>
      <c r="L1" s="58"/>
      <c r="M1" s="59"/>
      <c r="N1" s="59"/>
      <c r="O1" s="59"/>
      <c r="P1" s="59"/>
      <c r="Q1" s="59"/>
      <c r="R1" s="62"/>
    </row>
    <row r="2" spans="1:18" s="63" customFormat="1" ht="15.75" customHeight="1">
      <c r="A2" s="64"/>
      <c r="B2" s="65"/>
      <c r="G2" s="66"/>
      <c r="I2" s="66" t="s">
        <v>9</v>
      </c>
      <c r="K2" s="65" t="str">
        <f>'Job Details'!C6</f>
        <v>Bristol City Council</v>
      </c>
      <c r="L2" s="66"/>
      <c r="R2" s="67"/>
    </row>
    <row r="3" spans="1:18" s="63" customFormat="1" ht="15.75" customHeight="1">
      <c r="A3" s="64"/>
      <c r="B3" s="65"/>
      <c r="G3" s="65"/>
      <c r="I3" s="66" t="s">
        <v>11</v>
      </c>
      <c r="K3" s="65" t="str">
        <f>'Job Details'!C7</f>
        <v>WAL-2270 Church Road, Bristol</v>
      </c>
      <c r="R3" s="67"/>
    </row>
    <row r="4" spans="1:18" s="63" customFormat="1" ht="15.75" customHeight="1">
      <c r="A4" s="68"/>
      <c r="B4" s="65"/>
      <c r="G4" s="65"/>
      <c r="I4" s="69" t="s">
        <v>84</v>
      </c>
      <c r="K4" s="65" t="str">
        <f>'Job Details'!C8</f>
        <v>Site 6 - Ashton Drive (between Risdale Rd &amp; Silbury Rd)</v>
      </c>
      <c r="O4" s="66"/>
      <c r="P4" s="70"/>
      <c r="Q4" s="70"/>
      <c r="R4" s="71"/>
    </row>
    <row r="5" spans="1:18" s="63" customFormat="1" ht="15.75" customHeight="1">
      <c r="A5" s="68"/>
      <c r="B5" s="65"/>
      <c r="G5" s="65"/>
      <c r="I5" s="66" t="s">
        <v>12</v>
      </c>
      <c r="K5" s="65" t="str">
        <f>'Job Details'!C9</f>
        <v>Tuesday 29th September 2015</v>
      </c>
      <c r="O5" s="66"/>
      <c r="P5" s="70"/>
      <c r="Q5" s="70"/>
      <c r="R5" s="71"/>
    </row>
    <row r="6" spans="1:18" s="63" customFormat="1" ht="15.75" customHeight="1">
      <c r="A6" s="72"/>
      <c r="B6" s="73"/>
      <c r="C6" s="73"/>
      <c r="D6" s="74"/>
      <c r="E6" s="73"/>
      <c r="F6" s="75"/>
      <c r="G6" s="76"/>
      <c r="H6" s="73"/>
      <c r="I6" s="73"/>
      <c r="J6" s="73"/>
      <c r="K6" s="73"/>
      <c r="L6" s="76"/>
      <c r="M6" s="75"/>
      <c r="N6" s="75"/>
      <c r="O6" s="75"/>
      <c r="P6" s="75"/>
      <c r="Q6" s="75"/>
      <c r="R6" s="77"/>
    </row>
    <row r="7" spans="1:18" ht="15.75" customHeight="1">
      <c r="A7" s="78"/>
      <c r="B7" s="66"/>
      <c r="C7" s="66"/>
      <c r="D7" s="66"/>
      <c r="G7" s="66"/>
      <c r="H7" s="66"/>
      <c r="I7" s="66"/>
      <c r="J7" s="66"/>
      <c r="K7" s="70"/>
      <c r="L7" s="70"/>
    </row>
    <row r="8" spans="1:18" ht="15.75" customHeight="1">
      <c r="A8" s="80" t="s">
        <v>55</v>
      </c>
      <c r="B8" s="66"/>
      <c r="C8" s="66"/>
      <c r="D8" s="66"/>
      <c r="G8" s="66"/>
      <c r="H8" s="66"/>
      <c r="I8" s="66"/>
      <c r="J8" s="66"/>
      <c r="K8" s="70"/>
      <c r="L8" s="70"/>
    </row>
    <row r="9" spans="1:18" ht="15.75" customHeight="1">
      <c r="B9" s="125" t="s">
        <v>85</v>
      </c>
      <c r="C9" s="126"/>
      <c r="D9" s="126"/>
      <c r="E9" s="126"/>
      <c r="F9" s="126"/>
      <c r="G9" s="126"/>
      <c r="H9" s="127"/>
      <c r="J9" s="125" t="s">
        <v>86</v>
      </c>
      <c r="K9" s="126"/>
      <c r="L9" s="126"/>
      <c r="M9" s="126"/>
      <c r="N9" s="126"/>
      <c r="O9" s="126"/>
      <c r="P9" s="127"/>
    </row>
    <row r="10" spans="1:18" s="85" customFormat="1" ht="15.75" customHeight="1">
      <c r="A10" s="82"/>
      <c r="B10" s="128" t="s">
        <v>83</v>
      </c>
      <c r="C10" s="129"/>
      <c r="D10" s="130"/>
      <c r="E10" s="83"/>
      <c r="F10" s="131" t="s">
        <v>82</v>
      </c>
      <c r="G10" s="132"/>
      <c r="H10" s="133"/>
      <c r="I10" s="84"/>
      <c r="J10" s="128" t="s">
        <v>83</v>
      </c>
      <c r="K10" s="129"/>
      <c r="L10" s="130"/>
      <c r="M10" s="83"/>
      <c r="N10" s="131" t="s">
        <v>82</v>
      </c>
      <c r="O10" s="132"/>
      <c r="P10" s="133"/>
    </row>
    <row r="11" spans="1:18" ht="15.75" customHeight="1">
      <c r="B11" s="86" t="s">
        <v>81</v>
      </c>
      <c r="C11" s="87" t="s">
        <v>80</v>
      </c>
      <c r="D11" s="88" t="s">
        <v>21</v>
      </c>
      <c r="E11" s="89"/>
      <c r="F11" s="90" t="str">
        <f>$B$11</f>
        <v>Peds</v>
      </c>
      <c r="G11" s="91" t="str">
        <f>$C$11</f>
        <v>Cycles</v>
      </c>
      <c r="H11" s="92" t="s">
        <v>21</v>
      </c>
      <c r="I11" s="89"/>
      <c r="J11" s="90" t="str">
        <f>$B$11</f>
        <v>Peds</v>
      </c>
      <c r="K11" s="91" t="str">
        <f>$C$11</f>
        <v>Cycles</v>
      </c>
      <c r="L11" s="92" t="s">
        <v>21</v>
      </c>
      <c r="N11" s="90" t="str">
        <f>$B$11</f>
        <v>Peds</v>
      </c>
      <c r="O11" s="91" t="str">
        <f>$C$11</f>
        <v>Cycles</v>
      </c>
      <c r="P11" s="92" t="s">
        <v>21</v>
      </c>
    </row>
    <row r="12" spans="1:18" ht="15.75" customHeight="1">
      <c r="F12" s="70"/>
      <c r="J12" s="70"/>
      <c r="N12" s="70"/>
      <c r="O12" s="65"/>
      <c r="P12" s="65"/>
    </row>
    <row r="13" spans="1:18" ht="15.75" customHeight="1">
      <c r="A13" s="93" t="s">
        <v>79</v>
      </c>
      <c r="B13" s="94">
        <v>2</v>
      </c>
      <c r="C13" s="95">
        <v>1</v>
      </c>
      <c r="D13" s="95">
        <f>SUM(B13:C13)</f>
        <v>3</v>
      </c>
      <c r="E13" s="84"/>
      <c r="F13" s="94">
        <v>0</v>
      </c>
      <c r="G13" s="96">
        <v>0</v>
      </c>
      <c r="H13" s="97">
        <f>SUM(F13:G13)</f>
        <v>0</v>
      </c>
      <c r="I13" s="84"/>
      <c r="J13" s="94">
        <v>2</v>
      </c>
      <c r="K13" s="96">
        <v>2</v>
      </c>
      <c r="L13" s="97">
        <f>SUM(J13:K13)</f>
        <v>4</v>
      </c>
      <c r="M13" s="85"/>
      <c r="N13" s="94">
        <v>0</v>
      </c>
      <c r="O13" s="96">
        <v>0</v>
      </c>
      <c r="P13" s="97">
        <f>SUM(N13:O13)</f>
        <v>0</v>
      </c>
    </row>
    <row r="14" spans="1:18" ht="15.75" customHeight="1">
      <c r="A14" s="98" t="s">
        <v>78</v>
      </c>
      <c r="B14" s="99">
        <v>2</v>
      </c>
      <c r="C14" s="100">
        <v>0</v>
      </c>
      <c r="D14" s="100">
        <f>SUM(B14:C14)</f>
        <v>2</v>
      </c>
      <c r="E14" s="84"/>
      <c r="F14" s="99">
        <v>0</v>
      </c>
      <c r="G14" s="84">
        <v>0</v>
      </c>
      <c r="H14" s="101">
        <f>SUM(F14:G14)</f>
        <v>0</v>
      </c>
      <c r="I14" s="84"/>
      <c r="J14" s="99">
        <v>1</v>
      </c>
      <c r="K14" s="84">
        <v>0</v>
      </c>
      <c r="L14" s="101">
        <f>SUM(J14:K14)</f>
        <v>1</v>
      </c>
      <c r="M14" s="85"/>
      <c r="N14" s="99">
        <v>0</v>
      </c>
      <c r="O14" s="84">
        <v>0</v>
      </c>
      <c r="P14" s="101">
        <f>SUM(N14:O14)</f>
        <v>0</v>
      </c>
    </row>
    <row r="15" spans="1:18" ht="15.75" customHeight="1">
      <c r="A15" s="98" t="s">
        <v>77</v>
      </c>
      <c r="B15" s="99">
        <v>4</v>
      </c>
      <c r="C15" s="100">
        <v>0</v>
      </c>
      <c r="D15" s="100">
        <f>SUM(B15:C15)</f>
        <v>4</v>
      </c>
      <c r="E15" s="84"/>
      <c r="F15" s="99">
        <v>0</v>
      </c>
      <c r="G15" s="84">
        <v>0</v>
      </c>
      <c r="H15" s="101">
        <f>SUM(F15:G15)</f>
        <v>0</v>
      </c>
      <c r="I15" s="84"/>
      <c r="J15" s="99">
        <v>5</v>
      </c>
      <c r="K15" s="84">
        <v>0</v>
      </c>
      <c r="L15" s="101">
        <f>SUM(J15:K15)</f>
        <v>5</v>
      </c>
      <c r="M15" s="85"/>
      <c r="N15" s="99">
        <v>0</v>
      </c>
      <c r="O15" s="84">
        <v>0</v>
      </c>
      <c r="P15" s="101">
        <f>SUM(N15:O15)</f>
        <v>0</v>
      </c>
    </row>
    <row r="16" spans="1:18" ht="15.75" customHeight="1">
      <c r="A16" s="98" t="s">
        <v>76</v>
      </c>
      <c r="B16" s="99">
        <v>1</v>
      </c>
      <c r="C16" s="100">
        <v>0</v>
      </c>
      <c r="D16" s="100">
        <f>SUM(B16:C16)</f>
        <v>1</v>
      </c>
      <c r="E16" s="84"/>
      <c r="F16" s="99">
        <v>0</v>
      </c>
      <c r="G16" s="84">
        <v>1</v>
      </c>
      <c r="H16" s="102">
        <f>SUM(F16:G16)</f>
        <v>1</v>
      </c>
      <c r="I16" s="84"/>
      <c r="J16" s="99">
        <v>2</v>
      </c>
      <c r="K16" s="84">
        <v>1</v>
      </c>
      <c r="L16" s="102">
        <f>SUM(J16:K16)</f>
        <v>3</v>
      </c>
      <c r="M16" s="85"/>
      <c r="N16" s="99">
        <v>0</v>
      </c>
      <c r="O16" s="84">
        <v>4</v>
      </c>
      <c r="P16" s="102">
        <f>SUM(N16:O16)</f>
        <v>4</v>
      </c>
    </row>
    <row r="17" spans="1:16" ht="15.75" customHeight="1">
      <c r="A17" s="103" t="s">
        <v>23</v>
      </c>
      <c r="B17" s="104">
        <f>SUM(B13:B16)</f>
        <v>9</v>
      </c>
      <c r="C17" s="105">
        <f t="shared" ref="C17" si="0">SUM(C13:C16)</f>
        <v>1</v>
      </c>
      <c r="D17" s="105">
        <f>SUM(D13:D16)</f>
        <v>10</v>
      </c>
      <c r="E17" s="84"/>
      <c r="F17" s="104">
        <f t="shared" ref="F17" si="1">SUM(F13:F16)</f>
        <v>0</v>
      </c>
      <c r="G17" s="105">
        <f t="shared" ref="G17" si="2">SUM(G13:G16)</f>
        <v>1</v>
      </c>
      <c r="H17" s="106">
        <f>SUM(H13:H16)</f>
        <v>1</v>
      </c>
      <c r="I17" s="84"/>
      <c r="J17" s="104">
        <f t="shared" ref="J17:K17" si="3">SUM(J13:J16)</f>
        <v>10</v>
      </c>
      <c r="K17" s="105">
        <f t="shared" si="3"/>
        <v>3</v>
      </c>
      <c r="L17" s="106">
        <f>SUM(L13:L16)</f>
        <v>13</v>
      </c>
      <c r="M17" s="85"/>
      <c r="N17" s="104">
        <f t="shared" ref="N17" si="4">SUM(N13:N16)</f>
        <v>0</v>
      </c>
      <c r="O17" s="105">
        <f t="shared" ref="O17" si="5">SUM(O13:O16)</f>
        <v>4</v>
      </c>
      <c r="P17" s="106">
        <f>SUM(P13:P16)</f>
        <v>4</v>
      </c>
    </row>
    <row r="18" spans="1:16" ht="15.75" customHeight="1">
      <c r="A18" s="98" t="s">
        <v>75</v>
      </c>
      <c r="B18" s="99">
        <v>14</v>
      </c>
      <c r="C18" s="100">
        <v>0</v>
      </c>
      <c r="D18" s="100">
        <f>SUM(B18:C18)</f>
        <v>14</v>
      </c>
      <c r="E18" s="84"/>
      <c r="F18" s="94">
        <v>2</v>
      </c>
      <c r="G18" s="96">
        <v>0</v>
      </c>
      <c r="H18" s="97">
        <f>SUM(F18:G18)</f>
        <v>2</v>
      </c>
      <c r="I18" s="84"/>
      <c r="J18" s="94">
        <v>0</v>
      </c>
      <c r="K18" s="96">
        <v>0</v>
      </c>
      <c r="L18" s="97">
        <f>SUM(J18:K18)</f>
        <v>0</v>
      </c>
      <c r="M18" s="85"/>
      <c r="N18" s="94">
        <v>0</v>
      </c>
      <c r="O18" s="96">
        <v>1</v>
      </c>
      <c r="P18" s="97">
        <f>SUM(N18:O18)</f>
        <v>1</v>
      </c>
    </row>
    <row r="19" spans="1:16" ht="15.75" customHeight="1">
      <c r="A19" s="98" t="s">
        <v>74</v>
      </c>
      <c r="B19" s="99">
        <v>4</v>
      </c>
      <c r="C19" s="100">
        <v>0</v>
      </c>
      <c r="D19" s="100">
        <f>SUM(B19:C19)</f>
        <v>4</v>
      </c>
      <c r="E19" s="84"/>
      <c r="F19" s="99">
        <v>1</v>
      </c>
      <c r="G19" s="84">
        <v>0</v>
      </c>
      <c r="H19" s="101">
        <f>SUM(F19:G19)</f>
        <v>1</v>
      </c>
      <c r="I19" s="84"/>
      <c r="J19" s="99">
        <v>3</v>
      </c>
      <c r="K19" s="84">
        <v>0</v>
      </c>
      <c r="L19" s="101">
        <f>SUM(J19:K19)</f>
        <v>3</v>
      </c>
      <c r="M19" s="85"/>
      <c r="N19" s="99">
        <v>0</v>
      </c>
      <c r="O19" s="84">
        <v>0</v>
      </c>
      <c r="P19" s="101">
        <f>SUM(N19:O19)</f>
        <v>0</v>
      </c>
    </row>
    <row r="20" spans="1:16" ht="15.75" customHeight="1">
      <c r="A20" s="98" t="s">
        <v>73</v>
      </c>
      <c r="B20" s="99">
        <v>1</v>
      </c>
      <c r="C20" s="100">
        <v>1</v>
      </c>
      <c r="D20" s="100">
        <f>SUM(B20:C20)</f>
        <v>2</v>
      </c>
      <c r="E20" s="84"/>
      <c r="F20" s="99">
        <v>2</v>
      </c>
      <c r="G20" s="84">
        <v>0</v>
      </c>
      <c r="H20" s="101">
        <f>SUM(F20:G20)</f>
        <v>2</v>
      </c>
      <c r="I20" s="84"/>
      <c r="J20" s="99">
        <v>26</v>
      </c>
      <c r="K20" s="84">
        <v>2</v>
      </c>
      <c r="L20" s="101">
        <f>SUM(J20:K20)</f>
        <v>28</v>
      </c>
      <c r="M20" s="85"/>
      <c r="N20" s="99">
        <v>2</v>
      </c>
      <c r="O20" s="84">
        <v>0</v>
      </c>
      <c r="P20" s="101">
        <f>SUM(N20:O20)</f>
        <v>2</v>
      </c>
    </row>
    <row r="21" spans="1:16" ht="15.75" customHeight="1">
      <c r="A21" s="98" t="s">
        <v>72</v>
      </c>
      <c r="B21" s="99">
        <v>13</v>
      </c>
      <c r="C21" s="100">
        <v>1</v>
      </c>
      <c r="D21" s="100">
        <f>SUM(B21:C21)</f>
        <v>14</v>
      </c>
      <c r="E21" s="84"/>
      <c r="F21" s="99">
        <v>2</v>
      </c>
      <c r="G21" s="84">
        <v>0</v>
      </c>
      <c r="H21" s="102">
        <f>SUM(F21:G21)</f>
        <v>2</v>
      </c>
      <c r="I21" s="84"/>
      <c r="J21" s="99">
        <v>17</v>
      </c>
      <c r="K21" s="84">
        <v>2</v>
      </c>
      <c r="L21" s="102">
        <f>SUM(J21:K21)</f>
        <v>19</v>
      </c>
      <c r="M21" s="85"/>
      <c r="N21" s="99">
        <v>0</v>
      </c>
      <c r="O21" s="84">
        <v>0</v>
      </c>
      <c r="P21" s="102">
        <f>SUM(N21:O21)</f>
        <v>0</v>
      </c>
    </row>
    <row r="22" spans="1:16" ht="15.75" customHeight="1">
      <c r="A22" s="103" t="s">
        <v>23</v>
      </c>
      <c r="B22" s="104">
        <f>SUM(B18:B21)</f>
        <v>32</v>
      </c>
      <c r="C22" s="105">
        <f t="shared" ref="C22" si="6">SUM(C18:C21)</f>
        <v>2</v>
      </c>
      <c r="D22" s="105">
        <f>SUM(D18:D21)</f>
        <v>34</v>
      </c>
      <c r="E22" s="84"/>
      <c r="F22" s="104">
        <f t="shared" ref="F22" si="7">SUM(F18:F21)</f>
        <v>7</v>
      </c>
      <c r="G22" s="105">
        <f t="shared" ref="G22" si="8">SUM(G18:G21)</f>
        <v>0</v>
      </c>
      <c r="H22" s="106">
        <f>SUM(H18:H21)</f>
        <v>7</v>
      </c>
      <c r="I22" s="84"/>
      <c r="J22" s="104">
        <f t="shared" ref="J22:K22" si="9">SUM(J18:J21)</f>
        <v>46</v>
      </c>
      <c r="K22" s="105">
        <f t="shared" si="9"/>
        <v>4</v>
      </c>
      <c r="L22" s="106">
        <f>SUM(L18:L21)</f>
        <v>50</v>
      </c>
      <c r="M22" s="85"/>
      <c r="N22" s="104">
        <f t="shared" ref="N22" si="10">SUM(N18:N21)</f>
        <v>2</v>
      </c>
      <c r="O22" s="105">
        <f t="shared" ref="O22" si="11">SUM(O18:O21)</f>
        <v>1</v>
      </c>
      <c r="P22" s="106">
        <f>SUM(P18:P21)</f>
        <v>3</v>
      </c>
    </row>
    <row r="23" spans="1:16" ht="15.75" customHeight="1">
      <c r="A23" s="98" t="s">
        <v>71</v>
      </c>
      <c r="B23" s="99">
        <v>13</v>
      </c>
      <c r="C23" s="100">
        <v>0</v>
      </c>
      <c r="D23" s="100">
        <f>SUM(B23:C23)</f>
        <v>13</v>
      </c>
      <c r="E23" s="84"/>
      <c r="F23" s="94">
        <v>1</v>
      </c>
      <c r="G23" s="96">
        <v>1</v>
      </c>
      <c r="H23" s="97">
        <f>SUM(F23:G23)</f>
        <v>2</v>
      </c>
      <c r="I23" s="84"/>
      <c r="J23" s="94">
        <v>4</v>
      </c>
      <c r="K23" s="96">
        <v>0</v>
      </c>
      <c r="L23" s="97">
        <f>SUM(J23:K23)</f>
        <v>4</v>
      </c>
      <c r="M23" s="85"/>
      <c r="N23" s="94">
        <v>0</v>
      </c>
      <c r="O23" s="96">
        <v>2</v>
      </c>
      <c r="P23" s="97">
        <f>SUM(N23:O23)</f>
        <v>2</v>
      </c>
    </row>
    <row r="24" spans="1:16" ht="15.75" customHeight="1">
      <c r="A24" s="98" t="s">
        <v>70</v>
      </c>
      <c r="B24" s="99">
        <v>5</v>
      </c>
      <c r="C24" s="100">
        <v>0</v>
      </c>
      <c r="D24" s="100">
        <f>SUM(B24:C24)</f>
        <v>5</v>
      </c>
      <c r="E24" s="84"/>
      <c r="F24" s="99">
        <v>1</v>
      </c>
      <c r="G24" s="84">
        <v>0</v>
      </c>
      <c r="H24" s="101">
        <f>SUM(F24:G24)</f>
        <v>1</v>
      </c>
      <c r="I24" s="84"/>
      <c r="J24" s="99">
        <v>3</v>
      </c>
      <c r="K24" s="84">
        <v>0</v>
      </c>
      <c r="L24" s="101">
        <f>SUM(J24:K24)</f>
        <v>3</v>
      </c>
      <c r="M24" s="85"/>
      <c r="N24" s="99">
        <v>0</v>
      </c>
      <c r="O24" s="84">
        <v>0</v>
      </c>
      <c r="P24" s="101">
        <f>SUM(N24:O24)</f>
        <v>0</v>
      </c>
    </row>
    <row r="25" spans="1:16" ht="15.75" customHeight="1">
      <c r="A25" s="98" t="s">
        <v>69</v>
      </c>
      <c r="B25" s="99">
        <v>2</v>
      </c>
      <c r="C25" s="100">
        <v>0</v>
      </c>
      <c r="D25" s="100">
        <f>SUM(B25:C25)</f>
        <v>2</v>
      </c>
      <c r="E25" s="84"/>
      <c r="F25" s="99">
        <v>0</v>
      </c>
      <c r="G25" s="84">
        <v>0</v>
      </c>
      <c r="H25" s="101">
        <f>SUM(F25:G25)</f>
        <v>0</v>
      </c>
      <c r="I25" s="84"/>
      <c r="J25" s="99">
        <v>0</v>
      </c>
      <c r="K25" s="84">
        <v>0</v>
      </c>
      <c r="L25" s="101">
        <f>SUM(J25:K25)</f>
        <v>0</v>
      </c>
      <c r="M25" s="85"/>
      <c r="N25" s="99">
        <v>0</v>
      </c>
      <c r="O25" s="84">
        <v>0</v>
      </c>
      <c r="P25" s="101">
        <f>SUM(N25:O25)</f>
        <v>0</v>
      </c>
    </row>
    <row r="26" spans="1:16" ht="15.75" customHeight="1">
      <c r="A26" s="98" t="s">
        <v>68</v>
      </c>
      <c r="B26" s="99">
        <v>5</v>
      </c>
      <c r="C26" s="100">
        <v>0</v>
      </c>
      <c r="D26" s="100">
        <f>SUM(B26:C26)</f>
        <v>5</v>
      </c>
      <c r="E26" s="84"/>
      <c r="F26" s="99">
        <v>0</v>
      </c>
      <c r="G26" s="84">
        <v>0</v>
      </c>
      <c r="H26" s="102">
        <f>SUM(F26:G26)</f>
        <v>0</v>
      </c>
      <c r="I26" s="84"/>
      <c r="J26" s="99">
        <v>0</v>
      </c>
      <c r="K26" s="84">
        <v>0</v>
      </c>
      <c r="L26" s="102">
        <f>SUM(J26:K26)</f>
        <v>0</v>
      </c>
      <c r="M26" s="85"/>
      <c r="N26" s="99">
        <v>1</v>
      </c>
      <c r="O26" s="84">
        <v>1</v>
      </c>
      <c r="P26" s="102">
        <f>SUM(N26:O26)</f>
        <v>2</v>
      </c>
    </row>
    <row r="27" spans="1:16" ht="15.75" customHeight="1">
      <c r="A27" s="103" t="s">
        <v>23</v>
      </c>
      <c r="B27" s="104">
        <f>SUM(B23:B26)</f>
        <v>25</v>
      </c>
      <c r="C27" s="105">
        <f t="shared" ref="C27" si="12">SUM(C23:C26)</f>
        <v>0</v>
      </c>
      <c r="D27" s="105">
        <f>SUM(D23:D26)</f>
        <v>25</v>
      </c>
      <c r="E27" s="84"/>
      <c r="F27" s="104">
        <f t="shared" ref="F27" si="13">SUM(F23:F26)</f>
        <v>2</v>
      </c>
      <c r="G27" s="105">
        <f t="shared" ref="G27" si="14">SUM(G23:G26)</f>
        <v>1</v>
      </c>
      <c r="H27" s="106">
        <f>SUM(H23:H26)</f>
        <v>3</v>
      </c>
      <c r="I27" s="84"/>
      <c r="J27" s="104">
        <f t="shared" ref="J27:K27" si="15">SUM(J23:J26)</f>
        <v>7</v>
      </c>
      <c r="K27" s="105">
        <f t="shared" si="15"/>
        <v>0</v>
      </c>
      <c r="L27" s="106">
        <f>SUM(L23:L26)</f>
        <v>7</v>
      </c>
      <c r="M27" s="85"/>
      <c r="N27" s="104">
        <f t="shared" ref="N27" si="16">SUM(N23:N26)</f>
        <v>1</v>
      </c>
      <c r="O27" s="105">
        <f t="shared" ref="O27" si="17">SUM(O23:O26)</f>
        <v>3</v>
      </c>
      <c r="P27" s="106">
        <f>SUM(P23:P26)</f>
        <v>4</v>
      </c>
    </row>
    <row r="28" spans="1:16" ht="15.75" customHeight="1">
      <c r="A28" s="98" t="s">
        <v>67</v>
      </c>
      <c r="B28" s="99">
        <v>4</v>
      </c>
      <c r="C28" s="100">
        <v>0</v>
      </c>
      <c r="D28" s="100">
        <f>SUM(B28:C28)</f>
        <v>4</v>
      </c>
      <c r="E28" s="84"/>
      <c r="F28" s="94">
        <v>0</v>
      </c>
      <c r="G28" s="96">
        <v>1</v>
      </c>
      <c r="H28" s="97">
        <f>SUM(F28:G28)</f>
        <v>1</v>
      </c>
      <c r="I28" s="84"/>
      <c r="J28" s="94">
        <v>3</v>
      </c>
      <c r="K28" s="96">
        <v>0</v>
      </c>
      <c r="L28" s="97">
        <f>SUM(J28:K28)</f>
        <v>3</v>
      </c>
      <c r="M28" s="85"/>
      <c r="N28" s="94">
        <v>0</v>
      </c>
      <c r="O28" s="96">
        <v>0</v>
      </c>
      <c r="P28" s="97">
        <f>SUM(N28:O28)</f>
        <v>0</v>
      </c>
    </row>
    <row r="29" spans="1:16" ht="15.75" customHeight="1">
      <c r="A29" s="98" t="s">
        <v>66</v>
      </c>
      <c r="B29" s="99">
        <v>2</v>
      </c>
      <c r="C29" s="100">
        <v>0</v>
      </c>
      <c r="D29" s="100">
        <f>SUM(B29:C29)</f>
        <v>2</v>
      </c>
      <c r="E29" s="84"/>
      <c r="F29" s="99">
        <v>0</v>
      </c>
      <c r="G29" s="84">
        <v>0</v>
      </c>
      <c r="H29" s="101">
        <f>SUM(F29:G29)</f>
        <v>0</v>
      </c>
      <c r="I29" s="84"/>
      <c r="J29" s="99">
        <v>4</v>
      </c>
      <c r="K29" s="84">
        <v>0</v>
      </c>
      <c r="L29" s="101">
        <f>SUM(J29:K29)</f>
        <v>4</v>
      </c>
      <c r="M29" s="85"/>
      <c r="N29" s="99">
        <v>0</v>
      </c>
      <c r="O29" s="84">
        <v>0</v>
      </c>
      <c r="P29" s="101">
        <f>SUM(N29:O29)</f>
        <v>0</v>
      </c>
    </row>
    <row r="30" spans="1:16" ht="15.75" customHeight="1">
      <c r="A30" s="98" t="s">
        <v>65</v>
      </c>
      <c r="B30" s="99">
        <v>3</v>
      </c>
      <c r="C30" s="100">
        <v>0</v>
      </c>
      <c r="D30" s="100">
        <f>SUM(B30:C30)</f>
        <v>3</v>
      </c>
      <c r="E30" s="84"/>
      <c r="F30" s="99">
        <v>0</v>
      </c>
      <c r="G30" s="84">
        <v>0</v>
      </c>
      <c r="H30" s="101">
        <f>SUM(F30:G30)</f>
        <v>0</v>
      </c>
      <c r="I30" s="84"/>
      <c r="J30" s="99">
        <v>0</v>
      </c>
      <c r="K30" s="84">
        <v>0</v>
      </c>
      <c r="L30" s="101">
        <f>SUM(J30:K30)</f>
        <v>0</v>
      </c>
      <c r="M30" s="85"/>
      <c r="N30" s="99">
        <v>1</v>
      </c>
      <c r="O30" s="84">
        <v>0</v>
      </c>
      <c r="P30" s="101">
        <f>SUM(N30:O30)</f>
        <v>1</v>
      </c>
    </row>
    <row r="31" spans="1:16" ht="15.75" customHeight="1">
      <c r="A31" s="98" t="s">
        <v>64</v>
      </c>
      <c r="B31" s="99">
        <v>0</v>
      </c>
      <c r="C31" s="100">
        <v>0</v>
      </c>
      <c r="D31" s="100">
        <f>SUM(B31:C31)</f>
        <v>0</v>
      </c>
      <c r="E31" s="84"/>
      <c r="F31" s="99">
        <v>0</v>
      </c>
      <c r="G31" s="84">
        <v>0</v>
      </c>
      <c r="H31" s="102">
        <f>SUM(F31:G31)</f>
        <v>0</v>
      </c>
      <c r="I31" s="84"/>
      <c r="J31" s="99">
        <v>3</v>
      </c>
      <c r="K31" s="84">
        <v>0</v>
      </c>
      <c r="L31" s="102">
        <f>SUM(J31:K31)</f>
        <v>3</v>
      </c>
      <c r="M31" s="85"/>
      <c r="N31" s="99">
        <v>0</v>
      </c>
      <c r="O31" s="84">
        <v>0</v>
      </c>
      <c r="P31" s="102">
        <f>SUM(N31:O31)</f>
        <v>0</v>
      </c>
    </row>
    <row r="32" spans="1:16" ht="15.75" customHeight="1">
      <c r="A32" s="103" t="s">
        <v>23</v>
      </c>
      <c r="B32" s="104">
        <f>SUM(B28:B31)</f>
        <v>9</v>
      </c>
      <c r="C32" s="105">
        <f t="shared" ref="C32" si="18">SUM(C28:C31)</f>
        <v>0</v>
      </c>
      <c r="D32" s="105">
        <f>SUM(D28:D31)</f>
        <v>9</v>
      </c>
      <c r="E32" s="84"/>
      <c r="F32" s="104">
        <f t="shared" ref="F32" si="19">SUM(F28:F31)</f>
        <v>0</v>
      </c>
      <c r="G32" s="105">
        <f t="shared" ref="G32" si="20">SUM(G28:G31)</f>
        <v>1</v>
      </c>
      <c r="H32" s="106">
        <f>SUM(H28:H31)</f>
        <v>1</v>
      </c>
      <c r="I32" s="84"/>
      <c r="J32" s="104">
        <f t="shared" ref="J32:K32" si="21">SUM(J28:J31)</f>
        <v>10</v>
      </c>
      <c r="K32" s="105">
        <f t="shared" si="21"/>
        <v>0</v>
      </c>
      <c r="L32" s="106">
        <f>SUM(L28:L31)</f>
        <v>10</v>
      </c>
      <c r="M32" s="85"/>
      <c r="N32" s="104">
        <f t="shared" ref="N32" si="22">SUM(N28:N31)</f>
        <v>1</v>
      </c>
      <c r="O32" s="105">
        <f t="shared" ref="O32" si="23">SUM(O28:O31)</f>
        <v>0</v>
      </c>
      <c r="P32" s="106">
        <f>SUM(P28:P31)</f>
        <v>1</v>
      </c>
    </row>
    <row r="33" spans="1:16" ht="15.75" customHeight="1">
      <c r="A33" s="98" t="s">
        <v>63</v>
      </c>
      <c r="B33" s="99">
        <v>3</v>
      </c>
      <c r="C33" s="100">
        <v>0</v>
      </c>
      <c r="D33" s="100">
        <f>SUM(B33:C33)</f>
        <v>3</v>
      </c>
      <c r="E33" s="84"/>
      <c r="F33" s="94">
        <v>0</v>
      </c>
      <c r="G33" s="96">
        <v>0</v>
      </c>
      <c r="H33" s="97">
        <f>SUM(F33:G33)</f>
        <v>0</v>
      </c>
      <c r="I33" s="84"/>
      <c r="J33" s="94">
        <v>1</v>
      </c>
      <c r="K33" s="96">
        <v>0</v>
      </c>
      <c r="L33" s="97">
        <f>SUM(J33:K33)</f>
        <v>1</v>
      </c>
      <c r="M33" s="85"/>
      <c r="N33" s="94">
        <v>0</v>
      </c>
      <c r="O33" s="96">
        <v>0</v>
      </c>
      <c r="P33" s="97">
        <f>SUM(N33:O33)</f>
        <v>0</v>
      </c>
    </row>
    <row r="34" spans="1:16" ht="15.75" customHeight="1">
      <c r="A34" s="98" t="s">
        <v>62</v>
      </c>
      <c r="B34" s="99">
        <v>1</v>
      </c>
      <c r="C34" s="100">
        <v>0</v>
      </c>
      <c r="D34" s="100">
        <f>SUM(B34:C34)</f>
        <v>1</v>
      </c>
      <c r="E34" s="84"/>
      <c r="F34" s="99">
        <v>0</v>
      </c>
      <c r="G34" s="84">
        <v>0</v>
      </c>
      <c r="H34" s="101">
        <f>SUM(F34:G34)</f>
        <v>0</v>
      </c>
      <c r="I34" s="84"/>
      <c r="J34" s="99">
        <v>1</v>
      </c>
      <c r="K34" s="84">
        <v>0</v>
      </c>
      <c r="L34" s="101">
        <f>SUM(J34:K34)</f>
        <v>1</v>
      </c>
      <c r="M34" s="85"/>
      <c r="N34" s="99">
        <v>0</v>
      </c>
      <c r="O34" s="84">
        <v>0</v>
      </c>
      <c r="P34" s="101">
        <f>SUM(N34:O34)</f>
        <v>0</v>
      </c>
    </row>
    <row r="35" spans="1:16" ht="15.75" customHeight="1">
      <c r="A35" s="98" t="s">
        <v>61</v>
      </c>
      <c r="B35" s="99">
        <v>0</v>
      </c>
      <c r="C35" s="100">
        <v>0</v>
      </c>
      <c r="D35" s="100">
        <f>SUM(B35:C35)</f>
        <v>0</v>
      </c>
      <c r="E35" s="84"/>
      <c r="F35" s="99">
        <v>0</v>
      </c>
      <c r="G35" s="84">
        <v>0</v>
      </c>
      <c r="H35" s="101">
        <f>SUM(F35:G35)</f>
        <v>0</v>
      </c>
      <c r="I35" s="84"/>
      <c r="J35" s="99">
        <v>1</v>
      </c>
      <c r="K35" s="84">
        <v>0</v>
      </c>
      <c r="L35" s="101">
        <f>SUM(J35:K35)</f>
        <v>1</v>
      </c>
      <c r="M35" s="85"/>
      <c r="N35" s="99">
        <v>0</v>
      </c>
      <c r="O35" s="84">
        <v>1</v>
      </c>
      <c r="P35" s="101">
        <f>SUM(N35:O35)</f>
        <v>1</v>
      </c>
    </row>
    <row r="36" spans="1:16" ht="15.75" customHeight="1">
      <c r="A36" s="98" t="s">
        <v>60</v>
      </c>
      <c r="B36" s="99">
        <v>1</v>
      </c>
      <c r="C36" s="100">
        <v>0</v>
      </c>
      <c r="D36" s="100">
        <f>SUM(B36:C36)</f>
        <v>1</v>
      </c>
      <c r="E36" s="84"/>
      <c r="F36" s="99">
        <v>0</v>
      </c>
      <c r="G36" s="84">
        <v>0</v>
      </c>
      <c r="H36" s="102">
        <f>SUM(F36:G36)</f>
        <v>0</v>
      </c>
      <c r="I36" s="84"/>
      <c r="J36" s="99">
        <v>2</v>
      </c>
      <c r="K36" s="84">
        <v>0</v>
      </c>
      <c r="L36" s="102">
        <f>SUM(J36:K36)</f>
        <v>2</v>
      </c>
      <c r="M36" s="85"/>
      <c r="N36" s="99">
        <v>0</v>
      </c>
      <c r="O36" s="84">
        <v>0</v>
      </c>
      <c r="P36" s="102">
        <f>SUM(N36:O36)</f>
        <v>0</v>
      </c>
    </row>
    <row r="37" spans="1:16" ht="15.75" customHeight="1">
      <c r="A37" s="103" t="s">
        <v>23</v>
      </c>
      <c r="B37" s="104">
        <f>SUM(B33:B36)</f>
        <v>5</v>
      </c>
      <c r="C37" s="105">
        <f t="shared" ref="C37" si="24">SUM(C33:C36)</f>
        <v>0</v>
      </c>
      <c r="D37" s="105">
        <f>SUM(D33:D36)</f>
        <v>5</v>
      </c>
      <c r="E37" s="84"/>
      <c r="F37" s="104">
        <f t="shared" ref="F37" si="25">SUM(F33:F36)</f>
        <v>0</v>
      </c>
      <c r="G37" s="105">
        <f t="shared" ref="G37" si="26">SUM(G33:G36)</f>
        <v>0</v>
      </c>
      <c r="H37" s="106">
        <f>SUM(H33:H36)</f>
        <v>0</v>
      </c>
      <c r="I37" s="84"/>
      <c r="J37" s="104">
        <f t="shared" ref="J37:K37" si="27">SUM(J33:J36)</f>
        <v>5</v>
      </c>
      <c r="K37" s="105">
        <f t="shared" si="27"/>
        <v>0</v>
      </c>
      <c r="L37" s="106">
        <f>SUM(L33:L36)</f>
        <v>5</v>
      </c>
      <c r="M37" s="85"/>
      <c r="N37" s="104">
        <f t="shared" ref="N37" si="28">SUM(N33:N36)</f>
        <v>0</v>
      </c>
      <c r="O37" s="105">
        <f t="shared" ref="O37" si="29">SUM(O33:O36)</f>
        <v>1</v>
      </c>
      <c r="P37" s="106">
        <f>SUM(P33:P36)</f>
        <v>1</v>
      </c>
    </row>
    <row r="38" spans="1:16" ht="15.75" customHeight="1">
      <c r="A38" s="98" t="s">
        <v>59</v>
      </c>
      <c r="B38" s="99">
        <v>2</v>
      </c>
      <c r="C38" s="100">
        <v>0</v>
      </c>
      <c r="D38" s="100">
        <f>SUM(B38:C38)</f>
        <v>2</v>
      </c>
      <c r="E38" s="84"/>
      <c r="F38" s="94">
        <v>0</v>
      </c>
      <c r="G38" s="96">
        <v>0</v>
      </c>
      <c r="H38" s="97">
        <f>SUM(F38:G38)</f>
        <v>0</v>
      </c>
      <c r="I38" s="84"/>
      <c r="J38" s="94">
        <v>2</v>
      </c>
      <c r="K38" s="96">
        <v>0</v>
      </c>
      <c r="L38" s="97">
        <f>SUM(J38:K38)</f>
        <v>2</v>
      </c>
      <c r="M38" s="85"/>
      <c r="N38" s="94">
        <v>0</v>
      </c>
      <c r="O38" s="96">
        <v>0</v>
      </c>
      <c r="P38" s="97">
        <f>SUM(N38:O38)</f>
        <v>0</v>
      </c>
    </row>
    <row r="39" spans="1:16" ht="15.75" customHeight="1">
      <c r="A39" s="98" t="s">
        <v>58</v>
      </c>
      <c r="B39" s="99">
        <v>1</v>
      </c>
      <c r="C39" s="100">
        <v>0</v>
      </c>
      <c r="D39" s="100">
        <f>SUM(B39:C39)</f>
        <v>1</v>
      </c>
      <c r="E39" s="84"/>
      <c r="F39" s="99">
        <v>0</v>
      </c>
      <c r="G39" s="84">
        <v>0</v>
      </c>
      <c r="H39" s="101">
        <f>SUM(F39:G39)</f>
        <v>0</v>
      </c>
      <c r="I39" s="84"/>
      <c r="J39" s="99">
        <v>1</v>
      </c>
      <c r="K39" s="84">
        <v>0</v>
      </c>
      <c r="L39" s="101">
        <f>SUM(J39:K39)</f>
        <v>1</v>
      </c>
      <c r="M39" s="85"/>
      <c r="N39" s="99">
        <v>0</v>
      </c>
      <c r="O39" s="84">
        <v>0</v>
      </c>
      <c r="P39" s="101">
        <f>SUM(N39:O39)</f>
        <v>0</v>
      </c>
    </row>
    <row r="40" spans="1:16" ht="15.75" customHeight="1">
      <c r="A40" s="98" t="s">
        <v>57</v>
      </c>
      <c r="B40" s="99">
        <v>0</v>
      </c>
      <c r="C40" s="100">
        <v>0</v>
      </c>
      <c r="D40" s="100">
        <f>SUM(B40:C40)</f>
        <v>0</v>
      </c>
      <c r="E40" s="84"/>
      <c r="F40" s="99">
        <v>0</v>
      </c>
      <c r="G40" s="84">
        <v>1</v>
      </c>
      <c r="H40" s="101">
        <f>SUM(F40:G40)</f>
        <v>1</v>
      </c>
      <c r="I40" s="84"/>
      <c r="J40" s="99">
        <v>0</v>
      </c>
      <c r="K40" s="84">
        <v>0</v>
      </c>
      <c r="L40" s="101">
        <f>SUM(J40:K40)</f>
        <v>0</v>
      </c>
      <c r="M40" s="85"/>
      <c r="N40" s="99">
        <v>0</v>
      </c>
      <c r="O40" s="84">
        <v>0</v>
      </c>
      <c r="P40" s="101">
        <f>SUM(N40:O40)</f>
        <v>0</v>
      </c>
    </row>
    <row r="41" spans="1:16" ht="15.75" customHeight="1">
      <c r="A41" s="98" t="s">
        <v>56</v>
      </c>
      <c r="B41" s="99">
        <v>0</v>
      </c>
      <c r="C41" s="100">
        <v>0</v>
      </c>
      <c r="D41" s="100">
        <f>SUM(B41:C41)</f>
        <v>0</v>
      </c>
      <c r="E41" s="84"/>
      <c r="F41" s="99">
        <v>0</v>
      </c>
      <c r="G41" s="84">
        <v>0</v>
      </c>
      <c r="H41" s="102">
        <f>SUM(F41:G41)</f>
        <v>0</v>
      </c>
      <c r="I41" s="84"/>
      <c r="J41" s="99">
        <v>2</v>
      </c>
      <c r="K41" s="84">
        <v>0</v>
      </c>
      <c r="L41" s="102">
        <f>SUM(J41:K41)</f>
        <v>2</v>
      </c>
      <c r="M41" s="85"/>
      <c r="N41" s="99">
        <v>1</v>
      </c>
      <c r="O41" s="84">
        <v>0</v>
      </c>
      <c r="P41" s="102">
        <f>SUM(N41:O41)</f>
        <v>1</v>
      </c>
    </row>
    <row r="42" spans="1:16" ht="15.75" customHeight="1">
      <c r="A42" s="103" t="s">
        <v>23</v>
      </c>
      <c r="B42" s="104">
        <f>SUM(B38:B41)</f>
        <v>3</v>
      </c>
      <c r="C42" s="105">
        <f t="shared" ref="C42" si="30">SUM(C38:C41)</f>
        <v>0</v>
      </c>
      <c r="D42" s="105">
        <f>SUM(D38:D41)</f>
        <v>3</v>
      </c>
      <c r="E42" s="84"/>
      <c r="F42" s="104">
        <f t="shared" ref="F42" si="31">SUM(F38:F41)</f>
        <v>0</v>
      </c>
      <c r="G42" s="105">
        <f t="shared" ref="G42" si="32">SUM(G38:G41)</f>
        <v>1</v>
      </c>
      <c r="H42" s="106">
        <f>SUM(H38:H41)</f>
        <v>1</v>
      </c>
      <c r="I42" s="84"/>
      <c r="J42" s="104">
        <f t="shared" ref="J42:K42" si="33">SUM(J38:J41)</f>
        <v>5</v>
      </c>
      <c r="K42" s="105">
        <f t="shared" si="33"/>
        <v>0</v>
      </c>
      <c r="L42" s="106">
        <f>SUM(L38:L41)</f>
        <v>5</v>
      </c>
      <c r="M42" s="85"/>
      <c r="N42" s="104">
        <f t="shared" ref="N42" si="34">SUM(N38:N41)</f>
        <v>1</v>
      </c>
      <c r="O42" s="105">
        <f t="shared" ref="O42" si="35">SUM(O38:O41)</f>
        <v>0</v>
      </c>
      <c r="P42" s="106">
        <f>SUM(P38:P41)</f>
        <v>1</v>
      </c>
    </row>
    <row r="43" spans="1:16" ht="15.75" customHeight="1">
      <c r="A43" s="107"/>
      <c r="B43" s="108"/>
      <c r="C43" s="108"/>
      <c r="D43" s="109"/>
      <c r="E43" s="108"/>
      <c r="F43" s="108"/>
      <c r="G43" s="108"/>
      <c r="H43" s="109"/>
      <c r="I43" s="108"/>
      <c r="J43" s="108"/>
      <c r="K43" s="108"/>
      <c r="L43" s="109"/>
      <c r="M43" s="110"/>
      <c r="N43" s="108"/>
      <c r="O43" s="108"/>
      <c r="P43" s="109"/>
    </row>
    <row r="44" spans="1:16" ht="15.75" customHeight="1">
      <c r="A44" s="103" t="s">
        <v>24</v>
      </c>
      <c r="B44" s="104">
        <f>SUM(B17+B22+B27+B32+B37+B42)</f>
        <v>83</v>
      </c>
      <c r="C44" s="105">
        <f>SUM(C17+C22+C27+C32+C37+C42)</f>
        <v>3</v>
      </c>
      <c r="D44" s="111">
        <f>SUM(D17+D22+D27+D32+D37+D42)</f>
        <v>86</v>
      </c>
      <c r="E44" s="84"/>
      <c r="F44" s="104">
        <f>SUM(F17+F22+F27+F32+F37+F42)</f>
        <v>9</v>
      </c>
      <c r="G44" s="112">
        <f>SUM(G17+G22+G27+G32+G37+G42)</f>
        <v>4</v>
      </c>
      <c r="H44" s="111">
        <f>SUM(H17+H22+H27+H32+H37+H42)</f>
        <v>13</v>
      </c>
      <c r="I44" s="84"/>
      <c r="J44" s="104">
        <f>SUM(J17+J22+J27+J32+J37+J42)</f>
        <v>83</v>
      </c>
      <c r="K44" s="112">
        <f>SUM(K17+K22+K27+K32+K37+K42)</f>
        <v>7</v>
      </c>
      <c r="L44" s="111">
        <f>SUM(L17+L22+L27+L32+L37+L42)</f>
        <v>90</v>
      </c>
      <c r="M44" s="85"/>
      <c r="N44" s="104">
        <f>SUM(N17+N22+N27+N32+N37+N42)</f>
        <v>5</v>
      </c>
      <c r="O44" s="112">
        <f>SUM(O17+O22+O27+O32+O37+O42)</f>
        <v>9</v>
      </c>
      <c r="P44" s="111">
        <f>SUM(P17+P22+P27+P32+P37+P42)</f>
        <v>14</v>
      </c>
    </row>
    <row r="45" spans="1:16" ht="15.75" customHeight="1">
      <c r="A45" s="107"/>
      <c r="B45" s="70"/>
      <c r="C45" s="70"/>
      <c r="D45" s="70"/>
      <c r="E45" s="70"/>
      <c r="F45" s="70"/>
      <c r="G45" s="70"/>
      <c r="H45" s="70"/>
      <c r="I45" s="70"/>
      <c r="J45" s="70"/>
      <c r="K45" s="70"/>
      <c r="L45" s="70"/>
      <c r="M45" s="113"/>
      <c r="N45" s="70"/>
      <c r="O45" s="70"/>
      <c r="P45" s="70"/>
    </row>
    <row r="46" spans="1:16" ht="15.75" customHeight="1">
      <c r="A46" s="80" t="s">
        <v>55</v>
      </c>
      <c r="B46" s="70"/>
      <c r="C46" s="70"/>
      <c r="D46" s="70"/>
      <c r="E46" s="70"/>
      <c r="F46" s="70"/>
      <c r="G46" s="70"/>
      <c r="H46" s="70"/>
      <c r="I46" s="70"/>
      <c r="J46" s="70"/>
      <c r="K46" s="70"/>
      <c r="L46" s="70"/>
      <c r="M46" s="113"/>
      <c r="N46" s="70"/>
      <c r="O46" s="70"/>
      <c r="P46" s="70"/>
    </row>
    <row r="47" spans="1:16" ht="15.75" customHeight="1">
      <c r="B47" s="125" t="str">
        <f>$B$9</f>
        <v>Eastbound</v>
      </c>
      <c r="C47" s="126"/>
      <c r="D47" s="126"/>
      <c r="E47" s="126"/>
      <c r="F47" s="126"/>
      <c r="G47" s="126"/>
      <c r="H47" s="127"/>
      <c r="I47" s="66"/>
      <c r="J47" s="125" t="str">
        <f>$J$9</f>
        <v>Westbound</v>
      </c>
      <c r="K47" s="126"/>
      <c r="L47" s="126"/>
      <c r="M47" s="126"/>
      <c r="N47" s="126"/>
      <c r="O47" s="126"/>
      <c r="P47" s="127"/>
    </row>
    <row r="48" spans="1:16" s="85" customFormat="1" ht="15.75" customHeight="1">
      <c r="A48" s="82"/>
      <c r="B48" s="128" t="str">
        <f>$B$10</f>
        <v>Using the Footpath</v>
      </c>
      <c r="C48" s="129"/>
      <c r="D48" s="130"/>
      <c r="E48" s="83"/>
      <c r="F48" s="128" t="str">
        <f>$F$10</f>
        <v>Using the Road</v>
      </c>
      <c r="G48" s="129"/>
      <c r="H48" s="130"/>
      <c r="I48" s="84"/>
      <c r="J48" s="128" t="str">
        <f>$J$10</f>
        <v>Using the Footpath</v>
      </c>
      <c r="K48" s="129"/>
      <c r="L48" s="130"/>
      <c r="M48" s="83"/>
      <c r="N48" s="128" t="str">
        <f>$N$10</f>
        <v>Using the Road</v>
      </c>
      <c r="O48" s="129"/>
      <c r="P48" s="130"/>
    </row>
    <row r="49" spans="1:16" ht="15.75" customHeight="1">
      <c r="B49" s="90" t="str">
        <f>$B$11</f>
        <v>Peds</v>
      </c>
      <c r="C49" s="91" t="str">
        <f>$C$11</f>
        <v>Cycles</v>
      </c>
      <c r="D49" s="92" t="s">
        <v>21</v>
      </c>
      <c r="E49" s="89"/>
      <c r="F49" s="90" t="str">
        <f>$B$11</f>
        <v>Peds</v>
      </c>
      <c r="G49" s="91" t="str">
        <f>$C$11</f>
        <v>Cycles</v>
      </c>
      <c r="H49" s="92" t="s">
        <v>21</v>
      </c>
      <c r="I49" s="89"/>
      <c r="J49" s="90" t="str">
        <f>$B$11</f>
        <v>Peds</v>
      </c>
      <c r="K49" s="91" t="str">
        <f>$C$11</f>
        <v>Cycles</v>
      </c>
      <c r="L49" s="92" t="s">
        <v>21</v>
      </c>
      <c r="N49" s="90" t="str">
        <f>$B$11</f>
        <v>Peds</v>
      </c>
      <c r="O49" s="91" t="str">
        <f>$C$11</f>
        <v>Cycles</v>
      </c>
      <c r="P49" s="92" t="s">
        <v>21</v>
      </c>
    </row>
    <row r="50" spans="1:16" ht="15.75" customHeight="1">
      <c r="B50" s="70"/>
      <c r="F50" s="70"/>
      <c r="J50" s="70"/>
      <c r="N50" s="70"/>
      <c r="O50" s="65"/>
      <c r="P50" s="65"/>
    </row>
    <row r="51" spans="1:16" ht="15.75" customHeight="1">
      <c r="A51" s="114" t="s">
        <v>54</v>
      </c>
      <c r="B51" s="94">
        <v>1</v>
      </c>
      <c r="C51" s="96">
        <v>0</v>
      </c>
      <c r="D51" s="97">
        <f>SUM(B51:C51)</f>
        <v>1</v>
      </c>
      <c r="E51" s="84"/>
      <c r="F51" s="94">
        <v>0</v>
      </c>
      <c r="G51" s="96">
        <v>1</v>
      </c>
      <c r="H51" s="97">
        <f>SUM(F51:G51)</f>
        <v>1</v>
      </c>
      <c r="I51" s="84"/>
      <c r="J51" s="94">
        <v>0</v>
      </c>
      <c r="K51" s="96">
        <v>0</v>
      </c>
      <c r="L51" s="97">
        <f>SUM(J51:K51)</f>
        <v>0</v>
      </c>
      <c r="M51" s="85"/>
      <c r="N51" s="94">
        <v>0</v>
      </c>
      <c r="O51" s="96">
        <v>1</v>
      </c>
      <c r="P51" s="97">
        <f>SUM(N51:O51)</f>
        <v>1</v>
      </c>
    </row>
    <row r="52" spans="1:16" ht="15.75" customHeight="1">
      <c r="A52" s="115" t="s">
        <v>53</v>
      </c>
      <c r="B52" s="99">
        <v>1</v>
      </c>
      <c r="C52" s="84">
        <v>0</v>
      </c>
      <c r="D52" s="101">
        <f>SUM(B52:C52)</f>
        <v>1</v>
      </c>
      <c r="E52" s="84"/>
      <c r="F52" s="99">
        <v>0</v>
      </c>
      <c r="G52" s="84">
        <v>0</v>
      </c>
      <c r="H52" s="101">
        <f>SUM(F52:G52)</f>
        <v>0</v>
      </c>
      <c r="I52" s="84"/>
      <c r="J52" s="99">
        <v>1</v>
      </c>
      <c r="K52" s="84">
        <v>0</v>
      </c>
      <c r="L52" s="101">
        <f>SUM(J52:K52)</f>
        <v>1</v>
      </c>
      <c r="M52" s="85"/>
      <c r="N52" s="99">
        <v>0</v>
      </c>
      <c r="O52" s="84">
        <v>0</v>
      </c>
      <c r="P52" s="101">
        <f>SUM(N52:O52)</f>
        <v>0</v>
      </c>
    </row>
    <row r="53" spans="1:16" ht="15.75" customHeight="1">
      <c r="A53" s="115" t="s">
        <v>52</v>
      </c>
      <c r="B53" s="99">
        <v>5</v>
      </c>
      <c r="C53" s="84">
        <v>0</v>
      </c>
      <c r="D53" s="101">
        <f>SUM(B53:C53)</f>
        <v>5</v>
      </c>
      <c r="E53" s="84"/>
      <c r="F53" s="99">
        <v>0</v>
      </c>
      <c r="G53" s="84">
        <v>0</v>
      </c>
      <c r="H53" s="101">
        <f>SUM(F53:G53)</f>
        <v>0</v>
      </c>
      <c r="I53" s="84"/>
      <c r="J53" s="99">
        <v>3</v>
      </c>
      <c r="K53" s="84">
        <v>0</v>
      </c>
      <c r="L53" s="101">
        <f>SUM(J53:K53)</f>
        <v>3</v>
      </c>
      <c r="M53" s="85"/>
      <c r="N53" s="99">
        <v>1</v>
      </c>
      <c r="O53" s="84">
        <v>0</v>
      </c>
      <c r="P53" s="101">
        <f>SUM(N53:O53)</f>
        <v>1</v>
      </c>
    </row>
    <row r="54" spans="1:16" ht="15.75" customHeight="1">
      <c r="A54" s="115" t="s">
        <v>51</v>
      </c>
      <c r="B54" s="99">
        <v>0</v>
      </c>
      <c r="C54" s="84">
        <v>0</v>
      </c>
      <c r="D54" s="102">
        <f>SUM(B54:C54)</f>
        <v>0</v>
      </c>
      <c r="E54" s="84"/>
      <c r="F54" s="99">
        <v>0</v>
      </c>
      <c r="G54" s="84">
        <v>0</v>
      </c>
      <c r="H54" s="102">
        <f>SUM(F54:G54)</f>
        <v>0</v>
      </c>
      <c r="I54" s="84"/>
      <c r="J54" s="99">
        <v>2</v>
      </c>
      <c r="K54" s="84">
        <v>0</v>
      </c>
      <c r="L54" s="102">
        <f>SUM(J54:K54)</f>
        <v>2</v>
      </c>
      <c r="M54" s="85"/>
      <c r="N54" s="99">
        <v>0</v>
      </c>
      <c r="O54" s="84">
        <v>0</v>
      </c>
      <c r="P54" s="102">
        <f>SUM(N54:O54)</f>
        <v>0</v>
      </c>
    </row>
    <row r="55" spans="1:16" ht="15.75" customHeight="1">
      <c r="A55" s="116" t="s">
        <v>23</v>
      </c>
      <c r="B55" s="104">
        <f>SUM(B51:B54)</f>
        <v>7</v>
      </c>
      <c r="C55" s="105">
        <f t="shared" ref="C55" si="36">SUM(C51:C54)</f>
        <v>0</v>
      </c>
      <c r="D55" s="106">
        <f>SUM(D51:D54)</f>
        <v>7</v>
      </c>
      <c r="E55" s="84"/>
      <c r="F55" s="104">
        <f t="shared" ref="F55" si="37">SUM(F51:F54)</f>
        <v>0</v>
      </c>
      <c r="G55" s="105">
        <f t="shared" ref="G55" si="38">SUM(G51:G54)</f>
        <v>1</v>
      </c>
      <c r="H55" s="106">
        <f>SUM(H51:H54)</f>
        <v>1</v>
      </c>
      <c r="I55" s="84"/>
      <c r="J55" s="104">
        <f t="shared" ref="J55:K55" si="39">SUM(J51:J54)</f>
        <v>6</v>
      </c>
      <c r="K55" s="105">
        <f t="shared" si="39"/>
        <v>0</v>
      </c>
      <c r="L55" s="106">
        <f>SUM(L51:L54)</f>
        <v>6</v>
      </c>
      <c r="M55" s="85"/>
      <c r="N55" s="104">
        <f t="shared" ref="N55" si="40">SUM(N51:N54)</f>
        <v>1</v>
      </c>
      <c r="O55" s="105">
        <f t="shared" ref="O55" si="41">SUM(O51:O54)</f>
        <v>1</v>
      </c>
      <c r="P55" s="106">
        <f>SUM(P51:P54)</f>
        <v>2</v>
      </c>
    </row>
    <row r="56" spans="1:16" ht="15.75" customHeight="1">
      <c r="A56" s="114" t="s">
        <v>50</v>
      </c>
      <c r="B56" s="94">
        <v>3</v>
      </c>
      <c r="C56" s="96">
        <v>0</v>
      </c>
      <c r="D56" s="97">
        <f>SUM(B56:C56)</f>
        <v>3</v>
      </c>
      <c r="E56" s="84"/>
      <c r="F56" s="94">
        <v>0</v>
      </c>
      <c r="G56" s="96">
        <v>0</v>
      </c>
      <c r="H56" s="97">
        <f>SUM(F56:G56)</f>
        <v>0</v>
      </c>
      <c r="I56" s="84"/>
      <c r="J56" s="94">
        <v>2</v>
      </c>
      <c r="K56" s="96">
        <v>0</v>
      </c>
      <c r="L56" s="97">
        <f>SUM(J56:K56)</f>
        <v>2</v>
      </c>
      <c r="M56" s="85"/>
      <c r="N56" s="94">
        <v>0</v>
      </c>
      <c r="O56" s="96">
        <v>0</v>
      </c>
      <c r="P56" s="97">
        <f>SUM(N56:O56)</f>
        <v>0</v>
      </c>
    </row>
    <row r="57" spans="1:16" ht="15.75" customHeight="1">
      <c r="A57" s="115" t="s">
        <v>49</v>
      </c>
      <c r="B57" s="99">
        <v>0</v>
      </c>
      <c r="C57" s="84">
        <v>0</v>
      </c>
      <c r="D57" s="101">
        <f>SUM(B57:C57)</f>
        <v>0</v>
      </c>
      <c r="E57" s="84"/>
      <c r="F57" s="99">
        <v>0</v>
      </c>
      <c r="G57" s="84">
        <v>0</v>
      </c>
      <c r="H57" s="101">
        <f>SUM(F57:G57)</f>
        <v>0</v>
      </c>
      <c r="I57" s="84"/>
      <c r="J57" s="99">
        <v>4</v>
      </c>
      <c r="K57" s="84">
        <v>0</v>
      </c>
      <c r="L57" s="101">
        <f>SUM(J57:K57)</f>
        <v>4</v>
      </c>
      <c r="M57" s="85"/>
      <c r="N57" s="99">
        <v>0</v>
      </c>
      <c r="O57" s="84">
        <v>0</v>
      </c>
      <c r="P57" s="101">
        <f>SUM(N57:O57)</f>
        <v>0</v>
      </c>
    </row>
    <row r="58" spans="1:16" ht="15.75" customHeight="1">
      <c r="A58" s="115" t="s">
        <v>48</v>
      </c>
      <c r="B58" s="99">
        <v>0</v>
      </c>
      <c r="C58" s="84">
        <v>0</v>
      </c>
      <c r="D58" s="101">
        <f>SUM(B58:C58)</f>
        <v>0</v>
      </c>
      <c r="E58" s="84"/>
      <c r="F58" s="99">
        <v>0</v>
      </c>
      <c r="G58" s="84">
        <v>0</v>
      </c>
      <c r="H58" s="101">
        <f>SUM(F58:G58)</f>
        <v>0</v>
      </c>
      <c r="I58" s="84"/>
      <c r="J58" s="99">
        <v>0</v>
      </c>
      <c r="K58" s="84">
        <v>0</v>
      </c>
      <c r="L58" s="101">
        <f>SUM(J58:K58)</f>
        <v>0</v>
      </c>
      <c r="M58" s="85"/>
      <c r="N58" s="99">
        <v>0</v>
      </c>
      <c r="O58" s="84">
        <v>0</v>
      </c>
      <c r="P58" s="101">
        <f>SUM(N58:O58)</f>
        <v>0</v>
      </c>
    </row>
    <row r="59" spans="1:16" ht="15.75" customHeight="1">
      <c r="A59" s="115" t="s">
        <v>47</v>
      </c>
      <c r="B59" s="99">
        <v>5</v>
      </c>
      <c r="C59" s="84">
        <v>0</v>
      </c>
      <c r="D59" s="102">
        <f>SUM(B59:C59)</f>
        <v>5</v>
      </c>
      <c r="E59" s="84"/>
      <c r="F59" s="99">
        <v>0</v>
      </c>
      <c r="G59" s="84">
        <v>0</v>
      </c>
      <c r="H59" s="102">
        <f>SUM(F59:G59)</f>
        <v>0</v>
      </c>
      <c r="I59" s="84"/>
      <c r="J59" s="99">
        <v>4</v>
      </c>
      <c r="K59" s="84">
        <v>0</v>
      </c>
      <c r="L59" s="102">
        <f>SUM(J59:K59)</f>
        <v>4</v>
      </c>
      <c r="M59" s="85"/>
      <c r="N59" s="99">
        <v>0</v>
      </c>
      <c r="O59" s="84">
        <v>0</v>
      </c>
      <c r="P59" s="102">
        <f>SUM(N59:O59)</f>
        <v>0</v>
      </c>
    </row>
    <row r="60" spans="1:16" ht="15.75" customHeight="1">
      <c r="A60" s="116" t="s">
        <v>23</v>
      </c>
      <c r="B60" s="104">
        <f>SUM(B56:B59)</f>
        <v>8</v>
      </c>
      <c r="C60" s="105">
        <f t="shared" ref="C60" si="42">SUM(C56:C59)</f>
        <v>0</v>
      </c>
      <c r="D60" s="106">
        <f>SUM(D56:D59)</f>
        <v>8</v>
      </c>
      <c r="E60" s="84"/>
      <c r="F60" s="104">
        <f t="shared" ref="F60" si="43">SUM(F56:F59)</f>
        <v>0</v>
      </c>
      <c r="G60" s="105">
        <f t="shared" ref="G60" si="44">SUM(G56:G59)</f>
        <v>0</v>
      </c>
      <c r="H60" s="106">
        <f>SUM(H56:H59)</f>
        <v>0</v>
      </c>
      <c r="I60" s="84"/>
      <c r="J60" s="104">
        <f t="shared" ref="J60:K60" si="45">SUM(J56:J59)</f>
        <v>10</v>
      </c>
      <c r="K60" s="105">
        <f t="shared" si="45"/>
        <v>0</v>
      </c>
      <c r="L60" s="106">
        <f>SUM(L56:L59)</f>
        <v>10</v>
      </c>
      <c r="M60" s="85"/>
      <c r="N60" s="104">
        <f t="shared" ref="N60" si="46">SUM(N56:N59)</f>
        <v>0</v>
      </c>
      <c r="O60" s="105">
        <f t="shared" ref="O60" si="47">SUM(O56:O59)</f>
        <v>0</v>
      </c>
      <c r="P60" s="106">
        <f>SUM(P56:P59)</f>
        <v>0</v>
      </c>
    </row>
    <row r="61" spans="1:16" ht="15.75" customHeight="1">
      <c r="A61" s="114" t="s">
        <v>46</v>
      </c>
      <c r="B61" s="94">
        <v>3</v>
      </c>
      <c r="C61" s="96">
        <v>0</v>
      </c>
      <c r="D61" s="97">
        <f>SUM(B61:C61)</f>
        <v>3</v>
      </c>
      <c r="E61" s="84"/>
      <c r="F61" s="94">
        <v>1</v>
      </c>
      <c r="G61" s="96">
        <v>1</v>
      </c>
      <c r="H61" s="97">
        <f>SUM(F61:G61)</f>
        <v>2</v>
      </c>
      <c r="I61" s="84"/>
      <c r="J61" s="94">
        <v>18</v>
      </c>
      <c r="K61" s="96">
        <v>0</v>
      </c>
      <c r="L61" s="97">
        <f>SUM(J61:K61)</f>
        <v>18</v>
      </c>
      <c r="M61" s="85"/>
      <c r="N61" s="94">
        <v>0</v>
      </c>
      <c r="O61" s="96">
        <v>1</v>
      </c>
      <c r="P61" s="97">
        <f>SUM(N61:O61)</f>
        <v>1</v>
      </c>
    </row>
    <row r="62" spans="1:16" ht="15.75" customHeight="1">
      <c r="A62" s="115" t="s">
        <v>45</v>
      </c>
      <c r="B62" s="99">
        <v>36</v>
      </c>
      <c r="C62" s="84">
        <v>3</v>
      </c>
      <c r="D62" s="101">
        <f>SUM(B62:C62)</f>
        <v>39</v>
      </c>
      <c r="E62" s="84"/>
      <c r="F62" s="99">
        <v>5</v>
      </c>
      <c r="G62" s="84">
        <v>1</v>
      </c>
      <c r="H62" s="101">
        <f>SUM(F62:G62)</f>
        <v>6</v>
      </c>
      <c r="I62" s="84"/>
      <c r="J62" s="99">
        <v>5</v>
      </c>
      <c r="K62" s="84">
        <v>0</v>
      </c>
      <c r="L62" s="101">
        <f>SUM(J62:K62)</f>
        <v>5</v>
      </c>
      <c r="M62" s="85"/>
      <c r="N62" s="99">
        <v>0</v>
      </c>
      <c r="O62" s="84">
        <v>0</v>
      </c>
      <c r="P62" s="101">
        <f>SUM(N62:O62)</f>
        <v>0</v>
      </c>
    </row>
    <row r="63" spans="1:16" ht="15.75" customHeight="1">
      <c r="A63" s="115" t="s">
        <v>44</v>
      </c>
      <c r="B63" s="99">
        <v>11</v>
      </c>
      <c r="C63" s="84">
        <v>0</v>
      </c>
      <c r="D63" s="101">
        <f>SUM(B63:C63)</f>
        <v>11</v>
      </c>
      <c r="E63" s="84"/>
      <c r="F63" s="99">
        <v>4</v>
      </c>
      <c r="G63" s="84">
        <v>1</v>
      </c>
      <c r="H63" s="101">
        <f>SUM(F63:G63)</f>
        <v>5</v>
      </c>
      <c r="I63" s="84"/>
      <c r="J63" s="99">
        <v>9</v>
      </c>
      <c r="K63" s="84">
        <v>0</v>
      </c>
      <c r="L63" s="101">
        <f>SUM(J63:K63)</f>
        <v>9</v>
      </c>
      <c r="M63" s="85"/>
      <c r="N63" s="99">
        <v>0</v>
      </c>
      <c r="O63" s="84">
        <v>0</v>
      </c>
      <c r="P63" s="101">
        <f>SUM(N63:O63)</f>
        <v>0</v>
      </c>
    </row>
    <row r="64" spans="1:16" ht="15.75" customHeight="1">
      <c r="A64" s="115" t="s">
        <v>43</v>
      </c>
      <c r="B64" s="99">
        <v>1</v>
      </c>
      <c r="C64" s="84">
        <v>1</v>
      </c>
      <c r="D64" s="102">
        <f>SUM(B64:C64)</f>
        <v>2</v>
      </c>
      <c r="E64" s="84"/>
      <c r="F64" s="99">
        <v>0</v>
      </c>
      <c r="G64" s="84">
        <v>0</v>
      </c>
      <c r="H64" s="102">
        <f>SUM(F64:G64)</f>
        <v>0</v>
      </c>
      <c r="I64" s="84"/>
      <c r="J64" s="99">
        <v>5</v>
      </c>
      <c r="K64" s="84">
        <v>0</v>
      </c>
      <c r="L64" s="102">
        <f>SUM(J64:K64)</f>
        <v>5</v>
      </c>
      <c r="M64" s="85"/>
      <c r="N64" s="99">
        <v>0</v>
      </c>
      <c r="O64" s="84">
        <v>1</v>
      </c>
      <c r="P64" s="102">
        <f>SUM(N64:O64)</f>
        <v>1</v>
      </c>
    </row>
    <row r="65" spans="1:16" ht="15.75" customHeight="1">
      <c r="A65" s="116" t="s">
        <v>23</v>
      </c>
      <c r="B65" s="104">
        <f>SUM(B61:B64)</f>
        <v>51</v>
      </c>
      <c r="C65" s="105">
        <f t="shared" ref="C65" si="48">SUM(C61:C64)</f>
        <v>4</v>
      </c>
      <c r="D65" s="106">
        <f>SUM(D61:D64)</f>
        <v>55</v>
      </c>
      <c r="E65" s="84"/>
      <c r="F65" s="104">
        <f t="shared" ref="F65" si="49">SUM(F61:F64)</f>
        <v>10</v>
      </c>
      <c r="G65" s="105">
        <f t="shared" ref="G65" si="50">SUM(G61:G64)</f>
        <v>3</v>
      </c>
      <c r="H65" s="106">
        <f>SUM(H61:H64)</f>
        <v>13</v>
      </c>
      <c r="I65" s="84"/>
      <c r="J65" s="104">
        <f t="shared" ref="J65:K65" si="51">SUM(J61:J64)</f>
        <v>37</v>
      </c>
      <c r="K65" s="105">
        <f t="shared" si="51"/>
        <v>0</v>
      </c>
      <c r="L65" s="106">
        <f>SUM(L61:L64)</f>
        <v>37</v>
      </c>
      <c r="M65" s="85"/>
      <c r="N65" s="104">
        <f t="shared" ref="N65" si="52">SUM(N61:N64)</f>
        <v>0</v>
      </c>
      <c r="O65" s="105">
        <f t="shared" ref="O65" si="53">SUM(O61:O64)</f>
        <v>2</v>
      </c>
      <c r="P65" s="106">
        <f>SUM(P61:P64)</f>
        <v>2</v>
      </c>
    </row>
    <row r="66" spans="1:16" ht="15.75" customHeight="1">
      <c r="A66" s="114" t="s">
        <v>42</v>
      </c>
      <c r="B66" s="94">
        <v>1</v>
      </c>
      <c r="C66" s="96">
        <v>0</v>
      </c>
      <c r="D66" s="97">
        <f>SUM(B66:C66)</f>
        <v>1</v>
      </c>
      <c r="E66" s="84"/>
      <c r="F66" s="94">
        <v>0</v>
      </c>
      <c r="G66" s="96">
        <v>1</v>
      </c>
      <c r="H66" s="97">
        <f>SUM(F66:G66)</f>
        <v>1</v>
      </c>
      <c r="I66" s="84"/>
      <c r="J66" s="94">
        <v>2</v>
      </c>
      <c r="K66" s="96">
        <v>0</v>
      </c>
      <c r="L66" s="97">
        <f>SUM(J66:K66)</f>
        <v>2</v>
      </c>
      <c r="M66" s="85"/>
      <c r="N66" s="94">
        <v>0</v>
      </c>
      <c r="O66" s="96">
        <v>2</v>
      </c>
      <c r="P66" s="97">
        <f>SUM(N66:O66)</f>
        <v>2</v>
      </c>
    </row>
    <row r="67" spans="1:16" ht="15.75" customHeight="1">
      <c r="A67" s="115" t="s">
        <v>41</v>
      </c>
      <c r="B67" s="99">
        <v>6</v>
      </c>
      <c r="C67" s="84">
        <v>0</v>
      </c>
      <c r="D67" s="101">
        <f>SUM(B67:C67)</f>
        <v>6</v>
      </c>
      <c r="E67" s="84"/>
      <c r="F67" s="99">
        <v>0</v>
      </c>
      <c r="G67" s="84">
        <v>2</v>
      </c>
      <c r="H67" s="101">
        <f>SUM(F67:G67)</f>
        <v>2</v>
      </c>
      <c r="I67" s="84"/>
      <c r="J67" s="99">
        <v>2</v>
      </c>
      <c r="K67" s="84">
        <v>0</v>
      </c>
      <c r="L67" s="101">
        <f>SUM(J67:K67)</f>
        <v>2</v>
      </c>
      <c r="M67" s="85"/>
      <c r="N67" s="99">
        <v>0</v>
      </c>
      <c r="O67" s="84">
        <v>1</v>
      </c>
      <c r="P67" s="101">
        <f>SUM(N67:O67)</f>
        <v>1</v>
      </c>
    </row>
    <row r="68" spans="1:16" ht="15.75" customHeight="1">
      <c r="A68" s="115" t="s">
        <v>40</v>
      </c>
      <c r="B68" s="99">
        <v>3</v>
      </c>
      <c r="C68" s="84">
        <v>0</v>
      </c>
      <c r="D68" s="101">
        <f>SUM(B68:C68)</f>
        <v>3</v>
      </c>
      <c r="E68" s="84"/>
      <c r="F68" s="99">
        <v>3</v>
      </c>
      <c r="G68" s="84">
        <v>0</v>
      </c>
      <c r="H68" s="101">
        <f>SUM(F68:G68)</f>
        <v>3</v>
      </c>
      <c r="I68" s="84"/>
      <c r="J68" s="99">
        <v>4</v>
      </c>
      <c r="K68" s="84">
        <v>0</v>
      </c>
      <c r="L68" s="101">
        <f>SUM(J68:K68)</f>
        <v>4</v>
      </c>
      <c r="M68" s="85"/>
      <c r="N68" s="99">
        <v>0</v>
      </c>
      <c r="O68" s="84">
        <v>0</v>
      </c>
      <c r="P68" s="101">
        <f>SUM(N68:O68)</f>
        <v>0</v>
      </c>
    </row>
    <row r="69" spans="1:16" ht="15.75" customHeight="1">
      <c r="A69" s="115" t="s">
        <v>39</v>
      </c>
      <c r="B69" s="99">
        <v>2</v>
      </c>
      <c r="C69" s="84">
        <v>0</v>
      </c>
      <c r="D69" s="102">
        <f>SUM(B69:C69)</f>
        <v>2</v>
      </c>
      <c r="E69" s="84"/>
      <c r="F69" s="99">
        <v>0</v>
      </c>
      <c r="G69" s="84">
        <v>0</v>
      </c>
      <c r="H69" s="102">
        <f>SUM(F69:G69)</f>
        <v>0</v>
      </c>
      <c r="I69" s="84"/>
      <c r="J69" s="99">
        <v>1</v>
      </c>
      <c r="K69" s="84">
        <v>0</v>
      </c>
      <c r="L69" s="102">
        <f>SUM(J69:K69)</f>
        <v>1</v>
      </c>
      <c r="M69" s="85"/>
      <c r="N69" s="99">
        <v>0</v>
      </c>
      <c r="O69" s="84">
        <v>1</v>
      </c>
      <c r="P69" s="102">
        <f>SUM(N69:O69)</f>
        <v>1</v>
      </c>
    </row>
    <row r="70" spans="1:16" ht="15.75" customHeight="1">
      <c r="A70" s="116" t="s">
        <v>23</v>
      </c>
      <c r="B70" s="104">
        <f>SUM(B66:B69)</f>
        <v>12</v>
      </c>
      <c r="C70" s="105">
        <f t="shared" ref="C70" si="54">SUM(C66:C69)</f>
        <v>0</v>
      </c>
      <c r="D70" s="106">
        <f>SUM(D66:D69)</f>
        <v>12</v>
      </c>
      <c r="E70" s="84"/>
      <c r="F70" s="104">
        <f t="shared" ref="F70" si="55">SUM(F66:F69)</f>
        <v>3</v>
      </c>
      <c r="G70" s="105">
        <f t="shared" ref="G70" si="56">SUM(G66:G69)</f>
        <v>3</v>
      </c>
      <c r="H70" s="106">
        <f>SUM(H66:H69)</f>
        <v>6</v>
      </c>
      <c r="I70" s="84"/>
      <c r="J70" s="104">
        <f t="shared" ref="J70:K70" si="57">SUM(J66:J69)</f>
        <v>9</v>
      </c>
      <c r="K70" s="105">
        <f t="shared" si="57"/>
        <v>0</v>
      </c>
      <c r="L70" s="106">
        <f>SUM(L66:L69)</f>
        <v>9</v>
      </c>
      <c r="M70" s="85"/>
      <c r="N70" s="104">
        <f t="shared" ref="N70" si="58">SUM(N66:N69)</f>
        <v>0</v>
      </c>
      <c r="O70" s="105">
        <f t="shared" ref="O70" si="59">SUM(O66:O69)</f>
        <v>4</v>
      </c>
      <c r="P70" s="106">
        <f>SUM(P66:P69)</f>
        <v>4</v>
      </c>
    </row>
    <row r="71" spans="1:16" ht="15.75" customHeight="1">
      <c r="A71" s="114" t="s">
        <v>38</v>
      </c>
      <c r="B71" s="94">
        <v>5</v>
      </c>
      <c r="C71" s="96">
        <v>0</v>
      </c>
      <c r="D71" s="97">
        <f>SUM(B71:C71)</f>
        <v>5</v>
      </c>
      <c r="E71" s="84"/>
      <c r="F71" s="94">
        <v>0</v>
      </c>
      <c r="G71" s="96">
        <v>0</v>
      </c>
      <c r="H71" s="97">
        <f>SUM(F71:G71)</f>
        <v>0</v>
      </c>
      <c r="I71" s="84"/>
      <c r="J71" s="94">
        <v>4</v>
      </c>
      <c r="K71" s="96">
        <v>1</v>
      </c>
      <c r="L71" s="97">
        <f>SUM(J71:K71)</f>
        <v>5</v>
      </c>
      <c r="M71" s="85"/>
      <c r="N71" s="94">
        <v>0</v>
      </c>
      <c r="O71" s="96">
        <v>0</v>
      </c>
      <c r="P71" s="97">
        <f>SUM(N71:O71)</f>
        <v>0</v>
      </c>
    </row>
    <row r="72" spans="1:16" ht="15.75" customHeight="1">
      <c r="A72" s="115" t="s">
        <v>37</v>
      </c>
      <c r="B72" s="99">
        <v>2</v>
      </c>
      <c r="C72" s="84">
        <v>0</v>
      </c>
      <c r="D72" s="101">
        <f>SUM(B72:C72)</f>
        <v>2</v>
      </c>
      <c r="E72" s="84"/>
      <c r="F72" s="99">
        <v>0</v>
      </c>
      <c r="G72" s="84">
        <v>1</v>
      </c>
      <c r="H72" s="101">
        <f>SUM(F72:G72)</f>
        <v>1</v>
      </c>
      <c r="I72" s="84"/>
      <c r="J72" s="99">
        <v>1</v>
      </c>
      <c r="K72" s="84">
        <v>0</v>
      </c>
      <c r="L72" s="101">
        <f>SUM(J72:K72)</f>
        <v>1</v>
      </c>
      <c r="M72" s="85"/>
      <c r="N72" s="99">
        <v>0</v>
      </c>
      <c r="O72" s="84">
        <v>0</v>
      </c>
      <c r="P72" s="101">
        <f>SUM(N72:O72)</f>
        <v>0</v>
      </c>
    </row>
    <row r="73" spans="1:16" ht="15.75" customHeight="1">
      <c r="A73" s="115" t="s">
        <v>36</v>
      </c>
      <c r="B73" s="99">
        <v>1</v>
      </c>
      <c r="C73" s="84">
        <v>0</v>
      </c>
      <c r="D73" s="101">
        <f>SUM(B73:C73)</f>
        <v>1</v>
      </c>
      <c r="E73" s="84"/>
      <c r="F73" s="99">
        <v>0</v>
      </c>
      <c r="G73" s="84">
        <v>1</v>
      </c>
      <c r="H73" s="101">
        <f>SUM(F73:G73)</f>
        <v>1</v>
      </c>
      <c r="I73" s="84"/>
      <c r="J73" s="99">
        <v>2</v>
      </c>
      <c r="K73" s="84">
        <v>0</v>
      </c>
      <c r="L73" s="101">
        <f>SUM(J73:K73)</f>
        <v>2</v>
      </c>
      <c r="M73" s="85"/>
      <c r="N73" s="99">
        <v>0</v>
      </c>
      <c r="O73" s="84">
        <v>0</v>
      </c>
      <c r="P73" s="101">
        <f>SUM(N73:O73)</f>
        <v>0</v>
      </c>
    </row>
    <row r="74" spans="1:16" ht="15.75" customHeight="1">
      <c r="A74" s="117" t="s">
        <v>35</v>
      </c>
      <c r="B74" s="99">
        <v>2</v>
      </c>
      <c r="C74" s="84">
        <v>0</v>
      </c>
      <c r="D74" s="102">
        <f>SUM(B74:C74)</f>
        <v>2</v>
      </c>
      <c r="E74" s="84"/>
      <c r="F74" s="99">
        <v>0</v>
      </c>
      <c r="G74" s="84">
        <v>1</v>
      </c>
      <c r="H74" s="102">
        <f>SUM(F74:G74)</f>
        <v>1</v>
      </c>
      <c r="I74" s="84"/>
      <c r="J74" s="99">
        <v>8</v>
      </c>
      <c r="K74" s="84">
        <v>0</v>
      </c>
      <c r="L74" s="102">
        <f>SUM(J74:K74)</f>
        <v>8</v>
      </c>
      <c r="M74" s="85"/>
      <c r="N74" s="99">
        <v>0</v>
      </c>
      <c r="O74" s="84">
        <v>1</v>
      </c>
      <c r="P74" s="102">
        <f>SUM(N74:O74)</f>
        <v>1</v>
      </c>
    </row>
    <row r="75" spans="1:16" ht="15.75" customHeight="1">
      <c r="A75" s="116" t="s">
        <v>23</v>
      </c>
      <c r="B75" s="104">
        <f>SUM(B71:B74)</f>
        <v>10</v>
      </c>
      <c r="C75" s="105">
        <f t="shared" ref="C75" si="60">SUM(C71:C74)</f>
        <v>0</v>
      </c>
      <c r="D75" s="106">
        <f>SUM(D71:D74)</f>
        <v>10</v>
      </c>
      <c r="E75" s="84"/>
      <c r="F75" s="104">
        <f t="shared" ref="F75" si="61">SUM(F71:F74)</f>
        <v>0</v>
      </c>
      <c r="G75" s="105">
        <f t="shared" ref="G75" si="62">SUM(G71:G74)</f>
        <v>3</v>
      </c>
      <c r="H75" s="106">
        <f>SUM(H71:H74)</f>
        <v>3</v>
      </c>
      <c r="I75" s="84"/>
      <c r="J75" s="104">
        <f t="shared" ref="J75:K75" si="63">SUM(J71:J74)</f>
        <v>15</v>
      </c>
      <c r="K75" s="105">
        <f t="shared" si="63"/>
        <v>1</v>
      </c>
      <c r="L75" s="106">
        <f>SUM(L71:L74)</f>
        <v>16</v>
      </c>
      <c r="M75" s="85"/>
      <c r="N75" s="104">
        <f t="shared" ref="N75" si="64">SUM(N71:N74)</f>
        <v>0</v>
      </c>
      <c r="O75" s="105">
        <f t="shared" ref="O75" si="65">SUM(O71:O74)</f>
        <v>1</v>
      </c>
      <c r="P75" s="106">
        <f>SUM(P71:P74)</f>
        <v>1</v>
      </c>
    </row>
    <row r="76" spans="1:16" ht="15.75" customHeight="1">
      <c r="A76" s="114" t="s">
        <v>34</v>
      </c>
      <c r="B76" s="94">
        <v>5</v>
      </c>
      <c r="C76" s="96">
        <v>1</v>
      </c>
      <c r="D76" s="97">
        <f>SUM(B76:C76)</f>
        <v>6</v>
      </c>
      <c r="E76" s="84"/>
      <c r="F76" s="94">
        <v>0</v>
      </c>
      <c r="G76" s="96">
        <v>1</v>
      </c>
      <c r="H76" s="97">
        <f>SUM(F76:G76)</f>
        <v>1</v>
      </c>
      <c r="I76" s="84"/>
      <c r="J76" s="94">
        <v>4</v>
      </c>
      <c r="K76" s="96">
        <v>0</v>
      </c>
      <c r="L76" s="97">
        <f>SUM(J76:K76)</f>
        <v>4</v>
      </c>
      <c r="M76" s="85"/>
      <c r="N76" s="94">
        <v>0</v>
      </c>
      <c r="O76" s="96">
        <v>1</v>
      </c>
      <c r="P76" s="97">
        <f>SUM(N76:O76)</f>
        <v>1</v>
      </c>
    </row>
    <row r="77" spans="1:16" ht="15.75" customHeight="1">
      <c r="A77" s="115" t="s">
        <v>33</v>
      </c>
      <c r="B77" s="99">
        <v>3</v>
      </c>
      <c r="C77" s="84">
        <v>1</v>
      </c>
      <c r="D77" s="101">
        <f>SUM(B77:C77)</f>
        <v>4</v>
      </c>
      <c r="E77" s="84"/>
      <c r="F77" s="99">
        <v>6</v>
      </c>
      <c r="G77" s="84">
        <v>0</v>
      </c>
      <c r="H77" s="101">
        <f>SUM(F77:G77)</f>
        <v>6</v>
      </c>
      <c r="I77" s="84"/>
      <c r="J77" s="99">
        <v>9</v>
      </c>
      <c r="K77" s="84">
        <v>0</v>
      </c>
      <c r="L77" s="101">
        <f>SUM(J77:K77)</f>
        <v>9</v>
      </c>
      <c r="M77" s="85"/>
      <c r="N77" s="99">
        <v>0</v>
      </c>
      <c r="O77" s="84">
        <v>0</v>
      </c>
      <c r="P77" s="101">
        <f>SUM(N77:O77)</f>
        <v>0</v>
      </c>
    </row>
    <row r="78" spans="1:16" ht="15.75" customHeight="1">
      <c r="A78" s="115" t="s">
        <v>32</v>
      </c>
      <c r="B78" s="99">
        <v>3</v>
      </c>
      <c r="C78" s="84">
        <v>1</v>
      </c>
      <c r="D78" s="101">
        <f>SUM(B78:C78)</f>
        <v>4</v>
      </c>
      <c r="E78" s="84"/>
      <c r="F78" s="99">
        <v>0</v>
      </c>
      <c r="G78" s="84">
        <v>0</v>
      </c>
      <c r="H78" s="101">
        <f>SUM(F78:G78)</f>
        <v>0</v>
      </c>
      <c r="I78" s="84"/>
      <c r="J78" s="99">
        <v>4</v>
      </c>
      <c r="K78" s="84">
        <v>0</v>
      </c>
      <c r="L78" s="101">
        <f>SUM(J78:K78)</f>
        <v>4</v>
      </c>
      <c r="M78" s="85"/>
      <c r="N78" s="99">
        <v>0</v>
      </c>
      <c r="O78" s="84">
        <v>1</v>
      </c>
      <c r="P78" s="101">
        <f>SUM(N78:O78)</f>
        <v>1</v>
      </c>
    </row>
    <row r="79" spans="1:16" ht="15.75" customHeight="1">
      <c r="A79" s="115" t="s">
        <v>31</v>
      </c>
      <c r="B79" s="99">
        <v>0</v>
      </c>
      <c r="C79" s="84">
        <v>0</v>
      </c>
      <c r="D79" s="102">
        <f>SUM(B79:C79)</f>
        <v>0</v>
      </c>
      <c r="E79" s="84"/>
      <c r="F79" s="99">
        <v>0</v>
      </c>
      <c r="G79" s="84">
        <v>0</v>
      </c>
      <c r="H79" s="102">
        <f>SUM(F79:G79)</f>
        <v>0</v>
      </c>
      <c r="I79" s="84"/>
      <c r="J79" s="99">
        <v>2</v>
      </c>
      <c r="K79" s="84">
        <v>0</v>
      </c>
      <c r="L79" s="102">
        <f>SUM(J79:K79)</f>
        <v>2</v>
      </c>
      <c r="M79" s="85"/>
      <c r="N79" s="99">
        <v>0</v>
      </c>
      <c r="O79" s="84">
        <v>5</v>
      </c>
      <c r="P79" s="102">
        <f>SUM(N79:O79)</f>
        <v>5</v>
      </c>
    </row>
    <row r="80" spans="1:16" ht="15.75" customHeight="1">
      <c r="A80" s="116" t="s">
        <v>23</v>
      </c>
      <c r="B80" s="104">
        <f>SUM(B76:B79)</f>
        <v>11</v>
      </c>
      <c r="C80" s="105">
        <f t="shared" ref="C80" si="66">SUM(C76:C79)</f>
        <v>3</v>
      </c>
      <c r="D80" s="106">
        <f>SUM(D76:D79)</f>
        <v>14</v>
      </c>
      <c r="E80" s="84"/>
      <c r="F80" s="104">
        <f t="shared" ref="F80" si="67">SUM(F76:F79)</f>
        <v>6</v>
      </c>
      <c r="G80" s="105">
        <f t="shared" ref="G80" si="68">SUM(G76:G79)</f>
        <v>1</v>
      </c>
      <c r="H80" s="106">
        <f>SUM(H76:H79)</f>
        <v>7</v>
      </c>
      <c r="I80" s="84"/>
      <c r="J80" s="104">
        <f t="shared" ref="J80:K80" si="69">SUM(J76:J79)</f>
        <v>19</v>
      </c>
      <c r="K80" s="105">
        <f t="shared" si="69"/>
        <v>0</v>
      </c>
      <c r="L80" s="106">
        <f>SUM(L76:L79)</f>
        <v>19</v>
      </c>
      <c r="M80" s="85"/>
      <c r="N80" s="104">
        <f t="shared" ref="N80" si="70">SUM(N76:N79)</f>
        <v>0</v>
      </c>
      <c r="O80" s="105">
        <f t="shared" ref="O80" si="71">SUM(O76:O79)</f>
        <v>7</v>
      </c>
      <c r="P80" s="106">
        <f>SUM(P76:P79)</f>
        <v>7</v>
      </c>
    </row>
    <row r="81" spans="1:16" ht="15.75" customHeight="1">
      <c r="A81" s="107"/>
      <c r="B81" s="108"/>
      <c r="C81" s="108"/>
      <c r="D81" s="109"/>
      <c r="E81" s="108"/>
      <c r="F81" s="108"/>
      <c r="G81" s="108"/>
      <c r="H81" s="109"/>
      <c r="I81" s="108"/>
      <c r="J81" s="108"/>
      <c r="K81" s="108"/>
      <c r="L81" s="109"/>
      <c r="M81" s="110"/>
      <c r="N81" s="108"/>
      <c r="O81" s="108"/>
      <c r="P81" s="109"/>
    </row>
    <row r="82" spans="1:16" ht="15.75" customHeight="1">
      <c r="A82" s="118" t="s">
        <v>24</v>
      </c>
      <c r="B82" s="104">
        <f>SUM(B55+B60+B65+B70+B75+B80)</f>
        <v>99</v>
      </c>
      <c r="C82" s="112">
        <f>SUM(C55+C60+C65+C70+C75+C80)</f>
        <v>7</v>
      </c>
      <c r="D82" s="111">
        <f>SUM(D55+D60+D65+D70+D75+D80)</f>
        <v>106</v>
      </c>
      <c r="E82" s="84"/>
      <c r="F82" s="104">
        <f>SUM(F55+F60+F65+F70+F75+F80)</f>
        <v>19</v>
      </c>
      <c r="G82" s="112">
        <f>SUM(G55+G60+G65+G70+G75+G80)</f>
        <v>11</v>
      </c>
      <c r="H82" s="111">
        <f>SUM(H55+H60+H65+H70+H75+H80)</f>
        <v>30</v>
      </c>
      <c r="I82" s="84"/>
      <c r="J82" s="104">
        <f>SUM(J55+J60+J65+J70+J75+J80)</f>
        <v>96</v>
      </c>
      <c r="K82" s="112">
        <f>SUM(K55+K60+K65+K70+K75+K80)</f>
        <v>1</v>
      </c>
      <c r="L82" s="111">
        <f>SUM(L55+L60+L65+L70+L75+L80)</f>
        <v>97</v>
      </c>
      <c r="M82" s="85"/>
      <c r="N82" s="104">
        <f>SUM(N55+N60+N65+N70+N75+N80)</f>
        <v>1</v>
      </c>
      <c r="O82" s="112">
        <f>SUM(O55+O60+O65+O70+O75+O80)</f>
        <v>15</v>
      </c>
      <c r="P82" s="111">
        <f>SUM(P55+P60+P65+P70+P75+P80)</f>
        <v>16</v>
      </c>
    </row>
    <row r="83" spans="1:16" ht="15.75" customHeight="1">
      <c r="A83" s="107"/>
      <c r="B83" s="70"/>
      <c r="C83" s="70"/>
      <c r="D83" s="70"/>
      <c r="E83" s="70"/>
      <c r="F83" s="70"/>
      <c r="G83" s="70"/>
      <c r="H83" s="70"/>
      <c r="I83" s="70"/>
      <c r="J83" s="70"/>
      <c r="K83" s="70"/>
      <c r="L83" s="70"/>
      <c r="M83" s="113"/>
      <c r="N83" s="70"/>
      <c r="O83" s="70"/>
      <c r="P83" s="70"/>
    </row>
    <row r="84" spans="1:16" ht="15.75" customHeight="1">
      <c r="A84" s="118" t="s">
        <v>21</v>
      </c>
      <c r="B84" s="104">
        <f>SUM(B44+B82)</f>
        <v>182</v>
      </c>
      <c r="C84" s="112">
        <f>SUM(C44+C82)</f>
        <v>10</v>
      </c>
      <c r="D84" s="111">
        <f>SUM(D44+D82)</f>
        <v>192</v>
      </c>
      <c r="E84" s="84"/>
      <c r="F84" s="104">
        <f>SUM(F44+F82)</f>
        <v>28</v>
      </c>
      <c r="G84" s="112">
        <f>SUM(G44+G82)</f>
        <v>15</v>
      </c>
      <c r="H84" s="111">
        <f>SUM(H44+H82)</f>
        <v>43</v>
      </c>
      <c r="I84" s="84"/>
      <c r="J84" s="104">
        <f>SUM(J44+J82)</f>
        <v>179</v>
      </c>
      <c r="K84" s="112">
        <f>SUM(K44+K82)</f>
        <v>8</v>
      </c>
      <c r="L84" s="111">
        <f>SUM(L44+L82)</f>
        <v>187</v>
      </c>
      <c r="M84" s="85"/>
      <c r="N84" s="104">
        <f>SUM(N44+N82)</f>
        <v>6</v>
      </c>
      <c r="O84" s="112">
        <f>SUM(O44+O82)</f>
        <v>24</v>
      </c>
      <c r="P84" s="111">
        <f>SUM(P44+P82)</f>
        <v>30</v>
      </c>
    </row>
    <row r="85" spans="1:16" ht="15.75" customHeight="1">
      <c r="A85" s="107"/>
      <c r="B85" s="108"/>
      <c r="C85" s="108"/>
      <c r="D85" s="108"/>
      <c r="E85" s="108"/>
      <c r="F85" s="108"/>
      <c r="G85" s="108"/>
      <c r="H85" s="108"/>
      <c r="I85" s="108"/>
      <c r="J85" s="108"/>
      <c r="K85" s="108"/>
      <c r="L85" s="108"/>
      <c r="M85" s="110"/>
      <c r="N85" s="108"/>
      <c r="O85" s="108"/>
      <c r="P85" s="108"/>
    </row>
    <row r="86" spans="1:16" ht="15.75" customHeight="1">
      <c r="A86" s="82"/>
      <c r="B86" s="84"/>
      <c r="C86" s="84"/>
      <c r="D86" s="84"/>
      <c r="E86" s="84"/>
      <c r="F86" s="84"/>
      <c r="G86" s="84"/>
      <c r="H86" s="84"/>
      <c r="I86" s="84"/>
      <c r="J86" s="84"/>
      <c r="K86" s="84"/>
      <c r="L86" s="84"/>
      <c r="M86" s="85"/>
      <c r="N86" s="84"/>
      <c r="O86" s="84"/>
      <c r="P86" s="84"/>
    </row>
    <row r="87" spans="1:16" ht="15.75" customHeight="1">
      <c r="A87" s="82"/>
      <c r="B87" s="84"/>
      <c r="C87" s="84"/>
      <c r="D87" s="84"/>
      <c r="E87" s="84"/>
      <c r="F87" s="84"/>
      <c r="G87" s="84"/>
      <c r="H87" s="84"/>
      <c r="I87" s="84"/>
      <c r="J87" s="84"/>
      <c r="K87" s="84"/>
      <c r="L87" s="84"/>
      <c r="M87" s="85"/>
      <c r="N87" s="84"/>
      <c r="O87" s="84"/>
      <c r="P87" s="84"/>
    </row>
    <row r="88" spans="1:16" ht="15.75" customHeight="1">
      <c r="A88" s="82"/>
      <c r="B88" s="84"/>
      <c r="C88" s="84"/>
      <c r="D88" s="84"/>
      <c r="E88" s="84"/>
      <c r="F88" s="84"/>
      <c r="G88" s="84"/>
      <c r="H88" s="84"/>
      <c r="I88" s="84"/>
      <c r="J88" s="84"/>
      <c r="K88" s="84"/>
      <c r="L88" s="84"/>
      <c r="M88" s="85"/>
      <c r="N88" s="84"/>
      <c r="O88" s="84"/>
      <c r="P88" s="84"/>
    </row>
    <row r="89" spans="1:16" ht="15.75" customHeight="1">
      <c r="A89" s="82"/>
      <c r="B89" s="84"/>
      <c r="C89" s="84"/>
      <c r="D89" s="84"/>
      <c r="E89" s="84"/>
      <c r="F89" s="84"/>
      <c r="G89" s="84"/>
      <c r="H89" s="84"/>
      <c r="I89" s="84"/>
      <c r="J89" s="84"/>
      <c r="K89" s="84"/>
      <c r="L89" s="84"/>
      <c r="M89" s="85"/>
      <c r="N89" s="84"/>
      <c r="O89" s="84"/>
      <c r="P89" s="84"/>
    </row>
    <row r="90" spans="1:16" ht="15.75" customHeight="1">
      <c r="A90" s="82"/>
      <c r="B90" s="84"/>
      <c r="C90" s="84"/>
      <c r="D90" s="84"/>
      <c r="E90" s="84"/>
      <c r="F90" s="84"/>
      <c r="G90" s="84"/>
      <c r="H90" s="84"/>
      <c r="I90" s="84"/>
      <c r="J90" s="84"/>
      <c r="K90" s="84"/>
      <c r="L90" s="84"/>
      <c r="M90" s="85"/>
      <c r="N90" s="84"/>
      <c r="O90" s="84"/>
      <c r="P90" s="84"/>
    </row>
    <row r="91" spans="1:16" ht="15.75" customHeight="1">
      <c r="A91" s="82"/>
      <c r="B91" s="84"/>
      <c r="C91" s="84"/>
      <c r="D91" s="84"/>
      <c r="E91" s="84"/>
      <c r="F91" s="84"/>
      <c r="G91" s="84"/>
      <c r="H91" s="84"/>
      <c r="I91" s="84"/>
      <c r="J91" s="84"/>
      <c r="K91" s="84"/>
      <c r="L91" s="84"/>
      <c r="M91" s="85"/>
      <c r="N91" s="84"/>
      <c r="O91" s="84"/>
      <c r="P91" s="84"/>
    </row>
    <row r="92" spans="1:16" ht="15.75" customHeight="1">
      <c r="A92" s="82"/>
      <c r="B92" s="84"/>
      <c r="C92" s="84"/>
      <c r="D92" s="84"/>
      <c r="E92" s="84"/>
      <c r="F92" s="84"/>
      <c r="G92" s="84"/>
      <c r="H92" s="84"/>
      <c r="I92" s="84"/>
      <c r="J92" s="84"/>
      <c r="K92" s="84"/>
      <c r="L92" s="84"/>
      <c r="M92" s="85"/>
      <c r="N92" s="84"/>
      <c r="O92" s="84"/>
      <c r="P92" s="84"/>
    </row>
    <row r="93" spans="1:16" ht="15.75" customHeight="1">
      <c r="A93" s="82"/>
      <c r="B93" s="84"/>
      <c r="C93" s="84"/>
      <c r="D93" s="84"/>
      <c r="E93" s="84"/>
      <c r="F93" s="84"/>
      <c r="G93" s="84"/>
      <c r="H93" s="84"/>
      <c r="I93" s="84"/>
      <c r="J93" s="84"/>
      <c r="K93" s="84"/>
      <c r="L93" s="84"/>
      <c r="M93" s="85"/>
      <c r="N93" s="84"/>
      <c r="O93" s="84"/>
      <c r="P93" s="84"/>
    </row>
    <row r="94" spans="1:16" ht="15.75" customHeight="1">
      <c r="A94" s="82"/>
      <c r="B94" s="84"/>
      <c r="C94" s="84"/>
      <c r="D94" s="84"/>
      <c r="E94" s="84"/>
      <c r="F94" s="84"/>
      <c r="G94" s="84"/>
      <c r="H94" s="84"/>
      <c r="I94" s="84"/>
      <c r="J94" s="84"/>
      <c r="K94" s="84"/>
      <c r="L94" s="84"/>
      <c r="M94" s="85"/>
      <c r="N94" s="84"/>
      <c r="O94" s="84"/>
      <c r="P94" s="84"/>
    </row>
    <row r="95" spans="1:16" ht="15.75" customHeight="1">
      <c r="A95" s="82"/>
      <c r="B95" s="84"/>
      <c r="C95" s="84"/>
      <c r="D95" s="84"/>
      <c r="E95" s="84"/>
      <c r="F95" s="84"/>
      <c r="G95" s="84"/>
      <c r="H95" s="84"/>
      <c r="I95" s="84"/>
      <c r="J95" s="84"/>
      <c r="K95" s="84"/>
      <c r="L95" s="84"/>
      <c r="M95" s="85"/>
      <c r="N95" s="84"/>
      <c r="O95" s="84"/>
      <c r="P95" s="84"/>
    </row>
    <row r="96" spans="1:16" ht="15.75" customHeight="1">
      <c r="A96" s="82"/>
      <c r="B96" s="84"/>
      <c r="C96" s="84"/>
      <c r="D96" s="84"/>
      <c r="E96" s="84"/>
      <c r="F96" s="84"/>
      <c r="G96" s="84"/>
      <c r="H96" s="84"/>
      <c r="I96" s="84"/>
      <c r="J96" s="84"/>
      <c r="K96" s="84"/>
      <c r="L96" s="84"/>
      <c r="M96" s="85"/>
      <c r="N96" s="84"/>
      <c r="O96" s="84"/>
      <c r="P96" s="84"/>
    </row>
    <row r="97" spans="1:16" ht="15.75" customHeight="1">
      <c r="A97" s="82"/>
      <c r="B97" s="84"/>
      <c r="C97" s="84"/>
      <c r="D97" s="84"/>
      <c r="E97" s="84"/>
      <c r="F97" s="84"/>
      <c r="G97" s="84"/>
      <c r="H97" s="84"/>
      <c r="I97" s="84"/>
      <c r="J97" s="84"/>
      <c r="K97" s="84"/>
      <c r="L97" s="84"/>
      <c r="M97" s="85"/>
      <c r="N97" s="84"/>
      <c r="O97" s="84"/>
      <c r="P97" s="84"/>
    </row>
    <row r="98" spans="1:16" ht="15.75" customHeight="1">
      <c r="A98" s="82"/>
      <c r="B98" s="84"/>
      <c r="C98" s="84"/>
      <c r="D98" s="84"/>
      <c r="E98" s="84"/>
      <c r="F98" s="84"/>
      <c r="G98" s="84"/>
      <c r="H98" s="84"/>
      <c r="I98" s="84"/>
      <c r="J98" s="84"/>
      <c r="K98" s="84"/>
      <c r="L98" s="84"/>
      <c r="M98" s="85"/>
      <c r="N98" s="84"/>
      <c r="O98" s="84"/>
      <c r="P98" s="84"/>
    </row>
    <row r="99" spans="1:16" ht="15.75" customHeight="1">
      <c r="A99" s="82"/>
      <c r="B99" s="84"/>
      <c r="C99" s="84"/>
      <c r="D99" s="84"/>
      <c r="E99" s="84"/>
      <c r="F99" s="84"/>
      <c r="G99" s="84"/>
      <c r="H99" s="84"/>
      <c r="I99" s="84"/>
      <c r="J99" s="84"/>
      <c r="K99" s="84"/>
      <c r="L99" s="84"/>
      <c r="M99" s="85"/>
      <c r="N99" s="84"/>
      <c r="O99" s="84"/>
      <c r="P99" s="84"/>
    </row>
    <row r="100" spans="1:16" ht="15.75" customHeight="1">
      <c r="A100" s="82"/>
      <c r="B100" s="84"/>
      <c r="C100" s="84"/>
      <c r="D100" s="84"/>
      <c r="E100" s="84"/>
      <c r="F100" s="84"/>
      <c r="G100" s="84"/>
      <c r="H100" s="84"/>
      <c r="I100" s="84"/>
      <c r="J100" s="84"/>
      <c r="K100" s="84"/>
      <c r="L100" s="84"/>
      <c r="M100" s="85"/>
      <c r="N100" s="84"/>
      <c r="O100" s="84"/>
      <c r="P100" s="84"/>
    </row>
    <row r="101" spans="1:16" ht="15.75" customHeight="1">
      <c r="A101" s="82"/>
      <c r="B101" s="84"/>
      <c r="C101" s="84"/>
      <c r="D101" s="84"/>
      <c r="E101" s="84"/>
      <c r="F101" s="84"/>
      <c r="G101" s="84"/>
      <c r="H101" s="84"/>
      <c r="I101" s="84"/>
      <c r="J101" s="84"/>
      <c r="K101" s="84"/>
      <c r="L101" s="84"/>
      <c r="M101" s="85"/>
      <c r="N101" s="84"/>
      <c r="O101" s="84"/>
      <c r="P101" s="84"/>
    </row>
    <row r="102" spans="1:16" ht="15.75" customHeight="1">
      <c r="A102" s="82"/>
      <c r="B102" s="84"/>
      <c r="C102" s="84"/>
      <c r="D102" s="84"/>
      <c r="E102" s="84"/>
      <c r="F102" s="84"/>
      <c r="G102" s="84"/>
      <c r="H102" s="84"/>
      <c r="I102" s="84"/>
      <c r="J102" s="84"/>
      <c r="K102" s="84"/>
      <c r="L102" s="84"/>
      <c r="M102" s="85"/>
      <c r="N102" s="84"/>
      <c r="O102" s="84"/>
      <c r="P102" s="84"/>
    </row>
    <row r="103" spans="1:16" ht="15.75" customHeight="1">
      <c r="A103" s="82"/>
      <c r="B103" s="84"/>
      <c r="C103" s="84"/>
      <c r="D103" s="84"/>
      <c r="E103" s="84"/>
      <c r="F103" s="84"/>
      <c r="G103" s="84"/>
      <c r="H103" s="84"/>
      <c r="I103" s="84"/>
      <c r="J103" s="84"/>
      <c r="K103" s="84"/>
      <c r="L103" s="84"/>
      <c r="M103" s="85"/>
      <c r="N103" s="84"/>
      <c r="O103" s="84"/>
      <c r="P103" s="84"/>
    </row>
    <row r="104" spans="1:16" ht="15.75" customHeight="1">
      <c r="A104" s="82"/>
      <c r="B104" s="84"/>
      <c r="C104" s="84"/>
      <c r="D104" s="84"/>
      <c r="E104" s="84"/>
      <c r="F104" s="84"/>
      <c r="G104" s="84"/>
      <c r="H104" s="84"/>
      <c r="I104" s="84"/>
      <c r="J104" s="84"/>
      <c r="K104" s="84"/>
      <c r="L104" s="84"/>
      <c r="M104" s="85"/>
      <c r="N104" s="84"/>
      <c r="O104" s="84"/>
      <c r="P104" s="84"/>
    </row>
    <row r="105" spans="1:16" ht="15.75" customHeight="1">
      <c r="A105" s="82"/>
      <c r="B105" s="84"/>
      <c r="C105" s="84"/>
      <c r="D105" s="84"/>
      <c r="E105" s="84"/>
      <c r="F105" s="84"/>
      <c r="G105" s="84"/>
      <c r="H105" s="84"/>
      <c r="I105" s="84"/>
      <c r="J105" s="84"/>
      <c r="K105" s="84"/>
      <c r="L105" s="84"/>
      <c r="M105" s="85"/>
      <c r="N105" s="84"/>
      <c r="O105" s="84"/>
      <c r="P105" s="84"/>
    </row>
    <row r="106" spans="1:16" ht="15.75" customHeight="1">
      <c r="A106" s="82"/>
      <c r="B106" s="84"/>
      <c r="C106" s="84"/>
      <c r="D106" s="84"/>
      <c r="E106" s="84"/>
      <c r="F106" s="84"/>
      <c r="G106" s="84"/>
      <c r="H106" s="84"/>
      <c r="I106" s="84"/>
      <c r="J106" s="84"/>
      <c r="K106" s="84"/>
      <c r="L106" s="84"/>
      <c r="M106" s="85"/>
      <c r="N106" s="84"/>
      <c r="O106" s="84"/>
      <c r="P106" s="84"/>
    </row>
    <row r="107" spans="1:16" ht="15.75" customHeight="1">
      <c r="A107" s="82"/>
      <c r="B107" s="84"/>
      <c r="C107" s="84"/>
      <c r="D107" s="84"/>
      <c r="E107" s="84"/>
      <c r="F107" s="84"/>
      <c r="G107" s="84"/>
      <c r="H107" s="84"/>
      <c r="I107" s="84"/>
      <c r="J107" s="84"/>
      <c r="K107" s="84"/>
      <c r="L107" s="84"/>
      <c r="M107" s="85"/>
      <c r="N107" s="84"/>
      <c r="O107" s="84"/>
      <c r="P107" s="84"/>
    </row>
    <row r="108" spans="1:16" ht="15.75" customHeight="1">
      <c r="A108" s="82"/>
      <c r="B108" s="84"/>
      <c r="C108" s="84"/>
      <c r="D108" s="84"/>
      <c r="E108" s="84"/>
      <c r="F108" s="84"/>
      <c r="G108" s="84"/>
      <c r="H108" s="84"/>
      <c r="I108" s="84"/>
      <c r="J108" s="84"/>
      <c r="K108" s="84"/>
      <c r="L108" s="84"/>
      <c r="M108" s="85"/>
      <c r="N108" s="84"/>
      <c r="O108" s="84"/>
      <c r="P108" s="84"/>
    </row>
    <row r="109" spans="1:16" ht="15.75" customHeight="1">
      <c r="A109" s="82"/>
      <c r="B109" s="84"/>
      <c r="C109" s="84"/>
      <c r="D109" s="84"/>
      <c r="E109" s="84"/>
      <c r="F109" s="84"/>
      <c r="G109" s="84"/>
      <c r="H109" s="84"/>
      <c r="I109" s="84"/>
      <c r="J109" s="84"/>
      <c r="K109" s="84"/>
      <c r="L109" s="84"/>
      <c r="M109" s="85"/>
      <c r="N109" s="84"/>
      <c r="O109" s="84"/>
      <c r="P109" s="84"/>
    </row>
    <row r="110" spans="1:16" ht="15.75" customHeight="1">
      <c r="A110" s="82"/>
      <c r="B110" s="84"/>
      <c r="C110" s="84"/>
      <c r="D110" s="84"/>
      <c r="E110" s="84"/>
      <c r="F110" s="84"/>
      <c r="G110" s="84"/>
      <c r="H110" s="84"/>
      <c r="I110" s="84"/>
      <c r="J110" s="84"/>
      <c r="K110" s="84"/>
      <c r="L110" s="84"/>
      <c r="M110" s="85"/>
      <c r="N110" s="84"/>
      <c r="O110" s="84"/>
      <c r="P110" s="84"/>
    </row>
    <row r="111" spans="1:16" ht="15.75" customHeight="1">
      <c r="A111" s="82"/>
      <c r="B111" s="84"/>
      <c r="C111" s="84"/>
      <c r="D111" s="84"/>
      <c r="E111" s="84"/>
      <c r="F111" s="84"/>
      <c r="G111" s="84"/>
      <c r="H111" s="84"/>
      <c r="I111" s="84"/>
      <c r="J111" s="84"/>
      <c r="K111" s="84"/>
      <c r="L111" s="84"/>
      <c r="M111" s="85"/>
      <c r="N111" s="84"/>
      <c r="O111" s="84"/>
      <c r="P111" s="84"/>
    </row>
    <row r="112" spans="1:16" ht="15.75" customHeight="1">
      <c r="A112" s="82"/>
      <c r="B112" s="84"/>
      <c r="C112" s="84"/>
      <c r="D112" s="84"/>
      <c r="E112" s="84"/>
      <c r="F112" s="84"/>
      <c r="G112" s="84"/>
      <c r="H112" s="84"/>
      <c r="I112" s="84"/>
      <c r="J112" s="84"/>
      <c r="K112" s="84"/>
      <c r="L112" s="84"/>
      <c r="M112" s="85"/>
    </row>
    <row r="113" spans="1:13" ht="15.75" customHeight="1">
      <c r="A113" s="82"/>
      <c r="B113" s="84"/>
      <c r="C113" s="84"/>
      <c r="D113" s="84"/>
      <c r="E113" s="84"/>
      <c r="F113" s="84"/>
      <c r="G113" s="84"/>
      <c r="H113" s="84"/>
      <c r="I113" s="84"/>
      <c r="J113" s="84"/>
      <c r="K113" s="84"/>
      <c r="L113" s="84"/>
      <c r="M113" s="85"/>
    </row>
    <row r="114" spans="1:13" ht="15.75" customHeight="1">
      <c r="A114" s="82"/>
      <c r="B114" s="84"/>
      <c r="C114" s="84"/>
      <c r="D114" s="84"/>
      <c r="E114" s="84"/>
      <c r="F114" s="84"/>
      <c r="G114" s="84"/>
      <c r="H114" s="84"/>
      <c r="I114" s="84"/>
      <c r="J114" s="84"/>
      <c r="K114" s="84"/>
      <c r="L114" s="84"/>
      <c r="M114" s="85"/>
    </row>
    <row r="115" spans="1:13" ht="15.75" customHeight="1">
      <c r="A115" s="82"/>
      <c r="B115" s="84"/>
      <c r="C115" s="84"/>
      <c r="D115" s="84"/>
      <c r="E115" s="84"/>
      <c r="F115" s="84"/>
      <c r="G115" s="84"/>
      <c r="H115" s="84"/>
      <c r="I115" s="84"/>
      <c r="J115" s="84"/>
      <c r="K115" s="84"/>
      <c r="L115" s="84"/>
      <c r="M115" s="85"/>
    </row>
    <row r="116" spans="1:13" ht="15.75" customHeight="1">
      <c r="A116" s="82"/>
      <c r="B116" s="84"/>
      <c r="C116" s="84"/>
      <c r="D116" s="84"/>
      <c r="E116" s="84"/>
      <c r="F116" s="84"/>
      <c r="G116" s="84"/>
      <c r="H116" s="84"/>
      <c r="I116" s="84"/>
      <c r="J116" s="84"/>
      <c r="K116" s="84"/>
      <c r="L116" s="84"/>
      <c r="M116" s="85"/>
    </row>
    <row r="117" spans="1:13" ht="15.75" customHeight="1">
      <c r="A117" s="82"/>
      <c r="B117" s="84"/>
      <c r="C117" s="84"/>
      <c r="D117" s="84"/>
      <c r="E117" s="84"/>
      <c r="F117" s="84"/>
      <c r="G117" s="84"/>
      <c r="H117" s="84"/>
      <c r="I117" s="84"/>
      <c r="J117" s="84"/>
      <c r="K117" s="84"/>
      <c r="L117" s="84"/>
      <c r="M117" s="85"/>
    </row>
    <row r="118" spans="1:13" ht="15.75" customHeight="1">
      <c r="A118" s="82"/>
      <c r="B118" s="84"/>
      <c r="C118" s="84"/>
      <c r="D118" s="84"/>
      <c r="E118" s="84"/>
      <c r="F118" s="84"/>
      <c r="G118" s="84"/>
      <c r="H118" s="84"/>
      <c r="I118" s="84"/>
      <c r="J118" s="84"/>
      <c r="K118" s="84"/>
      <c r="L118" s="84"/>
      <c r="M118" s="85"/>
    </row>
    <row r="119" spans="1:13" ht="15.75" customHeight="1">
      <c r="A119" s="82"/>
      <c r="B119" s="84"/>
      <c r="C119" s="84"/>
      <c r="D119" s="84"/>
      <c r="E119" s="84"/>
      <c r="F119" s="84"/>
      <c r="G119" s="84"/>
      <c r="H119" s="84"/>
      <c r="I119" s="84"/>
      <c r="J119" s="84"/>
      <c r="K119" s="84"/>
      <c r="L119" s="84"/>
      <c r="M119" s="85"/>
    </row>
    <row r="120" spans="1:13" ht="15.75" customHeight="1">
      <c r="A120" s="82"/>
      <c r="B120" s="84"/>
      <c r="C120" s="84"/>
      <c r="D120" s="84"/>
      <c r="E120" s="84"/>
      <c r="F120" s="84"/>
      <c r="G120" s="84"/>
      <c r="H120" s="84"/>
      <c r="I120" s="84"/>
      <c r="J120" s="84"/>
      <c r="K120" s="84"/>
      <c r="L120" s="84"/>
      <c r="M120" s="85"/>
    </row>
    <row r="121" spans="1:13" ht="15.75" customHeight="1">
      <c r="A121" s="82"/>
      <c r="B121" s="84"/>
      <c r="C121" s="84"/>
      <c r="D121" s="84"/>
      <c r="E121" s="84"/>
      <c r="F121" s="84"/>
      <c r="G121" s="84"/>
      <c r="H121" s="84"/>
      <c r="I121" s="84"/>
      <c r="J121" s="84"/>
      <c r="K121" s="84"/>
      <c r="L121" s="84"/>
      <c r="M121" s="85"/>
    </row>
    <row r="122" spans="1:13" ht="15.75" customHeight="1">
      <c r="A122" s="82"/>
      <c r="B122" s="84"/>
      <c r="C122" s="84"/>
      <c r="D122" s="84"/>
      <c r="E122" s="84"/>
      <c r="F122" s="84"/>
      <c r="G122" s="84"/>
      <c r="H122" s="84"/>
      <c r="I122" s="84"/>
      <c r="J122" s="84"/>
      <c r="K122" s="84"/>
      <c r="L122" s="84"/>
      <c r="M122" s="85"/>
    </row>
    <row r="123" spans="1:13" ht="15.75" customHeight="1">
      <c r="A123" s="82"/>
      <c r="B123" s="84"/>
      <c r="C123" s="84"/>
      <c r="D123" s="84"/>
      <c r="E123" s="84"/>
      <c r="F123" s="84"/>
      <c r="G123" s="84"/>
      <c r="H123" s="84"/>
      <c r="I123" s="84"/>
      <c r="J123" s="84"/>
      <c r="K123" s="84"/>
      <c r="L123" s="84"/>
      <c r="M123" s="85"/>
    </row>
    <row r="124" spans="1:13" ht="15.75" customHeight="1">
      <c r="A124" s="82"/>
      <c r="B124" s="84"/>
      <c r="C124" s="84"/>
      <c r="D124" s="84"/>
      <c r="E124" s="84"/>
      <c r="F124" s="84"/>
      <c r="G124" s="84"/>
      <c r="H124" s="84"/>
      <c r="I124" s="84"/>
      <c r="J124" s="84"/>
      <c r="K124" s="84"/>
      <c r="L124" s="84"/>
      <c r="M124" s="85"/>
    </row>
    <row r="125" spans="1:13" ht="15.75" customHeight="1">
      <c r="A125" s="82"/>
      <c r="B125" s="84"/>
      <c r="C125" s="84"/>
      <c r="D125" s="84"/>
      <c r="E125" s="84"/>
      <c r="F125" s="84"/>
      <c r="G125" s="84"/>
      <c r="H125" s="84"/>
      <c r="I125" s="84"/>
      <c r="J125" s="84"/>
      <c r="K125" s="84"/>
      <c r="L125" s="84"/>
      <c r="M125" s="85"/>
    </row>
    <row r="126" spans="1:13" ht="15.75" customHeight="1">
      <c r="A126" s="82"/>
      <c r="B126" s="84"/>
      <c r="C126" s="84"/>
      <c r="D126" s="84"/>
      <c r="E126" s="84"/>
      <c r="F126" s="84"/>
      <c r="G126" s="84"/>
      <c r="H126" s="84"/>
      <c r="I126" s="84"/>
      <c r="J126" s="84"/>
      <c r="K126" s="84"/>
      <c r="L126" s="84"/>
      <c r="M126" s="85"/>
    </row>
    <row r="127" spans="1:13" ht="15.75" customHeight="1">
      <c r="A127" s="82"/>
      <c r="B127" s="84"/>
      <c r="C127" s="84"/>
      <c r="D127" s="84"/>
      <c r="E127" s="84"/>
      <c r="F127" s="84"/>
      <c r="G127" s="84"/>
      <c r="H127" s="84"/>
      <c r="I127" s="84"/>
      <c r="J127" s="84"/>
      <c r="K127" s="84"/>
      <c r="L127" s="84"/>
      <c r="M127" s="85"/>
    </row>
    <row r="128" spans="1:13" ht="15.75" customHeight="1">
      <c r="A128" s="82"/>
      <c r="B128" s="84"/>
      <c r="C128" s="84"/>
      <c r="D128" s="84"/>
      <c r="E128" s="84"/>
      <c r="F128" s="84"/>
      <c r="G128" s="84"/>
      <c r="H128" s="84"/>
      <c r="I128" s="84"/>
      <c r="J128" s="84"/>
      <c r="K128" s="84"/>
      <c r="L128" s="84"/>
      <c r="M128" s="85"/>
    </row>
    <row r="129" spans="1:13" ht="15.75" customHeight="1">
      <c r="A129" s="82"/>
      <c r="B129" s="84"/>
      <c r="C129" s="84"/>
      <c r="D129" s="84"/>
      <c r="E129" s="84"/>
      <c r="F129" s="84"/>
      <c r="G129" s="84"/>
      <c r="H129" s="84"/>
      <c r="I129" s="84"/>
      <c r="J129" s="84"/>
      <c r="K129" s="84"/>
      <c r="L129" s="84"/>
      <c r="M129" s="85"/>
    </row>
    <row r="130" spans="1:13" ht="15.75" customHeight="1">
      <c r="A130" s="82"/>
      <c r="B130" s="84"/>
      <c r="C130" s="84"/>
      <c r="D130" s="84"/>
      <c r="E130" s="84"/>
      <c r="F130" s="84"/>
      <c r="G130" s="84"/>
      <c r="H130" s="84"/>
      <c r="I130" s="84"/>
      <c r="J130" s="84"/>
      <c r="K130" s="84"/>
      <c r="L130" s="84"/>
      <c r="M130" s="85"/>
    </row>
    <row r="131" spans="1:13" ht="15.75" customHeight="1">
      <c r="A131" s="82"/>
      <c r="B131" s="84"/>
      <c r="C131" s="84"/>
      <c r="D131" s="84"/>
      <c r="E131" s="84"/>
      <c r="F131" s="84"/>
      <c r="G131" s="84"/>
      <c r="H131" s="84"/>
      <c r="I131" s="84"/>
      <c r="J131" s="84"/>
      <c r="K131" s="84"/>
      <c r="L131" s="84"/>
      <c r="M131" s="85"/>
    </row>
    <row r="132" spans="1:13" ht="15.75" customHeight="1">
      <c r="A132" s="82"/>
      <c r="B132" s="84"/>
      <c r="C132" s="84"/>
      <c r="D132" s="84"/>
      <c r="E132" s="84"/>
      <c r="F132" s="84"/>
      <c r="G132" s="84"/>
      <c r="H132" s="84"/>
      <c r="I132" s="84"/>
      <c r="J132" s="84"/>
      <c r="K132" s="84"/>
      <c r="L132" s="84"/>
      <c r="M132" s="85"/>
    </row>
    <row r="133" spans="1:13" ht="15.75" customHeight="1">
      <c r="A133" s="82"/>
      <c r="B133" s="84"/>
      <c r="C133" s="84"/>
      <c r="D133" s="84"/>
      <c r="E133" s="84"/>
      <c r="F133" s="84"/>
      <c r="G133" s="84"/>
      <c r="H133" s="84"/>
      <c r="I133" s="84"/>
      <c r="J133" s="84"/>
      <c r="K133" s="84"/>
      <c r="L133" s="84"/>
      <c r="M133" s="85"/>
    </row>
    <row r="134" spans="1:13" ht="15.75" customHeight="1">
      <c r="A134" s="82"/>
      <c r="B134" s="84"/>
      <c r="C134" s="84"/>
      <c r="D134" s="84"/>
      <c r="E134" s="84"/>
      <c r="F134" s="84"/>
      <c r="G134" s="84"/>
      <c r="H134" s="84"/>
      <c r="I134" s="84"/>
      <c r="J134" s="84"/>
      <c r="K134" s="84"/>
      <c r="L134" s="84"/>
      <c r="M134" s="85"/>
    </row>
    <row r="135" spans="1:13" ht="15.75" customHeight="1">
      <c r="A135" s="82"/>
      <c r="B135" s="84"/>
      <c r="C135" s="84"/>
      <c r="D135" s="84"/>
      <c r="E135" s="84"/>
      <c r="F135" s="84"/>
      <c r="G135" s="84"/>
      <c r="H135" s="84"/>
      <c r="I135" s="84"/>
      <c r="J135" s="84"/>
      <c r="K135" s="84"/>
      <c r="L135" s="84"/>
      <c r="M135" s="85"/>
    </row>
    <row r="136" spans="1:13" ht="15.75" customHeight="1">
      <c r="A136" s="82"/>
      <c r="B136" s="84"/>
      <c r="C136" s="84"/>
      <c r="D136" s="84"/>
      <c r="E136" s="84"/>
      <c r="F136" s="84"/>
      <c r="G136" s="84"/>
      <c r="H136" s="84"/>
      <c r="I136" s="84"/>
      <c r="J136" s="84"/>
      <c r="K136" s="84"/>
      <c r="L136" s="84"/>
      <c r="M136" s="85"/>
    </row>
    <row r="137" spans="1:13" ht="15.75" customHeight="1">
      <c r="A137" s="82"/>
      <c r="B137" s="84"/>
      <c r="C137" s="84"/>
      <c r="D137" s="84"/>
      <c r="E137" s="84"/>
      <c r="F137" s="84"/>
      <c r="G137" s="84"/>
      <c r="H137" s="84"/>
      <c r="I137" s="84"/>
      <c r="J137" s="84"/>
      <c r="K137" s="84"/>
      <c r="L137" s="84"/>
      <c r="M137" s="85"/>
    </row>
    <row r="138" spans="1:13" ht="15.75" customHeight="1">
      <c r="A138" s="82"/>
      <c r="B138" s="84"/>
      <c r="C138" s="84"/>
      <c r="D138" s="84"/>
      <c r="E138" s="84"/>
      <c r="F138" s="84"/>
      <c r="G138" s="84"/>
      <c r="H138" s="84"/>
      <c r="I138" s="84"/>
      <c r="J138" s="84"/>
      <c r="K138" s="84"/>
      <c r="L138" s="84"/>
      <c r="M138" s="85"/>
    </row>
    <row r="139" spans="1:13" ht="15.75" customHeight="1">
      <c r="A139" s="82"/>
      <c r="B139" s="84"/>
      <c r="C139" s="84"/>
      <c r="D139" s="84"/>
      <c r="E139" s="84"/>
      <c r="F139" s="84"/>
      <c r="G139" s="84"/>
      <c r="H139" s="84"/>
      <c r="I139" s="84"/>
      <c r="J139" s="84"/>
      <c r="K139" s="84"/>
      <c r="L139" s="84"/>
      <c r="M139" s="85"/>
    </row>
    <row r="140" spans="1:13" ht="15.75" customHeight="1">
      <c r="A140" s="82"/>
      <c r="B140" s="84"/>
      <c r="C140" s="84"/>
      <c r="D140" s="84"/>
      <c r="E140" s="84"/>
      <c r="F140" s="84"/>
      <c r="G140" s="84"/>
      <c r="H140" s="84"/>
      <c r="I140" s="84"/>
      <c r="J140" s="84"/>
      <c r="K140" s="84"/>
      <c r="L140" s="84"/>
      <c r="M140" s="85"/>
    </row>
    <row r="141" spans="1:13" ht="15.75" customHeight="1">
      <c r="A141" s="82"/>
      <c r="B141" s="84"/>
      <c r="C141" s="84"/>
      <c r="D141" s="84"/>
      <c r="E141" s="84"/>
      <c r="F141" s="84"/>
      <c r="G141" s="84"/>
      <c r="H141" s="84"/>
      <c r="I141" s="84"/>
      <c r="J141" s="84"/>
      <c r="K141" s="84"/>
      <c r="L141" s="84"/>
      <c r="M141" s="85"/>
    </row>
    <row r="142" spans="1:13" ht="15.75" customHeight="1">
      <c r="A142" s="82"/>
      <c r="B142" s="84"/>
      <c r="C142" s="84"/>
      <c r="D142" s="84"/>
      <c r="E142" s="84"/>
      <c r="F142" s="84"/>
      <c r="G142" s="84"/>
      <c r="H142" s="84"/>
      <c r="I142" s="84"/>
      <c r="J142" s="84"/>
      <c r="K142" s="84"/>
      <c r="L142" s="84"/>
      <c r="M142" s="85"/>
    </row>
    <row r="143" spans="1:13" ht="15.75" customHeight="1">
      <c r="A143" s="82"/>
      <c r="B143" s="84"/>
      <c r="C143" s="84"/>
      <c r="D143" s="84"/>
      <c r="E143" s="84"/>
      <c r="F143" s="84"/>
      <c r="G143" s="84"/>
      <c r="H143" s="84"/>
      <c r="I143" s="84"/>
      <c r="J143" s="84"/>
      <c r="K143" s="84"/>
      <c r="L143" s="84"/>
      <c r="M143" s="85"/>
    </row>
    <row r="144" spans="1:13" ht="15.75" customHeight="1">
      <c r="A144" s="82"/>
      <c r="B144" s="84"/>
      <c r="C144" s="84"/>
      <c r="D144" s="84"/>
      <c r="E144" s="84"/>
      <c r="F144" s="84"/>
      <c r="G144" s="84"/>
      <c r="H144" s="84"/>
      <c r="I144" s="84"/>
      <c r="J144" s="84"/>
      <c r="K144" s="84"/>
      <c r="L144" s="84"/>
      <c r="M144" s="85"/>
    </row>
    <row r="145" spans="1:13" ht="15.75" customHeight="1">
      <c r="A145" s="82"/>
      <c r="B145" s="84"/>
      <c r="C145" s="84"/>
      <c r="D145" s="84"/>
      <c r="E145" s="84"/>
      <c r="F145" s="84"/>
      <c r="G145" s="84"/>
      <c r="H145" s="84"/>
      <c r="I145" s="84"/>
      <c r="J145" s="84"/>
      <c r="K145" s="84"/>
      <c r="L145" s="84"/>
      <c r="M145" s="85"/>
    </row>
    <row r="146" spans="1:13" ht="15.75" customHeight="1">
      <c r="A146" s="82"/>
      <c r="B146" s="84"/>
      <c r="C146" s="84"/>
      <c r="D146" s="84"/>
      <c r="E146" s="84"/>
      <c r="F146" s="84"/>
      <c r="G146" s="84"/>
      <c r="H146" s="84"/>
      <c r="I146" s="84"/>
      <c r="J146" s="84"/>
      <c r="K146" s="84"/>
      <c r="L146" s="84"/>
      <c r="M146" s="85"/>
    </row>
    <row r="147" spans="1:13" ht="15.75" customHeight="1">
      <c r="A147" s="82"/>
      <c r="B147" s="84"/>
      <c r="C147" s="84"/>
      <c r="D147" s="84"/>
      <c r="E147" s="84"/>
      <c r="F147" s="84"/>
      <c r="G147" s="84"/>
      <c r="H147" s="84"/>
      <c r="I147" s="84"/>
      <c r="J147" s="84"/>
      <c r="K147" s="84"/>
      <c r="L147" s="84"/>
      <c r="M147" s="85"/>
    </row>
    <row r="148" spans="1:13" ht="15.75" customHeight="1">
      <c r="A148" s="82"/>
      <c r="B148" s="84"/>
      <c r="C148" s="84"/>
      <c r="D148" s="84"/>
      <c r="E148" s="84"/>
      <c r="F148" s="84"/>
      <c r="G148" s="84"/>
      <c r="H148" s="84"/>
      <c r="I148" s="84"/>
      <c r="J148" s="84"/>
      <c r="K148" s="84"/>
      <c r="L148" s="84"/>
      <c r="M148" s="85"/>
    </row>
    <row r="149" spans="1:13" ht="15.75" customHeight="1">
      <c r="A149" s="82"/>
      <c r="B149" s="84"/>
      <c r="C149" s="84"/>
      <c r="D149" s="84"/>
      <c r="E149" s="84"/>
      <c r="F149" s="84"/>
      <c r="G149" s="84"/>
      <c r="H149" s="84"/>
      <c r="I149" s="84"/>
      <c r="J149" s="84"/>
      <c r="K149" s="84"/>
      <c r="L149" s="84"/>
      <c r="M149" s="85"/>
    </row>
    <row r="150" spans="1:13" ht="15.75" customHeight="1">
      <c r="A150" s="82"/>
      <c r="B150" s="84"/>
      <c r="C150" s="84"/>
      <c r="D150" s="84"/>
      <c r="E150" s="84"/>
      <c r="F150" s="84"/>
      <c r="G150" s="84"/>
      <c r="H150" s="84"/>
      <c r="I150" s="84"/>
      <c r="J150" s="84"/>
      <c r="K150" s="84"/>
      <c r="L150" s="84"/>
      <c r="M150" s="85"/>
    </row>
    <row r="151" spans="1:13" ht="15.75" customHeight="1">
      <c r="A151" s="82"/>
      <c r="B151" s="84"/>
      <c r="C151" s="84"/>
      <c r="D151" s="84"/>
      <c r="E151" s="84"/>
      <c r="F151" s="84"/>
      <c r="G151" s="84"/>
      <c r="H151" s="84"/>
      <c r="I151" s="84"/>
      <c r="J151" s="84"/>
      <c r="K151" s="84"/>
      <c r="L151" s="84"/>
      <c r="M151" s="85"/>
    </row>
    <row r="152" spans="1:13" ht="15.75" customHeight="1">
      <c r="A152" s="82"/>
      <c r="B152" s="84"/>
      <c r="C152" s="84"/>
      <c r="D152" s="84"/>
      <c r="E152" s="84"/>
      <c r="F152" s="84"/>
      <c r="G152" s="84"/>
      <c r="H152" s="84"/>
      <c r="I152" s="84"/>
      <c r="J152" s="84"/>
      <c r="K152" s="84"/>
      <c r="L152" s="84"/>
      <c r="M152" s="85"/>
    </row>
    <row r="153" spans="1:13" ht="15.75" customHeight="1">
      <c r="A153" s="82"/>
      <c r="B153" s="84"/>
      <c r="C153" s="84"/>
      <c r="D153" s="84"/>
      <c r="E153" s="84"/>
      <c r="F153" s="84"/>
      <c r="G153" s="84"/>
      <c r="H153" s="84"/>
      <c r="I153" s="84"/>
      <c r="J153" s="84"/>
      <c r="K153" s="84"/>
      <c r="L153" s="84"/>
      <c r="M153" s="85"/>
    </row>
    <row r="154" spans="1:13" ht="15.75" customHeight="1">
      <c r="A154" s="82"/>
      <c r="B154" s="84"/>
      <c r="C154" s="84"/>
      <c r="D154" s="84"/>
      <c r="E154" s="84"/>
      <c r="F154" s="84"/>
      <c r="G154" s="84"/>
      <c r="H154" s="84"/>
      <c r="I154" s="84"/>
      <c r="J154" s="84"/>
      <c r="K154" s="84"/>
      <c r="L154" s="84"/>
      <c r="M154" s="85"/>
    </row>
    <row r="155" spans="1:13" ht="15.75" customHeight="1">
      <c r="A155" s="82"/>
      <c r="B155" s="84"/>
      <c r="C155" s="84"/>
      <c r="D155" s="84"/>
      <c r="E155" s="84"/>
      <c r="F155" s="84"/>
      <c r="G155" s="84"/>
      <c r="H155" s="84"/>
      <c r="I155" s="84"/>
      <c r="J155" s="84"/>
      <c r="K155" s="84"/>
      <c r="L155" s="84"/>
      <c r="M155" s="85"/>
    </row>
    <row r="156" spans="1:13" ht="15.75" customHeight="1">
      <c r="A156" s="82"/>
      <c r="B156" s="84"/>
      <c r="C156" s="84"/>
      <c r="D156" s="84"/>
      <c r="E156" s="84"/>
      <c r="F156" s="84"/>
      <c r="G156" s="84"/>
      <c r="H156" s="84"/>
      <c r="I156" s="84"/>
      <c r="J156" s="84"/>
      <c r="K156" s="84"/>
      <c r="L156" s="84"/>
      <c r="M156" s="85"/>
    </row>
    <row r="157" spans="1:13" ht="15.75" customHeight="1">
      <c r="A157" s="82"/>
      <c r="B157" s="84"/>
      <c r="C157" s="84"/>
      <c r="D157" s="84"/>
      <c r="E157" s="84"/>
      <c r="F157" s="84"/>
      <c r="G157" s="84"/>
      <c r="H157" s="84"/>
      <c r="I157" s="84"/>
      <c r="J157" s="84"/>
      <c r="K157" s="84"/>
      <c r="L157" s="84"/>
      <c r="M157" s="85"/>
    </row>
    <row r="158" spans="1:13" ht="15.75" customHeight="1">
      <c r="A158" s="82"/>
      <c r="B158" s="84"/>
      <c r="C158" s="84"/>
      <c r="D158" s="84"/>
      <c r="E158" s="84"/>
      <c r="F158" s="84"/>
      <c r="G158" s="84"/>
      <c r="H158" s="84"/>
      <c r="I158" s="84"/>
      <c r="J158" s="84"/>
      <c r="K158" s="84"/>
      <c r="L158" s="84"/>
      <c r="M158" s="85"/>
    </row>
    <row r="159" spans="1:13" ht="15.75" customHeight="1">
      <c r="A159" s="82"/>
      <c r="B159" s="84"/>
      <c r="C159" s="84"/>
      <c r="D159" s="84"/>
      <c r="E159" s="84"/>
      <c r="F159" s="84"/>
      <c r="G159" s="84"/>
      <c r="H159" s="84"/>
      <c r="I159" s="84"/>
      <c r="J159" s="84"/>
      <c r="K159" s="84"/>
      <c r="L159" s="84"/>
      <c r="M159" s="85"/>
    </row>
    <row r="160" spans="1:13" ht="15.75" customHeight="1">
      <c r="A160" s="82"/>
      <c r="B160" s="84"/>
      <c r="C160" s="84"/>
      <c r="D160" s="84"/>
      <c r="E160" s="84"/>
      <c r="F160" s="84"/>
      <c r="G160" s="84"/>
      <c r="H160" s="84"/>
      <c r="I160" s="84"/>
      <c r="J160" s="84"/>
      <c r="K160" s="84"/>
      <c r="L160" s="84"/>
      <c r="M160" s="85"/>
    </row>
    <row r="161" spans="1:13" ht="15.75" customHeight="1">
      <c r="A161" s="82"/>
      <c r="B161" s="84"/>
      <c r="C161" s="84"/>
      <c r="D161" s="84"/>
      <c r="E161" s="84"/>
      <c r="F161" s="84"/>
      <c r="G161" s="84"/>
      <c r="H161" s="84"/>
      <c r="I161" s="84"/>
      <c r="J161" s="84"/>
      <c r="K161" s="84"/>
      <c r="L161" s="84"/>
      <c r="M161" s="85"/>
    </row>
    <row r="162" spans="1:13" ht="15.75" customHeight="1">
      <c r="A162" s="82"/>
      <c r="B162" s="84"/>
      <c r="C162" s="84"/>
      <c r="D162" s="84"/>
      <c r="E162" s="84"/>
      <c r="F162" s="84"/>
      <c r="G162" s="84"/>
      <c r="H162" s="84"/>
      <c r="I162" s="84"/>
      <c r="J162" s="84"/>
      <c r="K162" s="84"/>
      <c r="L162" s="84"/>
      <c r="M162" s="85"/>
    </row>
    <row r="163" spans="1:13" ht="15.75" customHeight="1">
      <c r="A163" s="82"/>
      <c r="B163" s="84"/>
      <c r="C163" s="84"/>
      <c r="D163" s="84"/>
      <c r="E163" s="84"/>
      <c r="F163" s="84"/>
      <c r="G163" s="84"/>
      <c r="H163" s="84"/>
      <c r="I163" s="84"/>
      <c r="J163" s="84"/>
      <c r="K163" s="84"/>
      <c r="L163" s="84"/>
      <c r="M163" s="85"/>
    </row>
    <row r="164" spans="1:13" ht="14.25">
      <c r="A164" s="82"/>
      <c r="B164" s="84"/>
      <c r="C164" s="84"/>
      <c r="D164" s="84"/>
      <c r="E164" s="84"/>
      <c r="F164" s="84"/>
      <c r="G164" s="84"/>
      <c r="H164" s="84"/>
      <c r="I164" s="84"/>
      <c r="J164" s="84"/>
      <c r="K164" s="84"/>
      <c r="L164" s="84"/>
      <c r="M164" s="85"/>
    </row>
    <row r="165" spans="1:13" ht="14.25">
      <c r="A165" s="82"/>
      <c r="B165" s="84"/>
      <c r="C165" s="84"/>
      <c r="D165" s="84"/>
      <c r="E165" s="84"/>
      <c r="F165" s="84"/>
      <c r="G165" s="84"/>
      <c r="H165" s="84"/>
      <c r="I165" s="84"/>
      <c r="J165" s="84"/>
      <c r="K165" s="84"/>
      <c r="L165" s="84"/>
      <c r="M165" s="85"/>
    </row>
    <row r="166" spans="1:13" ht="14.25">
      <c r="A166" s="82"/>
      <c r="B166" s="84"/>
      <c r="C166" s="84"/>
      <c r="D166" s="84"/>
      <c r="E166" s="84"/>
      <c r="F166" s="84"/>
      <c r="G166" s="84"/>
      <c r="H166" s="84"/>
      <c r="I166" s="84"/>
      <c r="J166" s="84"/>
      <c r="K166" s="84"/>
      <c r="L166" s="84"/>
      <c r="M166" s="85"/>
    </row>
    <row r="167" spans="1:13" ht="14.25">
      <c r="A167" s="82"/>
      <c r="B167" s="84"/>
      <c r="C167" s="84"/>
      <c r="D167" s="84"/>
      <c r="E167" s="84"/>
      <c r="F167" s="84"/>
      <c r="G167" s="84"/>
      <c r="H167" s="84"/>
      <c r="I167" s="84"/>
      <c r="J167" s="84"/>
      <c r="K167" s="84"/>
      <c r="L167" s="84"/>
      <c r="M167" s="85"/>
    </row>
    <row r="168" spans="1:13" ht="14.25">
      <c r="A168" s="82"/>
      <c r="B168" s="84"/>
      <c r="C168" s="84"/>
      <c r="D168" s="84"/>
      <c r="E168" s="84"/>
      <c r="F168" s="84"/>
      <c r="G168" s="84"/>
      <c r="H168" s="84"/>
      <c r="I168" s="84"/>
      <c r="J168" s="84"/>
      <c r="K168" s="84"/>
      <c r="L168" s="84"/>
      <c r="M168" s="85"/>
    </row>
    <row r="169" spans="1:13" ht="14.25">
      <c r="A169" s="82"/>
      <c r="B169" s="84"/>
      <c r="C169" s="84"/>
      <c r="D169" s="84"/>
      <c r="E169" s="84"/>
      <c r="F169" s="84"/>
      <c r="G169" s="84"/>
      <c r="H169" s="84"/>
      <c r="I169" s="84"/>
      <c r="J169" s="84"/>
      <c r="K169" s="84"/>
      <c r="L169" s="84"/>
      <c r="M169" s="85"/>
    </row>
    <row r="170" spans="1:13" ht="14.25">
      <c r="A170" s="82"/>
      <c r="B170" s="84"/>
      <c r="C170" s="84"/>
      <c r="D170" s="84"/>
      <c r="E170" s="84"/>
      <c r="F170" s="84"/>
      <c r="G170" s="84"/>
      <c r="H170" s="84"/>
      <c r="I170" s="84"/>
      <c r="J170" s="84"/>
      <c r="K170" s="84"/>
      <c r="L170" s="84"/>
      <c r="M170" s="85"/>
    </row>
    <row r="171" spans="1:13" ht="14.25">
      <c r="A171" s="82"/>
      <c r="B171" s="84"/>
      <c r="C171" s="84"/>
      <c r="D171" s="84"/>
      <c r="E171" s="84"/>
      <c r="F171" s="84"/>
      <c r="G171" s="84"/>
      <c r="H171" s="84"/>
      <c r="I171" s="84"/>
      <c r="J171" s="84"/>
      <c r="K171" s="84"/>
      <c r="L171" s="84"/>
      <c r="M171" s="85"/>
    </row>
    <row r="172" spans="1:13" ht="14.25">
      <c r="A172" s="82"/>
      <c r="B172" s="84"/>
      <c r="C172" s="84"/>
      <c r="D172" s="84"/>
      <c r="E172" s="84"/>
      <c r="F172" s="84"/>
      <c r="G172" s="84"/>
      <c r="H172" s="84"/>
      <c r="I172" s="84"/>
      <c r="J172" s="84"/>
      <c r="K172" s="84"/>
      <c r="L172" s="84"/>
      <c r="M172" s="85"/>
    </row>
    <row r="173" spans="1:13" ht="14.25">
      <c r="A173" s="82"/>
      <c r="B173" s="84"/>
      <c r="C173" s="84"/>
      <c r="D173" s="84"/>
      <c r="E173" s="84"/>
      <c r="F173" s="84"/>
      <c r="G173" s="84"/>
      <c r="H173" s="84"/>
      <c r="I173" s="84"/>
      <c r="J173" s="84"/>
      <c r="K173" s="84"/>
      <c r="L173" s="84"/>
      <c r="M173" s="85"/>
    </row>
    <row r="174" spans="1:13" ht="14.25">
      <c r="A174" s="82"/>
      <c r="B174" s="84"/>
      <c r="C174" s="84"/>
      <c r="D174" s="84"/>
      <c r="E174" s="84"/>
      <c r="F174" s="84"/>
      <c r="G174" s="84"/>
      <c r="H174" s="84"/>
      <c r="I174" s="84"/>
      <c r="J174" s="84"/>
      <c r="K174" s="84"/>
      <c r="L174" s="84"/>
      <c r="M174" s="85"/>
    </row>
    <row r="175" spans="1:13" ht="14.25">
      <c r="A175" s="82"/>
      <c r="B175" s="84"/>
      <c r="C175" s="84"/>
      <c r="D175" s="84"/>
      <c r="E175" s="84"/>
      <c r="F175" s="84"/>
      <c r="G175" s="84"/>
      <c r="H175" s="84"/>
      <c r="I175" s="84"/>
      <c r="J175" s="84"/>
      <c r="K175" s="84"/>
      <c r="L175" s="84"/>
      <c r="M175" s="85"/>
    </row>
    <row r="176" spans="1:13" ht="14.25">
      <c r="A176" s="82"/>
      <c r="B176" s="84"/>
      <c r="C176" s="84"/>
      <c r="D176" s="84"/>
      <c r="E176" s="84"/>
      <c r="F176" s="84"/>
      <c r="G176" s="84"/>
      <c r="H176" s="84"/>
      <c r="I176" s="84"/>
      <c r="J176" s="84"/>
      <c r="K176" s="84"/>
      <c r="L176" s="84"/>
      <c r="M176" s="85"/>
    </row>
    <row r="177" spans="1:13" ht="14.25">
      <c r="A177" s="82"/>
      <c r="B177" s="84"/>
      <c r="C177" s="84"/>
      <c r="D177" s="84"/>
      <c r="E177" s="84"/>
      <c r="F177" s="84"/>
      <c r="G177" s="84"/>
      <c r="H177" s="84"/>
      <c r="I177" s="84"/>
      <c r="J177" s="84"/>
      <c r="K177" s="84"/>
      <c r="L177" s="84"/>
      <c r="M177" s="85"/>
    </row>
    <row r="178" spans="1:13" ht="14.25">
      <c r="A178" s="82"/>
      <c r="B178" s="84"/>
      <c r="C178" s="84"/>
      <c r="D178" s="84"/>
      <c r="E178" s="84"/>
      <c r="F178" s="84"/>
      <c r="G178" s="84"/>
      <c r="H178" s="84"/>
      <c r="I178" s="84"/>
      <c r="J178" s="84"/>
      <c r="K178" s="84"/>
      <c r="L178" s="84"/>
      <c r="M178" s="85"/>
    </row>
    <row r="179" spans="1:13" ht="14.25">
      <c r="A179" s="82"/>
      <c r="B179" s="84"/>
      <c r="C179" s="84"/>
      <c r="D179" s="84"/>
      <c r="E179" s="84"/>
      <c r="F179" s="84"/>
      <c r="G179" s="84"/>
      <c r="H179" s="84"/>
      <c r="I179" s="84"/>
      <c r="J179" s="84"/>
      <c r="K179" s="84"/>
      <c r="L179" s="84"/>
      <c r="M179" s="85"/>
    </row>
    <row r="180" spans="1:13" ht="14.25">
      <c r="A180" s="82"/>
      <c r="B180" s="84"/>
      <c r="C180" s="84"/>
      <c r="D180" s="84"/>
      <c r="E180" s="84"/>
      <c r="F180" s="84"/>
      <c r="G180" s="84"/>
      <c r="H180" s="84"/>
      <c r="I180" s="84"/>
      <c r="J180" s="84"/>
      <c r="K180" s="84"/>
      <c r="L180" s="84"/>
      <c r="M180" s="85"/>
    </row>
    <row r="181" spans="1:13" ht="14.25">
      <c r="A181" s="82"/>
      <c r="B181" s="84"/>
      <c r="C181" s="84"/>
      <c r="D181" s="84"/>
      <c r="E181" s="84"/>
      <c r="F181" s="84"/>
      <c r="G181" s="84"/>
      <c r="H181" s="84"/>
      <c r="I181" s="84"/>
      <c r="J181" s="84"/>
      <c r="K181" s="84"/>
      <c r="L181" s="84"/>
      <c r="M181" s="85"/>
    </row>
    <row r="182" spans="1:13" ht="14.25">
      <c r="A182" s="82"/>
      <c r="B182" s="84"/>
      <c r="C182" s="84"/>
      <c r="D182" s="84"/>
      <c r="E182" s="84"/>
      <c r="F182" s="84"/>
      <c r="G182" s="84"/>
      <c r="H182" s="84"/>
      <c r="I182" s="84"/>
      <c r="J182" s="84"/>
      <c r="K182" s="84"/>
      <c r="L182" s="84"/>
      <c r="M182" s="85"/>
    </row>
    <row r="183" spans="1:13" ht="14.25">
      <c r="A183" s="82"/>
      <c r="B183" s="84"/>
      <c r="C183" s="84"/>
      <c r="D183" s="84"/>
      <c r="E183" s="84"/>
      <c r="F183" s="84"/>
      <c r="G183" s="84"/>
      <c r="H183" s="84"/>
      <c r="I183" s="84"/>
      <c r="J183" s="84"/>
      <c r="K183" s="84"/>
      <c r="L183" s="84"/>
      <c r="M183" s="85"/>
    </row>
    <row r="184" spans="1:13" ht="14.25">
      <c r="A184" s="82"/>
      <c r="B184" s="84"/>
      <c r="C184" s="84"/>
      <c r="D184" s="84"/>
      <c r="E184" s="84"/>
      <c r="F184" s="84"/>
      <c r="G184" s="84"/>
      <c r="H184" s="84"/>
      <c r="I184" s="84"/>
      <c r="J184" s="84"/>
      <c r="K184" s="84"/>
      <c r="L184" s="84"/>
      <c r="M184" s="85"/>
    </row>
    <row r="185" spans="1:13" ht="14.25">
      <c r="A185" s="82"/>
      <c r="B185" s="84"/>
      <c r="C185" s="84"/>
      <c r="D185" s="84"/>
      <c r="E185" s="84"/>
      <c r="F185" s="84"/>
      <c r="G185" s="84"/>
      <c r="H185" s="84"/>
      <c r="I185" s="84"/>
      <c r="J185" s="84"/>
      <c r="K185" s="84"/>
      <c r="L185" s="84"/>
      <c r="M185" s="85"/>
    </row>
    <row r="186" spans="1:13" ht="14.25">
      <c r="A186" s="82"/>
      <c r="B186" s="84"/>
      <c r="C186" s="84"/>
      <c r="D186" s="84"/>
      <c r="E186" s="84"/>
      <c r="F186" s="84"/>
      <c r="G186" s="84"/>
      <c r="H186" s="84"/>
      <c r="I186" s="84"/>
      <c r="J186" s="84"/>
      <c r="K186" s="84"/>
      <c r="L186" s="84"/>
      <c r="M186" s="85"/>
    </row>
    <row r="187" spans="1:13" ht="14.25">
      <c r="A187" s="82"/>
      <c r="B187" s="84"/>
      <c r="C187" s="84"/>
      <c r="D187" s="84"/>
      <c r="E187" s="84"/>
      <c r="F187" s="84"/>
      <c r="G187" s="84"/>
      <c r="H187" s="84"/>
      <c r="I187" s="84"/>
      <c r="J187" s="84"/>
      <c r="K187" s="84"/>
      <c r="L187" s="84"/>
      <c r="M187" s="85"/>
    </row>
    <row r="188" spans="1:13" ht="14.25">
      <c r="A188" s="82"/>
      <c r="B188" s="84"/>
      <c r="C188" s="84"/>
      <c r="D188" s="84"/>
      <c r="E188" s="84"/>
      <c r="F188" s="84"/>
      <c r="G188" s="84"/>
      <c r="H188" s="84"/>
      <c r="I188" s="84"/>
      <c r="J188" s="84"/>
      <c r="K188" s="84"/>
      <c r="L188" s="84"/>
      <c r="M188" s="85"/>
    </row>
    <row r="189" spans="1:13" ht="14.25">
      <c r="A189" s="82"/>
      <c r="B189" s="84"/>
      <c r="C189" s="84"/>
      <c r="D189" s="84"/>
      <c r="E189" s="84"/>
      <c r="F189" s="84"/>
      <c r="G189" s="84"/>
      <c r="H189" s="84"/>
      <c r="I189" s="84"/>
      <c r="J189" s="84"/>
      <c r="K189" s="84"/>
      <c r="L189" s="84"/>
      <c r="M189" s="85"/>
    </row>
    <row r="190" spans="1:13" ht="14.25">
      <c r="A190" s="82"/>
      <c r="B190" s="84"/>
      <c r="C190" s="84"/>
      <c r="D190" s="84"/>
      <c r="E190" s="84"/>
      <c r="F190" s="84"/>
      <c r="G190" s="84"/>
      <c r="H190" s="84"/>
      <c r="I190" s="84"/>
      <c r="J190" s="84"/>
      <c r="K190" s="84"/>
      <c r="L190" s="84"/>
      <c r="M190" s="85"/>
    </row>
    <row r="191" spans="1:13" ht="14.25">
      <c r="A191" s="82"/>
      <c r="B191" s="84"/>
      <c r="C191" s="84"/>
      <c r="D191" s="84"/>
      <c r="E191" s="84"/>
      <c r="F191" s="84"/>
      <c r="G191" s="84"/>
      <c r="H191" s="84"/>
      <c r="I191" s="84"/>
      <c r="J191" s="84"/>
      <c r="K191" s="84"/>
      <c r="L191" s="84"/>
      <c r="M191" s="85"/>
    </row>
    <row r="192" spans="1:13" ht="14.25">
      <c r="A192" s="82"/>
      <c r="B192" s="84"/>
      <c r="C192" s="84"/>
      <c r="D192" s="84"/>
      <c r="E192" s="84"/>
      <c r="F192" s="84"/>
      <c r="G192" s="84"/>
      <c r="H192" s="84"/>
      <c r="I192" s="84"/>
      <c r="J192" s="84"/>
      <c r="K192" s="84"/>
      <c r="L192" s="84"/>
      <c r="M192" s="85"/>
    </row>
    <row r="193" spans="1:13" ht="14.25">
      <c r="A193" s="82"/>
      <c r="B193" s="84"/>
      <c r="C193" s="84"/>
      <c r="D193" s="84"/>
      <c r="E193" s="84"/>
      <c r="F193" s="84"/>
      <c r="G193" s="84"/>
      <c r="H193" s="84"/>
      <c r="I193" s="84"/>
      <c r="J193" s="84"/>
      <c r="K193" s="84"/>
      <c r="L193" s="84"/>
      <c r="M193" s="85"/>
    </row>
    <row r="194" spans="1:13" ht="14.25">
      <c r="A194" s="82"/>
      <c r="B194" s="84"/>
      <c r="C194" s="84"/>
      <c r="D194" s="84"/>
      <c r="E194" s="84"/>
      <c r="F194" s="84"/>
      <c r="G194" s="84"/>
      <c r="H194" s="84"/>
      <c r="I194" s="84"/>
      <c r="J194" s="84"/>
      <c r="K194" s="84"/>
      <c r="L194" s="84"/>
      <c r="M194" s="85"/>
    </row>
    <row r="195" spans="1:13" ht="14.25">
      <c r="A195" s="82"/>
      <c r="B195" s="84"/>
      <c r="C195" s="84"/>
      <c r="D195" s="84"/>
      <c r="E195" s="84"/>
      <c r="F195" s="84"/>
      <c r="G195" s="84"/>
      <c r="H195" s="84"/>
      <c r="I195" s="84"/>
      <c r="J195" s="84"/>
      <c r="K195" s="84"/>
      <c r="L195" s="84"/>
      <c r="M195" s="85"/>
    </row>
    <row r="196" spans="1:13" ht="14.25">
      <c r="A196" s="82"/>
      <c r="B196" s="84"/>
      <c r="C196" s="84"/>
      <c r="D196" s="84"/>
      <c r="E196" s="84"/>
      <c r="F196" s="84"/>
      <c r="G196" s="84"/>
      <c r="H196" s="84"/>
      <c r="I196" s="84"/>
      <c r="J196" s="84"/>
      <c r="K196" s="84"/>
      <c r="L196" s="84"/>
      <c r="M196" s="85"/>
    </row>
    <row r="197" spans="1:13" ht="14.25">
      <c r="A197" s="82"/>
      <c r="B197" s="84"/>
      <c r="C197" s="84"/>
      <c r="D197" s="84"/>
      <c r="E197" s="84"/>
      <c r="F197" s="84"/>
      <c r="G197" s="84"/>
      <c r="H197" s="84"/>
      <c r="I197" s="84"/>
      <c r="J197" s="84"/>
      <c r="K197" s="84"/>
      <c r="L197" s="84"/>
      <c r="M197" s="85"/>
    </row>
    <row r="198" spans="1:13" ht="14.25">
      <c r="A198" s="82"/>
      <c r="B198" s="84"/>
      <c r="C198" s="84"/>
      <c r="D198" s="84"/>
      <c r="E198" s="84"/>
      <c r="F198" s="84"/>
      <c r="G198" s="84"/>
      <c r="H198" s="84"/>
      <c r="I198" s="84"/>
      <c r="J198" s="84"/>
      <c r="K198" s="84"/>
      <c r="L198" s="84"/>
      <c r="M198" s="85"/>
    </row>
    <row r="199" spans="1:13" ht="14.25">
      <c r="A199" s="82"/>
      <c r="B199" s="84"/>
      <c r="C199" s="84"/>
      <c r="D199" s="84"/>
      <c r="E199" s="84"/>
      <c r="F199" s="84"/>
      <c r="G199" s="84"/>
      <c r="H199" s="84"/>
      <c r="I199" s="84"/>
      <c r="J199" s="84"/>
      <c r="K199" s="84"/>
      <c r="L199" s="84"/>
      <c r="M199" s="85"/>
    </row>
    <row r="200" spans="1:13" ht="14.25">
      <c r="A200" s="82"/>
      <c r="B200" s="84"/>
      <c r="C200" s="84"/>
      <c r="D200" s="84"/>
      <c r="E200" s="84"/>
      <c r="F200" s="84"/>
      <c r="G200" s="84"/>
      <c r="H200" s="84"/>
      <c r="I200" s="84"/>
      <c r="J200" s="84"/>
      <c r="K200" s="84"/>
      <c r="L200" s="84"/>
      <c r="M200" s="85"/>
    </row>
    <row r="201" spans="1:13" ht="14.25">
      <c r="A201" s="82"/>
      <c r="B201" s="84"/>
      <c r="C201" s="84"/>
      <c r="D201" s="84"/>
      <c r="E201" s="84"/>
      <c r="F201" s="84"/>
      <c r="G201" s="84"/>
      <c r="H201" s="84"/>
      <c r="I201" s="84"/>
      <c r="J201" s="84"/>
      <c r="K201" s="84"/>
      <c r="L201" s="84"/>
      <c r="M201" s="85"/>
    </row>
    <row r="202" spans="1:13" ht="14.25">
      <c r="A202" s="82"/>
      <c r="B202" s="84"/>
      <c r="C202" s="84"/>
      <c r="D202" s="84"/>
      <c r="E202" s="84"/>
      <c r="F202" s="84"/>
      <c r="G202" s="84"/>
      <c r="H202" s="84"/>
      <c r="I202" s="84"/>
      <c r="J202" s="84"/>
      <c r="K202" s="84"/>
      <c r="L202" s="84"/>
      <c r="M202" s="85"/>
    </row>
    <row r="203" spans="1:13" ht="14.25">
      <c r="A203" s="82"/>
      <c r="B203" s="84"/>
      <c r="C203" s="84"/>
      <c r="D203" s="84"/>
      <c r="E203" s="84"/>
      <c r="F203" s="84"/>
      <c r="G203" s="84"/>
      <c r="H203" s="84"/>
      <c r="I203" s="84"/>
      <c r="J203" s="84"/>
      <c r="K203" s="84"/>
      <c r="L203" s="84"/>
      <c r="M203" s="85"/>
    </row>
    <row r="204" spans="1:13" ht="14.25">
      <c r="A204" s="82"/>
      <c r="B204" s="84"/>
      <c r="C204" s="84"/>
      <c r="D204" s="84"/>
      <c r="E204" s="84"/>
      <c r="F204" s="84"/>
      <c r="G204" s="84"/>
      <c r="H204" s="84"/>
      <c r="I204" s="84"/>
      <c r="J204" s="84"/>
      <c r="K204" s="84"/>
      <c r="L204" s="84"/>
      <c r="M204" s="85"/>
    </row>
    <row r="205" spans="1:13" ht="14.25">
      <c r="A205" s="82"/>
      <c r="B205" s="84"/>
      <c r="C205" s="84"/>
      <c r="D205" s="84"/>
      <c r="E205" s="84"/>
      <c r="F205" s="84"/>
      <c r="G205" s="84"/>
      <c r="H205" s="84"/>
      <c r="I205" s="84"/>
      <c r="J205" s="84"/>
      <c r="K205" s="84"/>
      <c r="L205" s="84"/>
      <c r="M205" s="85"/>
    </row>
    <row r="206" spans="1:13" ht="14.25">
      <c r="A206" s="82"/>
      <c r="B206" s="84"/>
      <c r="C206" s="84"/>
      <c r="D206" s="84"/>
      <c r="E206" s="84"/>
      <c r="F206" s="84"/>
      <c r="G206" s="84"/>
      <c r="H206" s="84"/>
      <c r="I206" s="84"/>
      <c r="J206" s="84"/>
      <c r="K206" s="84"/>
      <c r="L206" s="84"/>
      <c r="M206" s="85"/>
    </row>
    <row r="207" spans="1:13" ht="14.25">
      <c r="A207" s="82"/>
      <c r="B207" s="84"/>
      <c r="C207" s="84"/>
      <c r="D207" s="84"/>
      <c r="E207" s="84"/>
      <c r="F207" s="84"/>
      <c r="G207" s="84"/>
      <c r="H207" s="84"/>
      <c r="I207" s="84"/>
      <c r="J207" s="84"/>
      <c r="K207" s="84"/>
      <c r="L207" s="84"/>
      <c r="M207" s="85"/>
    </row>
    <row r="208" spans="1:13" ht="14.25">
      <c r="A208" s="82"/>
      <c r="B208" s="84"/>
      <c r="C208" s="84"/>
      <c r="D208" s="84"/>
      <c r="E208" s="84"/>
      <c r="F208" s="84"/>
      <c r="G208" s="84"/>
      <c r="H208" s="84"/>
      <c r="I208" s="84"/>
      <c r="J208" s="84"/>
      <c r="K208" s="84"/>
      <c r="L208" s="84"/>
      <c r="M208" s="85"/>
    </row>
    <row r="209" spans="1:13" ht="14.25">
      <c r="A209" s="82"/>
      <c r="B209" s="84"/>
      <c r="C209" s="84"/>
      <c r="D209" s="84"/>
      <c r="E209" s="84"/>
      <c r="F209" s="84"/>
      <c r="G209" s="84"/>
      <c r="H209" s="84"/>
      <c r="I209" s="84"/>
      <c r="J209" s="84"/>
      <c r="K209" s="84"/>
      <c r="L209" s="84"/>
      <c r="M209" s="85"/>
    </row>
    <row r="210" spans="1:13" ht="14.25">
      <c r="A210" s="82"/>
      <c r="B210" s="84"/>
      <c r="C210" s="84"/>
      <c r="D210" s="84"/>
      <c r="E210" s="84"/>
      <c r="F210" s="84"/>
      <c r="G210" s="84"/>
      <c r="H210" s="84"/>
      <c r="I210" s="84"/>
      <c r="J210" s="84"/>
      <c r="K210" s="84"/>
      <c r="L210" s="84"/>
      <c r="M210" s="85"/>
    </row>
    <row r="211" spans="1:13" ht="14.25">
      <c r="A211" s="82"/>
      <c r="B211" s="84"/>
      <c r="C211" s="84"/>
      <c r="D211" s="84"/>
      <c r="E211" s="84"/>
      <c r="F211" s="84"/>
      <c r="G211" s="84"/>
      <c r="H211" s="84"/>
      <c r="I211" s="84"/>
      <c r="J211" s="84"/>
      <c r="K211" s="84"/>
      <c r="L211" s="84"/>
      <c r="M211" s="85"/>
    </row>
    <row r="212" spans="1:13" ht="14.25">
      <c r="A212" s="82"/>
      <c r="B212" s="84"/>
      <c r="C212" s="84"/>
      <c r="D212" s="84"/>
      <c r="E212" s="84"/>
      <c r="F212" s="84"/>
      <c r="G212" s="84"/>
      <c r="H212" s="84"/>
      <c r="I212" s="84"/>
      <c r="J212" s="84"/>
      <c r="K212" s="84"/>
      <c r="L212" s="84"/>
      <c r="M212" s="85"/>
    </row>
    <row r="213" spans="1:13" ht="14.25">
      <c r="A213" s="82"/>
      <c r="B213" s="84"/>
      <c r="C213" s="84"/>
      <c r="D213" s="84"/>
      <c r="E213" s="84"/>
      <c r="F213" s="84"/>
      <c r="G213" s="84"/>
      <c r="H213" s="84"/>
      <c r="I213" s="84"/>
      <c r="J213" s="84"/>
      <c r="K213" s="84"/>
      <c r="L213" s="84"/>
      <c r="M213" s="85"/>
    </row>
    <row r="214" spans="1:13" ht="14.25">
      <c r="A214" s="82"/>
      <c r="B214" s="84"/>
      <c r="C214" s="84"/>
      <c r="D214" s="84"/>
      <c r="E214" s="84"/>
      <c r="F214" s="84"/>
      <c r="G214" s="84"/>
      <c r="H214" s="84"/>
      <c r="I214" s="84"/>
      <c r="J214" s="84"/>
      <c r="K214" s="84"/>
      <c r="L214" s="84"/>
      <c r="M214" s="85"/>
    </row>
    <row r="215" spans="1:13" ht="14.25">
      <c r="A215" s="82"/>
      <c r="B215" s="84"/>
      <c r="C215" s="84"/>
      <c r="D215" s="84"/>
      <c r="E215" s="84"/>
      <c r="F215" s="84"/>
      <c r="G215" s="84"/>
      <c r="H215" s="84"/>
      <c r="I215" s="84"/>
      <c r="J215" s="84"/>
      <c r="K215" s="84"/>
      <c r="L215" s="84"/>
      <c r="M215" s="85"/>
    </row>
    <row r="216" spans="1:13" ht="14.25">
      <c r="A216" s="82"/>
      <c r="B216" s="84"/>
      <c r="C216" s="84"/>
      <c r="D216" s="84"/>
      <c r="E216" s="84"/>
      <c r="F216" s="84"/>
      <c r="G216" s="84"/>
      <c r="H216" s="84"/>
      <c r="I216" s="84"/>
      <c r="J216" s="84"/>
      <c r="K216" s="84"/>
      <c r="L216" s="84"/>
      <c r="M216" s="85"/>
    </row>
    <row r="217" spans="1:13" ht="14.25">
      <c r="A217" s="82"/>
      <c r="B217" s="84"/>
      <c r="C217" s="84"/>
      <c r="D217" s="84"/>
      <c r="E217" s="84"/>
      <c r="F217" s="84"/>
      <c r="G217" s="84"/>
      <c r="H217" s="84"/>
      <c r="I217" s="84"/>
      <c r="J217" s="84"/>
      <c r="K217" s="84"/>
      <c r="L217" s="84"/>
      <c r="M217" s="85"/>
    </row>
    <row r="218" spans="1:13" ht="14.25">
      <c r="A218" s="82"/>
      <c r="B218" s="84"/>
      <c r="C218" s="84"/>
      <c r="D218" s="84"/>
      <c r="E218" s="84"/>
      <c r="F218" s="84"/>
      <c r="G218" s="84"/>
      <c r="H218" s="84"/>
      <c r="I218" s="84"/>
      <c r="J218" s="84"/>
      <c r="K218" s="84"/>
      <c r="L218" s="84"/>
      <c r="M218" s="85"/>
    </row>
    <row r="219" spans="1:13" ht="14.25">
      <c r="A219" s="82"/>
      <c r="B219" s="84"/>
      <c r="C219" s="84"/>
      <c r="D219" s="84"/>
      <c r="E219" s="84"/>
      <c r="F219" s="84"/>
      <c r="G219" s="84"/>
      <c r="H219" s="84"/>
      <c r="I219" s="84"/>
      <c r="J219" s="84"/>
      <c r="K219" s="84"/>
      <c r="L219" s="84"/>
      <c r="M219" s="85"/>
    </row>
    <row r="220" spans="1:13" ht="14.25">
      <c r="A220" s="82"/>
      <c r="B220" s="84"/>
      <c r="C220" s="84"/>
      <c r="D220" s="84"/>
      <c r="E220" s="84"/>
      <c r="F220" s="84"/>
      <c r="G220" s="84"/>
      <c r="H220" s="84"/>
      <c r="I220" s="84"/>
      <c r="J220" s="84"/>
      <c r="K220" s="84"/>
      <c r="L220" s="84"/>
      <c r="M220" s="85"/>
    </row>
    <row r="221" spans="1:13" ht="14.25">
      <c r="A221" s="82"/>
      <c r="B221" s="84"/>
      <c r="C221" s="84"/>
      <c r="D221" s="84"/>
      <c r="E221" s="84"/>
      <c r="F221" s="84"/>
      <c r="G221" s="84"/>
      <c r="H221" s="84"/>
      <c r="I221" s="84"/>
      <c r="J221" s="84"/>
      <c r="K221" s="84"/>
      <c r="L221" s="84"/>
      <c r="M221" s="85"/>
    </row>
    <row r="222" spans="1:13" ht="14.25">
      <c r="A222" s="82"/>
      <c r="B222" s="84"/>
      <c r="C222" s="84"/>
      <c r="D222" s="84"/>
      <c r="E222" s="84"/>
      <c r="F222" s="84"/>
      <c r="G222" s="84"/>
      <c r="H222" s="84"/>
      <c r="I222" s="84"/>
      <c r="J222" s="84"/>
      <c r="K222" s="84"/>
      <c r="L222" s="84"/>
      <c r="M222" s="85"/>
    </row>
    <row r="223" spans="1:13" ht="14.25">
      <c r="A223" s="82"/>
      <c r="B223" s="84"/>
      <c r="C223" s="84"/>
      <c r="D223" s="84"/>
      <c r="E223" s="84"/>
      <c r="F223" s="84"/>
      <c r="G223" s="84"/>
      <c r="H223" s="84"/>
      <c r="I223" s="84"/>
      <c r="J223" s="84"/>
      <c r="K223" s="84"/>
      <c r="L223" s="84"/>
      <c r="M223" s="85"/>
    </row>
    <row r="224" spans="1:13" ht="14.25">
      <c r="A224" s="82"/>
      <c r="B224" s="84"/>
      <c r="C224" s="84"/>
      <c r="D224" s="84"/>
      <c r="E224" s="84"/>
      <c r="F224" s="84"/>
      <c r="G224" s="84"/>
      <c r="H224" s="84"/>
      <c r="I224" s="84"/>
      <c r="J224" s="84"/>
      <c r="K224" s="84"/>
      <c r="L224" s="84"/>
      <c r="M224" s="85"/>
    </row>
    <row r="225" spans="1:13" ht="14.25">
      <c r="A225" s="82"/>
      <c r="B225" s="84"/>
      <c r="C225" s="84"/>
      <c r="D225" s="84"/>
      <c r="E225" s="84"/>
      <c r="F225" s="84"/>
      <c r="G225" s="84"/>
      <c r="H225" s="84"/>
      <c r="I225" s="84"/>
      <c r="J225" s="84"/>
      <c r="K225" s="84"/>
      <c r="L225" s="84"/>
      <c r="M225" s="85"/>
    </row>
    <row r="226" spans="1:13" ht="14.25">
      <c r="A226" s="82"/>
      <c r="B226" s="84"/>
      <c r="C226" s="84"/>
      <c r="D226" s="84"/>
      <c r="E226" s="84"/>
      <c r="F226" s="84"/>
      <c r="G226" s="84"/>
      <c r="H226" s="84"/>
      <c r="I226" s="84"/>
      <c r="J226" s="84"/>
      <c r="K226" s="84"/>
      <c r="L226" s="84"/>
      <c r="M226" s="85"/>
    </row>
    <row r="227" spans="1:13" ht="14.25">
      <c r="A227" s="82"/>
      <c r="B227" s="84"/>
      <c r="C227" s="84"/>
      <c r="D227" s="84"/>
      <c r="E227" s="84"/>
      <c r="F227" s="84"/>
      <c r="G227" s="84"/>
      <c r="H227" s="84"/>
      <c r="I227" s="84"/>
      <c r="J227" s="84"/>
      <c r="K227" s="84"/>
      <c r="L227" s="84"/>
      <c r="M227" s="85"/>
    </row>
    <row r="228" spans="1:13" ht="14.25">
      <c r="A228" s="82"/>
      <c r="B228" s="84"/>
      <c r="C228" s="84"/>
      <c r="D228" s="84"/>
      <c r="E228" s="84"/>
      <c r="F228" s="84"/>
      <c r="G228" s="84"/>
      <c r="H228" s="84"/>
      <c r="I228" s="84"/>
      <c r="J228" s="84"/>
      <c r="K228" s="84"/>
      <c r="L228" s="84"/>
      <c r="M228" s="85"/>
    </row>
    <row r="229" spans="1:13" ht="14.25">
      <c r="A229" s="82"/>
      <c r="B229" s="84"/>
      <c r="C229" s="84"/>
      <c r="D229" s="84"/>
      <c r="E229" s="84"/>
      <c r="F229" s="84"/>
      <c r="G229" s="84"/>
      <c r="H229" s="84"/>
      <c r="I229" s="84"/>
      <c r="J229" s="84"/>
      <c r="K229" s="84"/>
      <c r="L229" s="84"/>
      <c r="M229" s="85"/>
    </row>
    <row r="230" spans="1:13" ht="14.25">
      <c r="A230" s="82"/>
      <c r="B230" s="84"/>
      <c r="C230" s="84"/>
      <c r="D230" s="84"/>
      <c r="E230" s="84"/>
      <c r="F230" s="84"/>
      <c r="G230" s="84"/>
      <c r="H230" s="84"/>
      <c r="I230" s="84"/>
      <c r="J230" s="84"/>
      <c r="K230" s="84"/>
      <c r="L230" s="84"/>
      <c r="M230" s="85"/>
    </row>
    <row r="231" spans="1:13" ht="14.25">
      <c r="A231" s="82"/>
      <c r="B231" s="84"/>
      <c r="C231" s="84"/>
      <c r="D231" s="84"/>
      <c r="E231" s="84"/>
      <c r="F231" s="84"/>
      <c r="G231" s="84"/>
      <c r="H231" s="84"/>
      <c r="I231" s="84"/>
      <c r="J231" s="84"/>
      <c r="K231" s="84"/>
      <c r="L231" s="84"/>
      <c r="M231" s="85"/>
    </row>
    <row r="232" spans="1:13" ht="14.25">
      <c r="A232" s="82"/>
      <c r="B232" s="84"/>
      <c r="C232" s="84"/>
      <c r="D232" s="84"/>
      <c r="E232" s="84"/>
      <c r="F232" s="84"/>
      <c r="G232" s="84"/>
      <c r="H232" s="84"/>
      <c r="I232" s="84"/>
      <c r="J232" s="84"/>
      <c r="K232" s="84"/>
      <c r="L232" s="84"/>
      <c r="M232" s="85"/>
    </row>
    <row r="233" spans="1:13" ht="14.25">
      <c r="A233" s="82"/>
      <c r="B233" s="84"/>
      <c r="C233" s="84"/>
      <c r="D233" s="84"/>
      <c r="E233" s="84"/>
      <c r="F233" s="84"/>
      <c r="G233" s="84"/>
      <c r="H233" s="84"/>
      <c r="I233" s="84"/>
      <c r="J233" s="84"/>
      <c r="K233" s="84"/>
      <c r="L233" s="84"/>
      <c r="M233" s="85"/>
    </row>
    <row r="234" spans="1:13" ht="14.25">
      <c r="A234" s="82"/>
      <c r="B234" s="84"/>
      <c r="C234" s="84"/>
      <c r="D234" s="84"/>
      <c r="E234" s="84"/>
      <c r="F234" s="84"/>
      <c r="G234" s="84"/>
      <c r="H234" s="84"/>
      <c r="I234" s="84"/>
      <c r="J234" s="84"/>
      <c r="K234" s="84"/>
      <c r="L234" s="84"/>
      <c r="M234" s="85"/>
    </row>
    <row r="235" spans="1:13" ht="14.25">
      <c r="A235" s="82"/>
      <c r="B235" s="84"/>
      <c r="C235" s="84"/>
      <c r="D235" s="84"/>
      <c r="E235" s="84"/>
      <c r="F235" s="84"/>
      <c r="G235" s="84"/>
      <c r="H235" s="84"/>
      <c r="I235" s="84"/>
      <c r="J235" s="84"/>
      <c r="K235" s="84"/>
      <c r="L235" s="84"/>
      <c r="M235" s="85"/>
    </row>
    <row r="236" spans="1:13" ht="14.25">
      <c r="A236" s="82"/>
      <c r="B236" s="84"/>
      <c r="C236" s="84"/>
      <c r="D236" s="84"/>
      <c r="E236" s="84"/>
      <c r="F236" s="84"/>
      <c r="G236" s="84"/>
      <c r="H236" s="84"/>
      <c r="I236" s="84"/>
      <c r="J236" s="84"/>
      <c r="K236" s="84"/>
      <c r="L236" s="84"/>
      <c r="M236" s="85"/>
    </row>
    <row r="237" spans="1:13" ht="14.25">
      <c r="A237" s="82"/>
      <c r="B237" s="84"/>
      <c r="C237" s="84"/>
      <c r="D237" s="84"/>
      <c r="E237" s="84"/>
      <c r="F237" s="84"/>
      <c r="G237" s="84"/>
      <c r="H237" s="84"/>
      <c r="I237" s="84"/>
      <c r="J237" s="84"/>
      <c r="K237" s="84"/>
      <c r="L237" s="84"/>
      <c r="M237" s="85"/>
    </row>
    <row r="238" spans="1:13" ht="14.25">
      <c r="A238" s="82"/>
      <c r="B238" s="84"/>
      <c r="C238" s="84"/>
      <c r="D238" s="84"/>
      <c r="E238" s="84"/>
      <c r="F238" s="84"/>
      <c r="G238" s="84"/>
      <c r="H238" s="84"/>
      <c r="I238" s="84"/>
      <c r="J238" s="84"/>
      <c r="K238" s="84"/>
      <c r="L238" s="84"/>
      <c r="M238" s="85"/>
    </row>
    <row r="239" spans="1:13" ht="14.25">
      <c r="A239" s="82"/>
      <c r="B239" s="84"/>
      <c r="C239" s="84"/>
      <c r="D239" s="84"/>
      <c r="E239" s="84"/>
      <c r="F239" s="84"/>
      <c r="G239" s="84"/>
      <c r="H239" s="84"/>
      <c r="I239" s="84"/>
      <c r="J239" s="84"/>
      <c r="K239" s="84"/>
      <c r="L239" s="84"/>
      <c r="M239" s="85"/>
    </row>
    <row r="240" spans="1:13" ht="14.25">
      <c r="A240" s="82"/>
      <c r="B240" s="84"/>
      <c r="C240" s="84"/>
      <c r="D240" s="84"/>
      <c r="E240" s="84"/>
      <c r="F240" s="84"/>
      <c r="G240" s="84"/>
      <c r="H240" s="84"/>
      <c r="I240" s="84"/>
      <c r="J240" s="84"/>
      <c r="K240" s="84"/>
      <c r="L240" s="84"/>
      <c r="M240" s="85"/>
    </row>
    <row r="241" spans="1:13" ht="14.25">
      <c r="A241" s="82"/>
      <c r="B241" s="84"/>
      <c r="C241" s="84"/>
      <c r="D241" s="84"/>
      <c r="E241" s="84"/>
      <c r="F241" s="84"/>
      <c r="G241" s="84"/>
      <c r="H241" s="84"/>
      <c r="I241" s="84"/>
      <c r="J241" s="84"/>
      <c r="K241" s="84"/>
      <c r="L241" s="84"/>
      <c r="M241" s="85"/>
    </row>
    <row r="242" spans="1:13" ht="14.25">
      <c r="A242" s="82"/>
      <c r="B242" s="84"/>
      <c r="C242" s="84"/>
      <c r="D242" s="84"/>
      <c r="E242" s="84"/>
      <c r="F242" s="84"/>
      <c r="G242" s="84"/>
      <c r="H242" s="84"/>
      <c r="I242" s="84"/>
      <c r="J242" s="84"/>
      <c r="K242" s="84"/>
      <c r="L242" s="84"/>
      <c r="M242" s="85"/>
    </row>
    <row r="243" spans="1:13" ht="14.25">
      <c r="A243" s="82"/>
      <c r="B243" s="84"/>
      <c r="C243" s="84"/>
      <c r="D243" s="84"/>
      <c r="E243" s="84"/>
      <c r="F243" s="84"/>
      <c r="G243" s="84"/>
      <c r="H243" s="84"/>
      <c r="I243" s="84"/>
      <c r="J243" s="84"/>
      <c r="K243" s="84"/>
      <c r="L243" s="84"/>
      <c r="M243" s="85"/>
    </row>
    <row r="244" spans="1:13" ht="14.25">
      <c r="A244" s="82"/>
      <c r="B244" s="84"/>
      <c r="C244" s="84"/>
      <c r="D244" s="84"/>
      <c r="E244" s="84"/>
      <c r="F244" s="84"/>
      <c r="G244" s="84"/>
      <c r="H244" s="84"/>
      <c r="I244" s="84"/>
      <c r="J244" s="84"/>
      <c r="K244" s="84"/>
      <c r="L244" s="84"/>
      <c r="M244" s="85"/>
    </row>
    <row r="245" spans="1:13" ht="14.25">
      <c r="A245" s="82"/>
      <c r="B245" s="84"/>
      <c r="C245" s="84"/>
      <c r="D245" s="84"/>
      <c r="E245" s="84"/>
      <c r="F245" s="84"/>
      <c r="G245" s="84"/>
      <c r="H245" s="84"/>
      <c r="I245" s="84"/>
      <c r="J245" s="84"/>
      <c r="K245" s="84"/>
      <c r="L245" s="84"/>
      <c r="M245" s="85"/>
    </row>
    <row r="246" spans="1:13" ht="14.25">
      <c r="A246" s="82"/>
      <c r="B246" s="84"/>
      <c r="C246" s="84"/>
      <c r="D246" s="84"/>
      <c r="E246" s="84"/>
      <c r="F246" s="84"/>
      <c r="G246" s="84"/>
      <c r="H246" s="84"/>
      <c r="I246" s="84"/>
      <c r="J246" s="84"/>
      <c r="K246" s="84"/>
      <c r="L246" s="84"/>
      <c r="M246" s="85"/>
    </row>
    <row r="247" spans="1:13" ht="14.25">
      <c r="A247" s="82"/>
      <c r="B247" s="84"/>
      <c r="C247" s="84"/>
      <c r="D247" s="84"/>
      <c r="E247" s="84"/>
      <c r="F247" s="84"/>
      <c r="G247" s="84"/>
      <c r="H247" s="84"/>
      <c r="I247" s="84"/>
      <c r="J247" s="84"/>
      <c r="K247" s="84"/>
      <c r="L247" s="84"/>
      <c r="M247" s="85"/>
    </row>
    <row r="248" spans="1:13" ht="14.25">
      <c r="A248" s="82"/>
      <c r="B248" s="84"/>
      <c r="C248" s="84"/>
      <c r="D248" s="84"/>
      <c r="E248" s="84"/>
      <c r="F248" s="84"/>
      <c r="G248" s="84"/>
      <c r="H248" s="84"/>
      <c r="I248" s="84"/>
      <c r="J248" s="84"/>
      <c r="K248" s="84"/>
      <c r="L248" s="84"/>
      <c r="M248" s="85"/>
    </row>
    <row r="249" spans="1:13" ht="14.25">
      <c r="A249" s="82"/>
      <c r="B249" s="84"/>
      <c r="C249" s="84"/>
      <c r="D249" s="84"/>
      <c r="E249" s="84"/>
      <c r="F249" s="84"/>
      <c r="G249" s="84"/>
      <c r="H249" s="84"/>
      <c r="I249" s="84"/>
      <c r="J249" s="84"/>
      <c r="K249" s="84"/>
      <c r="L249" s="84"/>
      <c r="M249" s="85"/>
    </row>
    <row r="250" spans="1:13" ht="14.25">
      <c r="A250" s="82"/>
      <c r="B250" s="84"/>
      <c r="C250" s="84"/>
      <c r="D250" s="84"/>
      <c r="E250" s="84"/>
      <c r="F250" s="84"/>
      <c r="G250" s="84"/>
      <c r="H250" s="84"/>
      <c r="I250" s="84"/>
      <c r="J250" s="84"/>
      <c r="K250" s="84"/>
      <c r="L250" s="84"/>
      <c r="M250" s="85"/>
    </row>
    <row r="251" spans="1:13" ht="14.25">
      <c r="A251" s="82"/>
      <c r="B251" s="84"/>
      <c r="C251" s="84"/>
      <c r="D251" s="84"/>
      <c r="E251" s="84"/>
      <c r="F251" s="84"/>
      <c r="G251" s="84"/>
      <c r="H251" s="84"/>
      <c r="I251" s="84"/>
      <c r="J251" s="84"/>
      <c r="K251" s="84"/>
      <c r="L251" s="84"/>
      <c r="M251" s="85"/>
    </row>
    <row r="252" spans="1:13" ht="14.25">
      <c r="A252" s="82"/>
      <c r="B252" s="84"/>
      <c r="C252" s="84"/>
      <c r="D252" s="84"/>
      <c r="E252" s="84"/>
      <c r="F252" s="84"/>
      <c r="G252" s="84"/>
      <c r="H252" s="84"/>
      <c r="I252" s="84"/>
      <c r="J252" s="84"/>
      <c r="K252" s="84"/>
      <c r="L252" s="84"/>
      <c r="M252" s="85"/>
    </row>
    <row r="253" spans="1:13" ht="14.25">
      <c r="A253" s="82"/>
      <c r="B253" s="84"/>
      <c r="C253" s="84"/>
      <c r="D253" s="84"/>
      <c r="E253" s="84"/>
      <c r="F253" s="84"/>
      <c r="G253" s="84"/>
      <c r="H253" s="84"/>
      <c r="I253" s="84"/>
      <c r="J253" s="84"/>
      <c r="K253" s="84"/>
      <c r="L253" s="84"/>
      <c r="M253" s="85"/>
    </row>
    <row r="254" spans="1:13" ht="14.25">
      <c r="A254" s="82"/>
      <c r="B254" s="84"/>
      <c r="C254" s="84"/>
      <c r="D254" s="84"/>
      <c r="E254" s="84"/>
      <c r="F254" s="84"/>
      <c r="G254" s="84"/>
      <c r="H254" s="84"/>
      <c r="I254" s="84"/>
      <c r="J254" s="84"/>
      <c r="K254" s="84"/>
      <c r="L254" s="84"/>
      <c r="M254" s="85"/>
    </row>
    <row r="255" spans="1:13" ht="14.25">
      <c r="A255" s="82"/>
      <c r="B255" s="84"/>
      <c r="C255" s="84"/>
      <c r="D255" s="84"/>
      <c r="E255" s="84"/>
      <c r="F255" s="84"/>
      <c r="G255" s="84"/>
      <c r="H255" s="84"/>
      <c r="I255" s="84"/>
      <c r="J255" s="84"/>
      <c r="K255" s="84"/>
      <c r="L255" s="84"/>
      <c r="M255" s="85"/>
    </row>
    <row r="256" spans="1:13" ht="14.25">
      <c r="A256" s="82"/>
      <c r="B256" s="84"/>
      <c r="C256" s="84"/>
      <c r="D256" s="84"/>
      <c r="E256" s="84"/>
      <c r="F256" s="84"/>
      <c r="G256" s="84"/>
      <c r="H256" s="84"/>
      <c r="I256" s="84"/>
      <c r="J256" s="84"/>
      <c r="K256" s="84"/>
      <c r="L256" s="84"/>
      <c r="M256" s="85"/>
    </row>
    <row r="257" spans="1:13" ht="14.25">
      <c r="A257" s="82"/>
      <c r="B257" s="84"/>
      <c r="C257" s="84"/>
      <c r="D257" s="84"/>
      <c r="E257" s="84"/>
      <c r="F257" s="84"/>
      <c r="G257" s="84"/>
      <c r="H257" s="84"/>
      <c r="I257" s="84"/>
      <c r="J257" s="84"/>
      <c r="K257" s="84"/>
      <c r="L257" s="84"/>
      <c r="M257" s="85"/>
    </row>
    <row r="258" spans="1:13" ht="14.25">
      <c r="A258" s="82"/>
      <c r="B258" s="84"/>
      <c r="C258" s="84"/>
      <c r="D258" s="84"/>
      <c r="E258" s="84"/>
      <c r="F258" s="84"/>
      <c r="G258" s="84"/>
      <c r="H258" s="84"/>
      <c r="I258" s="84"/>
      <c r="J258" s="84"/>
      <c r="K258" s="84"/>
      <c r="L258" s="84"/>
      <c r="M258" s="85"/>
    </row>
    <row r="259" spans="1:13" ht="14.25">
      <c r="A259" s="82"/>
      <c r="B259" s="84"/>
      <c r="C259" s="84"/>
      <c r="D259" s="84"/>
      <c r="E259" s="84"/>
      <c r="F259" s="84"/>
      <c r="G259" s="84"/>
      <c r="H259" s="84"/>
      <c r="I259" s="84"/>
      <c r="J259" s="84"/>
      <c r="K259" s="84"/>
      <c r="L259" s="84"/>
      <c r="M259" s="85"/>
    </row>
    <row r="260" spans="1:13" ht="14.25">
      <c r="A260" s="82"/>
      <c r="B260" s="84"/>
      <c r="C260" s="84"/>
      <c r="D260" s="84"/>
      <c r="E260" s="84"/>
      <c r="F260" s="84"/>
      <c r="G260" s="84"/>
      <c r="H260" s="84"/>
      <c r="I260" s="84"/>
      <c r="J260" s="84"/>
      <c r="K260" s="84"/>
      <c r="L260" s="84"/>
      <c r="M260" s="85"/>
    </row>
    <row r="261" spans="1:13" ht="14.25">
      <c r="A261" s="82"/>
      <c r="B261" s="84"/>
      <c r="C261" s="84"/>
      <c r="D261" s="84"/>
      <c r="E261" s="84"/>
      <c r="F261" s="84"/>
      <c r="G261" s="84"/>
      <c r="H261" s="84"/>
      <c r="I261" s="84"/>
      <c r="J261" s="84"/>
      <c r="K261" s="84"/>
      <c r="L261" s="84"/>
      <c r="M261" s="85"/>
    </row>
    <row r="262" spans="1:13" ht="14.25">
      <c r="A262" s="82"/>
      <c r="B262" s="84"/>
      <c r="C262" s="84"/>
      <c r="D262" s="84"/>
      <c r="E262" s="84"/>
      <c r="F262" s="84"/>
      <c r="G262" s="84"/>
      <c r="H262" s="84"/>
      <c r="I262" s="84"/>
      <c r="J262" s="84"/>
      <c r="K262" s="84"/>
      <c r="L262" s="84"/>
      <c r="M262" s="85"/>
    </row>
    <row r="263" spans="1:13" ht="14.25">
      <c r="A263" s="82"/>
      <c r="B263" s="84"/>
      <c r="C263" s="84"/>
      <c r="D263" s="84"/>
      <c r="E263" s="84"/>
      <c r="F263" s="84"/>
      <c r="G263" s="84"/>
      <c r="H263" s="84"/>
      <c r="I263" s="84"/>
      <c r="J263" s="84"/>
      <c r="K263" s="84"/>
      <c r="L263" s="84"/>
      <c r="M263" s="85"/>
    </row>
    <row r="264" spans="1:13" ht="14.25">
      <c r="A264" s="82"/>
      <c r="B264" s="84"/>
      <c r="C264" s="84"/>
      <c r="D264" s="84"/>
      <c r="E264" s="84"/>
      <c r="F264" s="84"/>
      <c r="G264" s="84"/>
      <c r="H264" s="84"/>
      <c r="I264" s="84"/>
      <c r="J264" s="84"/>
      <c r="K264" s="84"/>
      <c r="L264" s="84"/>
      <c r="M264" s="85"/>
    </row>
    <row r="265" spans="1:13" ht="14.25">
      <c r="A265" s="82"/>
      <c r="B265" s="84"/>
      <c r="C265" s="84"/>
      <c r="D265" s="84"/>
      <c r="E265" s="84"/>
      <c r="F265" s="84"/>
      <c r="G265" s="84"/>
      <c r="H265" s="84"/>
      <c r="I265" s="84"/>
      <c r="J265" s="84"/>
      <c r="K265" s="84"/>
      <c r="L265" s="84"/>
      <c r="M265" s="85"/>
    </row>
    <row r="266" spans="1:13" ht="14.25">
      <c r="A266" s="82"/>
      <c r="B266" s="84"/>
      <c r="C266" s="84"/>
      <c r="D266" s="84"/>
      <c r="E266" s="84"/>
      <c r="F266" s="84"/>
      <c r="G266" s="84"/>
      <c r="H266" s="84"/>
      <c r="I266" s="84"/>
      <c r="J266" s="84"/>
      <c r="K266" s="84"/>
      <c r="L266" s="84"/>
      <c r="M266" s="85"/>
    </row>
    <row r="267" spans="1:13" ht="14.25">
      <c r="A267" s="82"/>
      <c r="B267" s="84"/>
      <c r="C267" s="84"/>
      <c r="D267" s="84"/>
      <c r="E267" s="84"/>
      <c r="F267" s="84"/>
      <c r="G267" s="84"/>
      <c r="H267" s="84"/>
      <c r="I267" s="84"/>
      <c r="J267" s="84"/>
      <c r="K267" s="84"/>
      <c r="L267" s="84"/>
      <c r="M267" s="85"/>
    </row>
    <row r="268" spans="1:13" ht="14.25">
      <c r="A268" s="82"/>
      <c r="B268" s="84"/>
      <c r="C268" s="84"/>
      <c r="D268" s="84"/>
      <c r="E268" s="84"/>
      <c r="F268" s="84"/>
      <c r="G268" s="84"/>
      <c r="H268" s="84"/>
      <c r="I268" s="84"/>
      <c r="J268" s="84"/>
      <c r="K268" s="84"/>
      <c r="L268" s="84"/>
      <c r="M268" s="85"/>
    </row>
    <row r="269" spans="1:13" ht="14.25">
      <c r="A269" s="82"/>
      <c r="B269" s="84"/>
      <c r="C269" s="84"/>
      <c r="D269" s="84"/>
      <c r="E269" s="84"/>
      <c r="F269" s="84"/>
      <c r="G269" s="84"/>
      <c r="H269" s="84"/>
      <c r="I269" s="84"/>
      <c r="J269" s="84"/>
      <c r="K269" s="84"/>
      <c r="L269" s="84"/>
      <c r="M269" s="85"/>
    </row>
    <row r="270" spans="1:13" ht="14.25">
      <c r="A270" s="82"/>
      <c r="B270" s="84"/>
      <c r="C270" s="84"/>
      <c r="D270" s="84"/>
      <c r="E270" s="84"/>
      <c r="F270" s="84"/>
      <c r="G270" s="84"/>
      <c r="H270" s="84"/>
      <c r="I270" s="84"/>
      <c r="J270" s="84"/>
      <c r="K270" s="84"/>
      <c r="L270" s="84"/>
      <c r="M270" s="85"/>
    </row>
    <row r="271" spans="1:13" ht="14.25">
      <c r="A271" s="82"/>
      <c r="B271" s="84"/>
      <c r="C271" s="84"/>
      <c r="D271" s="84"/>
      <c r="E271" s="84"/>
      <c r="F271" s="84"/>
      <c r="G271" s="84"/>
      <c r="H271" s="84"/>
      <c r="I271" s="84"/>
      <c r="J271" s="84"/>
      <c r="K271" s="84"/>
      <c r="L271" s="84"/>
      <c r="M271" s="85"/>
    </row>
    <row r="272" spans="1:13" ht="14.25">
      <c r="A272" s="82"/>
      <c r="B272" s="84"/>
      <c r="C272" s="84"/>
      <c r="D272" s="84"/>
      <c r="E272" s="84"/>
      <c r="F272" s="84"/>
      <c r="G272" s="84"/>
      <c r="H272" s="84"/>
      <c r="I272" s="84"/>
      <c r="J272" s="84"/>
      <c r="K272" s="84"/>
      <c r="L272" s="84"/>
      <c r="M272" s="85"/>
    </row>
    <row r="273" spans="1:13" ht="14.25">
      <c r="A273" s="82"/>
      <c r="B273" s="84"/>
      <c r="C273" s="84"/>
      <c r="D273" s="84"/>
      <c r="E273" s="84"/>
      <c r="F273" s="84"/>
      <c r="G273" s="84"/>
      <c r="H273" s="84"/>
      <c r="I273" s="84"/>
      <c r="J273" s="84"/>
      <c r="K273" s="84"/>
      <c r="L273" s="84"/>
      <c r="M273" s="85"/>
    </row>
    <row r="274" spans="1:13" ht="14.25">
      <c r="A274" s="82"/>
      <c r="B274" s="84"/>
      <c r="C274" s="84"/>
      <c r="D274" s="84"/>
      <c r="E274" s="84"/>
      <c r="F274" s="84"/>
      <c r="G274" s="84"/>
      <c r="H274" s="84"/>
      <c r="I274" s="84"/>
      <c r="J274" s="84"/>
      <c r="K274" s="84"/>
      <c r="L274" s="84"/>
      <c r="M274" s="85"/>
    </row>
    <row r="275" spans="1:13" ht="14.25">
      <c r="A275" s="82"/>
      <c r="B275" s="84"/>
      <c r="C275" s="84"/>
      <c r="D275" s="84"/>
      <c r="E275" s="84"/>
      <c r="F275" s="84"/>
      <c r="G275" s="84"/>
      <c r="H275" s="84"/>
      <c r="I275" s="84"/>
      <c r="J275" s="84"/>
      <c r="K275" s="84"/>
      <c r="L275" s="84"/>
      <c r="M275" s="85"/>
    </row>
    <row r="276" spans="1:13" ht="14.25">
      <c r="A276" s="82"/>
      <c r="B276" s="84"/>
      <c r="C276" s="84"/>
      <c r="D276" s="84"/>
      <c r="E276" s="84"/>
      <c r="F276" s="84"/>
      <c r="G276" s="84"/>
      <c r="H276" s="84"/>
      <c r="I276" s="84"/>
      <c r="J276" s="84"/>
      <c r="K276" s="84"/>
      <c r="L276" s="84"/>
      <c r="M276" s="85"/>
    </row>
    <row r="277" spans="1:13" ht="14.25">
      <c r="A277" s="82"/>
      <c r="B277" s="84"/>
      <c r="C277" s="84"/>
      <c r="D277" s="84"/>
      <c r="E277" s="84"/>
      <c r="F277" s="84"/>
      <c r="G277" s="84"/>
      <c r="H277" s="84"/>
      <c r="I277" s="84"/>
      <c r="J277" s="84"/>
      <c r="K277" s="84"/>
      <c r="L277" s="84"/>
      <c r="M277" s="85"/>
    </row>
    <row r="278" spans="1:13" ht="14.25">
      <c r="A278" s="82"/>
      <c r="B278" s="84"/>
      <c r="C278" s="84"/>
      <c r="D278" s="84"/>
      <c r="E278" s="84"/>
      <c r="F278" s="84"/>
      <c r="G278" s="84"/>
      <c r="H278" s="84"/>
      <c r="I278" s="84"/>
      <c r="J278" s="84"/>
      <c r="K278" s="84"/>
      <c r="L278" s="84"/>
      <c r="M278" s="85"/>
    </row>
    <row r="279" spans="1:13" ht="14.25">
      <c r="A279" s="82"/>
      <c r="B279" s="84"/>
      <c r="C279" s="84"/>
      <c r="D279" s="84"/>
      <c r="E279" s="84"/>
      <c r="F279" s="84"/>
      <c r="G279" s="84"/>
      <c r="H279" s="84"/>
      <c r="I279" s="84"/>
      <c r="J279" s="84"/>
      <c r="K279" s="84"/>
      <c r="L279" s="84"/>
      <c r="M279" s="85"/>
    </row>
    <row r="280" spans="1:13" ht="14.25">
      <c r="A280" s="82"/>
      <c r="B280" s="84"/>
      <c r="C280" s="84"/>
      <c r="D280" s="84"/>
      <c r="E280" s="84"/>
      <c r="F280" s="84"/>
      <c r="G280" s="84"/>
      <c r="H280" s="84"/>
      <c r="I280" s="84"/>
      <c r="J280" s="84"/>
      <c r="K280" s="84"/>
      <c r="L280" s="84"/>
      <c r="M280" s="85"/>
    </row>
    <row r="281" spans="1:13" ht="14.25">
      <c r="A281" s="82"/>
      <c r="B281" s="84"/>
      <c r="C281" s="84"/>
      <c r="D281" s="84"/>
      <c r="E281" s="84"/>
      <c r="F281" s="84"/>
      <c r="G281" s="84"/>
      <c r="H281" s="84"/>
      <c r="I281" s="84"/>
      <c r="J281" s="84"/>
      <c r="K281" s="84"/>
      <c r="L281" s="84"/>
      <c r="M281" s="85"/>
    </row>
    <row r="282" spans="1:13" ht="14.25">
      <c r="A282" s="82"/>
      <c r="B282" s="84"/>
      <c r="C282" s="84"/>
      <c r="D282" s="84"/>
      <c r="E282" s="84"/>
      <c r="F282" s="84"/>
      <c r="G282" s="84"/>
      <c r="H282" s="84"/>
      <c r="I282" s="84"/>
      <c r="J282" s="84"/>
      <c r="K282" s="84"/>
      <c r="L282" s="84"/>
      <c r="M282" s="85"/>
    </row>
    <row r="283" spans="1:13" ht="14.25">
      <c r="A283" s="82"/>
      <c r="B283" s="84"/>
      <c r="C283" s="84"/>
      <c r="D283" s="84"/>
      <c r="E283" s="84"/>
      <c r="F283" s="84"/>
      <c r="G283" s="84"/>
      <c r="H283" s="84"/>
      <c r="I283" s="84"/>
      <c r="J283" s="84"/>
      <c r="K283" s="84"/>
      <c r="L283" s="84"/>
      <c r="M283" s="85"/>
    </row>
    <row r="284" spans="1:13" ht="14.25">
      <c r="A284" s="82"/>
      <c r="B284" s="84"/>
      <c r="C284" s="84"/>
      <c r="D284" s="84"/>
      <c r="E284" s="84"/>
      <c r="F284" s="84"/>
      <c r="G284" s="84"/>
      <c r="H284" s="84"/>
      <c r="I284" s="84"/>
      <c r="J284" s="84"/>
      <c r="K284" s="84"/>
      <c r="L284" s="84"/>
      <c r="M284" s="85"/>
    </row>
    <row r="285" spans="1:13" ht="14.25">
      <c r="A285" s="82"/>
      <c r="B285" s="84"/>
      <c r="C285" s="84"/>
      <c r="D285" s="84"/>
      <c r="E285" s="84"/>
      <c r="F285" s="84"/>
      <c r="G285" s="84"/>
      <c r="H285" s="84"/>
      <c r="I285" s="84"/>
      <c r="J285" s="84"/>
      <c r="K285" s="84"/>
      <c r="L285" s="84"/>
      <c r="M285" s="85"/>
    </row>
    <row r="286" spans="1:13" ht="14.25">
      <c r="A286" s="82"/>
      <c r="B286" s="84"/>
      <c r="C286" s="84"/>
      <c r="D286" s="84"/>
      <c r="E286" s="84"/>
      <c r="F286" s="84"/>
      <c r="G286" s="84"/>
      <c r="H286" s="84"/>
      <c r="I286" s="84"/>
      <c r="J286" s="84"/>
      <c r="K286" s="84"/>
      <c r="L286" s="84"/>
      <c r="M286" s="85"/>
    </row>
    <row r="287" spans="1:13" ht="14.25">
      <c r="A287" s="82"/>
      <c r="B287" s="84"/>
      <c r="C287" s="84"/>
      <c r="D287" s="84"/>
      <c r="E287" s="84"/>
      <c r="F287" s="84"/>
      <c r="G287" s="84"/>
      <c r="H287" s="84"/>
      <c r="I287" s="84"/>
      <c r="J287" s="84"/>
      <c r="K287" s="84"/>
      <c r="L287" s="84"/>
      <c r="M287" s="85"/>
    </row>
    <row r="288" spans="1:13" ht="14.25">
      <c r="A288" s="82"/>
      <c r="B288" s="84"/>
      <c r="C288" s="84"/>
      <c r="D288" s="84"/>
      <c r="E288" s="84"/>
      <c r="F288" s="84"/>
      <c r="G288" s="84"/>
      <c r="H288" s="84"/>
      <c r="I288" s="84"/>
      <c r="J288" s="84"/>
      <c r="K288" s="84"/>
      <c r="L288" s="84"/>
      <c r="M288" s="85"/>
    </row>
    <row r="289" spans="1:13" ht="14.25">
      <c r="A289" s="82"/>
      <c r="B289" s="84"/>
      <c r="C289" s="84"/>
      <c r="D289" s="84"/>
      <c r="E289" s="84"/>
      <c r="F289" s="84"/>
      <c r="G289" s="84"/>
      <c r="H289" s="84"/>
      <c r="I289" s="84"/>
      <c r="J289" s="84"/>
      <c r="K289" s="84"/>
      <c r="L289" s="84"/>
      <c r="M289" s="85"/>
    </row>
    <row r="290" spans="1:13" ht="14.25">
      <c r="A290" s="82"/>
      <c r="B290" s="84"/>
      <c r="C290" s="84"/>
      <c r="D290" s="84"/>
      <c r="E290" s="84"/>
      <c r="F290" s="84"/>
      <c r="G290" s="84"/>
      <c r="H290" s="84"/>
      <c r="I290" s="84"/>
      <c r="J290" s="84"/>
      <c r="K290" s="84"/>
      <c r="L290" s="84"/>
      <c r="M290" s="85"/>
    </row>
    <row r="291" spans="1:13" ht="14.25">
      <c r="A291" s="82"/>
      <c r="B291" s="84"/>
      <c r="C291" s="84"/>
      <c r="D291" s="84"/>
      <c r="E291" s="84"/>
      <c r="F291" s="84"/>
      <c r="G291" s="84"/>
      <c r="H291" s="84"/>
      <c r="I291" s="84"/>
      <c r="J291" s="84"/>
      <c r="K291" s="84"/>
      <c r="L291" s="84"/>
      <c r="M291" s="85"/>
    </row>
    <row r="292" spans="1:13" ht="14.25">
      <c r="A292" s="82"/>
      <c r="B292" s="84"/>
      <c r="C292" s="84"/>
      <c r="D292" s="84"/>
      <c r="E292" s="84"/>
      <c r="F292" s="84"/>
      <c r="G292" s="84"/>
      <c r="H292" s="84"/>
      <c r="I292" s="84"/>
      <c r="J292" s="84"/>
      <c r="K292" s="84"/>
      <c r="L292" s="84"/>
      <c r="M292" s="85"/>
    </row>
    <row r="293" spans="1:13" ht="14.25">
      <c r="A293" s="82"/>
      <c r="B293" s="84"/>
      <c r="C293" s="84"/>
      <c r="D293" s="84"/>
      <c r="E293" s="84"/>
      <c r="F293" s="84"/>
      <c r="G293" s="84"/>
      <c r="H293" s="84"/>
      <c r="I293" s="84"/>
      <c r="J293" s="84"/>
      <c r="K293" s="84"/>
      <c r="L293" s="84"/>
      <c r="M293" s="85"/>
    </row>
    <row r="294" spans="1:13" ht="14.25">
      <c r="A294" s="82"/>
      <c r="B294" s="84"/>
      <c r="C294" s="84"/>
      <c r="D294" s="84"/>
      <c r="E294" s="84"/>
      <c r="F294" s="84"/>
      <c r="G294" s="84"/>
      <c r="H294" s="84"/>
      <c r="I294" s="84"/>
      <c r="J294" s="84"/>
      <c r="K294" s="84"/>
      <c r="L294" s="84"/>
      <c r="M294" s="85"/>
    </row>
    <row r="295" spans="1:13" ht="14.25">
      <c r="A295" s="82"/>
      <c r="B295" s="84"/>
      <c r="C295" s="84"/>
      <c r="D295" s="84"/>
      <c r="E295" s="84"/>
      <c r="F295" s="84"/>
      <c r="G295" s="84"/>
      <c r="H295" s="84"/>
      <c r="I295" s="84"/>
      <c r="J295" s="84"/>
      <c r="K295" s="84"/>
      <c r="L295" s="84"/>
      <c r="M295" s="85"/>
    </row>
    <row r="296" spans="1:13" ht="14.25">
      <c r="A296" s="82"/>
      <c r="B296" s="84"/>
      <c r="C296" s="84"/>
      <c r="D296" s="84"/>
      <c r="E296" s="84"/>
      <c r="F296" s="84"/>
      <c r="G296" s="84"/>
      <c r="H296" s="84"/>
      <c r="I296" s="84"/>
      <c r="J296" s="84"/>
      <c r="K296" s="84"/>
      <c r="L296" s="84"/>
      <c r="M296" s="85"/>
    </row>
    <row r="297" spans="1:13" ht="14.25">
      <c r="A297" s="82"/>
      <c r="B297" s="84"/>
      <c r="C297" s="84"/>
      <c r="D297" s="84"/>
      <c r="E297" s="84"/>
      <c r="F297" s="84"/>
      <c r="G297" s="84"/>
      <c r="H297" s="84"/>
      <c r="I297" s="84"/>
      <c r="J297" s="84"/>
      <c r="K297" s="84"/>
      <c r="L297" s="84"/>
      <c r="M297" s="85"/>
    </row>
    <row r="298" spans="1:13" ht="14.25">
      <c r="A298" s="82"/>
      <c r="B298" s="84"/>
      <c r="C298" s="84"/>
      <c r="D298" s="84"/>
      <c r="E298" s="84"/>
      <c r="F298" s="84"/>
      <c r="G298" s="84"/>
      <c r="H298" s="84"/>
      <c r="I298" s="84"/>
      <c r="J298" s="84"/>
      <c r="K298" s="84"/>
      <c r="L298" s="84"/>
      <c r="M298" s="85"/>
    </row>
    <row r="299" spans="1:13" ht="14.25">
      <c r="A299" s="82"/>
      <c r="B299" s="84"/>
      <c r="C299" s="84"/>
      <c r="D299" s="84"/>
      <c r="E299" s="84"/>
      <c r="F299" s="84"/>
      <c r="G299" s="84"/>
      <c r="H299" s="84"/>
      <c r="I299" s="84"/>
      <c r="J299" s="84"/>
      <c r="K299" s="84"/>
      <c r="L299" s="84"/>
      <c r="M299" s="85"/>
    </row>
    <row r="300" spans="1:13" ht="14.25">
      <c r="A300" s="82"/>
      <c r="B300" s="84"/>
      <c r="C300" s="84"/>
      <c r="D300" s="84"/>
      <c r="E300" s="84"/>
      <c r="F300" s="84"/>
      <c r="G300" s="84"/>
      <c r="H300" s="84"/>
      <c r="I300" s="84"/>
      <c r="J300" s="84"/>
      <c r="K300" s="84"/>
      <c r="L300" s="84"/>
      <c r="M300" s="85"/>
    </row>
    <row r="301" spans="1:13" ht="14.25">
      <c r="A301" s="82"/>
      <c r="B301" s="84"/>
      <c r="C301" s="84"/>
      <c r="D301" s="84"/>
      <c r="E301" s="84"/>
      <c r="F301" s="84"/>
      <c r="G301" s="84"/>
      <c r="H301" s="84"/>
      <c r="I301" s="84"/>
      <c r="J301" s="84"/>
      <c r="K301" s="84"/>
      <c r="L301" s="84"/>
      <c r="M301" s="85"/>
    </row>
    <row r="302" spans="1:13" ht="14.25">
      <c r="A302" s="82"/>
      <c r="B302" s="84"/>
      <c r="C302" s="84"/>
      <c r="D302" s="84"/>
      <c r="E302" s="84"/>
      <c r="F302" s="84"/>
      <c r="G302" s="84"/>
      <c r="H302" s="84"/>
      <c r="I302" s="84"/>
      <c r="J302" s="84"/>
      <c r="K302" s="84"/>
      <c r="L302" s="84"/>
      <c r="M302" s="85"/>
    </row>
    <row r="303" spans="1:13" ht="14.25">
      <c r="A303" s="82"/>
      <c r="B303" s="84"/>
      <c r="C303" s="84"/>
      <c r="D303" s="84"/>
      <c r="E303" s="84"/>
      <c r="F303" s="84"/>
      <c r="G303" s="84"/>
      <c r="H303" s="84"/>
      <c r="I303" s="84"/>
      <c r="J303" s="84"/>
      <c r="K303" s="84"/>
      <c r="L303" s="84"/>
      <c r="M303" s="85"/>
    </row>
    <row r="304" spans="1:13" ht="14.25">
      <c r="A304" s="82"/>
      <c r="B304" s="84"/>
      <c r="C304" s="84"/>
      <c r="D304" s="84"/>
      <c r="E304" s="84"/>
      <c r="F304" s="84"/>
      <c r="G304" s="84"/>
      <c r="H304" s="84"/>
      <c r="I304" s="84"/>
      <c r="J304" s="84"/>
      <c r="K304" s="84"/>
      <c r="L304" s="84"/>
      <c r="M304" s="85"/>
    </row>
    <row r="305" spans="1:13" ht="14.25">
      <c r="A305" s="82"/>
      <c r="B305" s="84"/>
      <c r="C305" s="84"/>
      <c r="D305" s="84"/>
      <c r="E305" s="84"/>
      <c r="F305" s="84"/>
      <c r="G305" s="84"/>
      <c r="H305" s="84"/>
      <c r="I305" s="84"/>
      <c r="J305" s="84"/>
      <c r="K305" s="84"/>
      <c r="L305" s="84"/>
      <c r="M305" s="85"/>
    </row>
    <row r="306" spans="1:13" ht="14.25">
      <c r="A306" s="82"/>
      <c r="B306" s="84"/>
      <c r="C306" s="84"/>
      <c r="D306" s="84"/>
      <c r="E306" s="84"/>
      <c r="F306" s="84"/>
      <c r="G306" s="84"/>
      <c r="H306" s="84"/>
      <c r="I306" s="84"/>
      <c r="J306" s="84"/>
      <c r="K306" s="84"/>
      <c r="L306" s="84"/>
      <c r="M306" s="85"/>
    </row>
    <row r="307" spans="1:13" ht="14.25">
      <c r="A307" s="82"/>
      <c r="B307" s="84"/>
      <c r="C307" s="84"/>
      <c r="D307" s="84"/>
      <c r="E307" s="84"/>
      <c r="F307" s="84"/>
      <c r="G307" s="84"/>
      <c r="H307" s="84"/>
      <c r="I307" s="84"/>
      <c r="J307" s="84"/>
      <c r="K307" s="84"/>
      <c r="L307" s="84"/>
      <c r="M307" s="85"/>
    </row>
    <row r="308" spans="1:13" ht="14.25">
      <c r="A308" s="82"/>
      <c r="B308" s="84"/>
      <c r="C308" s="84"/>
      <c r="D308" s="84"/>
      <c r="E308" s="84"/>
      <c r="F308" s="84"/>
      <c r="G308" s="84"/>
      <c r="H308" s="84"/>
      <c r="I308" s="84"/>
      <c r="J308" s="84"/>
      <c r="K308" s="84"/>
      <c r="L308" s="84"/>
      <c r="M308" s="85"/>
    </row>
    <row r="309" spans="1:13" ht="14.25">
      <c r="A309" s="82"/>
      <c r="B309" s="84"/>
      <c r="C309" s="84"/>
      <c r="D309" s="84"/>
      <c r="E309" s="84"/>
      <c r="F309" s="84"/>
      <c r="G309" s="84"/>
      <c r="H309" s="84"/>
      <c r="I309" s="84"/>
      <c r="J309" s="84"/>
      <c r="K309" s="84"/>
      <c r="L309" s="84"/>
      <c r="M309" s="85"/>
    </row>
    <row r="310" spans="1:13" ht="14.25">
      <c r="A310" s="82"/>
      <c r="B310" s="84"/>
      <c r="C310" s="84"/>
      <c r="D310" s="84"/>
      <c r="E310" s="84"/>
      <c r="F310" s="84"/>
      <c r="G310" s="84"/>
      <c r="H310" s="84"/>
      <c r="I310" s="84"/>
      <c r="J310" s="84"/>
      <c r="K310" s="84"/>
      <c r="L310" s="84"/>
      <c r="M310" s="85"/>
    </row>
    <row r="311" spans="1:13" ht="14.25">
      <c r="A311" s="82"/>
      <c r="B311" s="84"/>
      <c r="C311" s="84"/>
      <c r="D311" s="84"/>
      <c r="E311" s="84"/>
      <c r="F311" s="84"/>
      <c r="G311" s="84"/>
      <c r="H311" s="84"/>
      <c r="I311" s="84"/>
      <c r="J311" s="84"/>
      <c r="K311" s="84"/>
      <c r="L311" s="84"/>
      <c r="M311" s="85"/>
    </row>
    <row r="312" spans="1:13" ht="14.25">
      <c r="A312" s="82"/>
      <c r="B312" s="84"/>
      <c r="C312" s="84"/>
      <c r="D312" s="84"/>
      <c r="E312" s="84"/>
      <c r="F312" s="84"/>
      <c r="G312" s="84"/>
      <c r="H312" s="84"/>
      <c r="I312" s="84"/>
      <c r="J312" s="84"/>
      <c r="K312" s="84"/>
      <c r="L312" s="84"/>
      <c r="M312" s="85"/>
    </row>
    <row r="313" spans="1:13" ht="14.25">
      <c r="A313" s="82"/>
      <c r="B313" s="84"/>
      <c r="C313" s="84"/>
      <c r="D313" s="84"/>
      <c r="E313" s="84"/>
      <c r="F313" s="84"/>
      <c r="G313" s="84"/>
      <c r="H313" s="84"/>
      <c r="I313" s="84"/>
      <c r="J313" s="84"/>
      <c r="K313" s="84"/>
      <c r="L313" s="84"/>
      <c r="M313" s="85"/>
    </row>
    <row r="314" spans="1:13" ht="14.25">
      <c r="A314" s="82"/>
      <c r="B314" s="84"/>
      <c r="C314" s="84"/>
      <c r="D314" s="84"/>
      <c r="E314" s="84"/>
      <c r="F314" s="84"/>
      <c r="G314" s="84"/>
      <c r="H314" s="84"/>
      <c r="I314" s="84"/>
      <c r="J314" s="84"/>
      <c r="K314" s="84"/>
      <c r="L314" s="84"/>
      <c r="M314" s="85"/>
    </row>
    <row r="315" spans="1:13" ht="14.25">
      <c r="A315" s="82"/>
      <c r="B315" s="84"/>
      <c r="C315" s="84"/>
      <c r="D315" s="84"/>
      <c r="E315" s="84"/>
      <c r="F315" s="84"/>
      <c r="G315" s="84"/>
      <c r="H315" s="84"/>
      <c r="I315" s="84"/>
      <c r="J315" s="84"/>
      <c r="K315" s="84"/>
      <c r="L315" s="84"/>
      <c r="M315" s="85"/>
    </row>
    <row r="316" spans="1:13" ht="14.25">
      <c r="A316" s="82"/>
      <c r="B316" s="84"/>
      <c r="C316" s="84"/>
      <c r="D316" s="84"/>
      <c r="E316" s="84"/>
      <c r="F316" s="84"/>
      <c r="G316" s="84"/>
      <c r="H316" s="84"/>
      <c r="I316" s="84"/>
      <c r="J316" s="84"/>
      <c r="K316" s="84"/>
      <c r="L316" s="84"/>
      <c r="M316" s="85"/>
    </row>
    <row r="317" spans="1:13" ht="14.25">
      <c r="A317" s="82"/>
      <c r="B317" s="84"/>
      <c r="C317" s="84"/>
      <c r="D317" s="84"/>
      <c r="E317" s="84"/>
      <c r="F317" s="84"/>
      <c r="G317" s="84"/>
      <c r="H317" s="84"/>
      <c r="I317" s="84"/>
      <c r="J317" s="84"/>
      <c r="K317" s="84"/>
      <c r="L317" s="84"/>
      <c r="M317" s="85"/>
    </row>
    <row r="318" spans="1:13" ht="14.25">
      <c r="A318" s="82"/>
      <c r="B318" s="84"/>
      <c r="C318" s="84"/>
      <c r="D318" s="84"/>
      <c r="E318" s="84"/>
      <c r="F318" s="84"/>
      <c r="G318" s="84"/>
      <c r="H318" s="84"/>
      <c r="I318" s="84"/>
      <c r="J318" s="84"/>
      <c r="K318" s="84"/>
      <c r="L318" s="84"/>
      <c r="M318" s="85"/>
    </row>
    <row r="319" spans="1:13" ht="14.25">
      <c r="A319" s="82"/>
      <c r="B319" s="84"/>
      <c r="C319" s="84"/>
      <c r="D319" s="84"/>
      <c r="E319" s="84"/>
      <c r="F319" s="84"/>
      <c r="G319" s="84"/>
      <c r="H319" s="84"/>
      <c r="I319" s="84"/>
      <c r="J319" s="84"/>
      <c r="K319" s="84"/>
      <c r="L319" s="84"/>
      <c r="M319" s="85"/>
    </row>
    <row r="320" spans="1:13" ht="14.25">
      <c r="A320" s="82"/>
      <c r="B320" s="84"/>
      <c r="C320" s="84"/>
      <c r="D320" s="84"/>
      <c r="E320" s="84"/>
      <c r="F320" s="84"/>
      <c r="G320" s="84"/>
      <c r="H320" s="84"/>
      <c r="I320" s="84"/>
      <c r="J320" s="84"/>
      <c r="K320" s="84"/>
      <c r="L320" s="84"/>
      <c r="M320" s="85"/>
    </row>
    <row r="321" spans="1:13" ht="14.25">
      <c r="A321" s="82"/>
      <c r="B321" s="84"/>
      <c r="C321" s="84"/>
      <c r="D321" s="84"/>
      <c r="E321" s="84"/>
      <c r="F321" s="84"/>
      <c r="G321" s="84"/>
      <c r="H321" s="84"/>
      <c r="I321" s="84"/>
      <c r="J321" s="84"/>
      <c r="K321" s="84"/>
      <c r="L321" s="84"/>
      <c r="M321" s="85"/>
    </row>
    <row r="322" spans="1:13" ht="14.25">
      <c r="A322" s="82"/>
      <c r="B322" s="84"/>
      <c r="C322" s="84"/>
      <c r="D322" s="84"/>
      <c r="E322" s="84"/>
      <c r="F322" s="84"/>
      <c r="G322" s="84"/>
      <c r="H322" s="84"/>
      <c r="I322" s="84"/>
      <c r="J322" s="84"/>
      <c r="K322" s="84"/>
      <c r="L322" s="84"/>
      <c r="M322" s="85"/>
    </row>
    <row r="323" spans="1:13" ht="14.25">
      <c r="A323" s="82"/>
      <c r="B323" s="84"/>
      <c r="C323" s="84"/>
      <c r="D323" s="84"/>
      <c r="E323" s="84"/>
      <c r="F323" s="84"/>
      <c r="G323" s="84"/>
      <c r="H323" s="84"/>
      <c r="I323" s="84"/>
      <c r="J323" s="84"/>
      <c r="K323" s="84"/>
      <c r="L323" s="84"/>
      <c r="M323" s="85"/>
    </row>
    <row r="324" spans="1:13" ht="14.25">
      <c r="A324" s="82"/>
      <c r="B324" s="84"/>
      <c r="C324" s="84"/>
      <c r="D324" s="84"/>
      <c r="E324" s="84"/>
      <c r="F324" s="84"/>
      <c r="G324" s="84"/>
      <c r="H324" s="84"/>
      <c r="I324" s="84"/>
      <c r="J324" s="84"/>
      <c r="K324" s="84"/>
      <c r="L324" s="84"/>
      <c r="M324" s="85"/>
    </row>
    <row r="325" spans="1:13" ht="14.25">
      <c r="A325" s="82"/>
      <c r="B325" s="84"/>
      <c r="C325" s="84"/>
      <c r="D325" s="84"/>
      <c r="E325" s="84"/>
      <c r="F325" s="84"/>
      <c r="G325" s="84"/>
      <c r="H325" s="84"/>
      <c r="I325" s="84"/>
      <c r="J325" s="84"/>
      <c r="K325" s="84"/>
      <c r="L325" s="84"/>
      <c r="M325" s="85"/>
    </row>
    <row r="326" spans="1:13" ht="14.25">
      <c r="A326" s="82"/>
      <c r="B326" s="84"/>
      <c r="C326" s="84"/>
      <c r="D326" s="84"/>
      <c r="E326" s="84"/>
      <c r="F326" s="84"/>
      <c r="G326" s="84"/>
      <c r="H326" s="84"/>
      <c r="I326" s="84"/>
      <c r="J326" s="84"/>
      <c r="K326" s="84"/>
      <c r="L326" s="84"/>
      <c r="M326" s="85"/>
    </row>
    <row r="327" spans="1:13" ht="14.25">
      <c r="A327" s="82"/>
      <c r="B327" s="84"/>
      <c r="C327" s="84"/>
      <c r="D327" s="84"/>
      <c r="E327" s="84"/>
      <c r="F327" s="84"/>
      <c r="G327" s="84"/>
      <c r="H327" s="84"/>
      <c r="I327" s="84"/>
      <c r="J327" s="84"/>
      <c r="K327" s="84"/>
      <c r="L327" s="84"/>
      <c r="M327" s="85"/>
    </row>
    <row r="328" spans="1:13" ht="14.25">
      <c r="A328" s="82"/>
      <c r="B328" s="84"/>
      <c r="C328" s="84"/>
      <c r="D328" s="84"/>
      <c r="E328" s="84"/>
      <c r="F328" s="84"/>
      <c r="G328" s="84"/>
      <c r="H328" s="84"/>
      <c r="I328" s="84"/>
      <c r="J328" s="84"/>
      <c r="K328" s="84"/>
      <c r="L328" s="84"/>
      <c r="M328" s="85"/>
    </row>
    <row r="329" spans="1:13" ht="14.25">
      <c r="A329" s="82"/>
      <c r="B329" s="84"/>
      <c r="C329" s="84"/>
      <c r="D329" s="84"/>
      <c r="E329" s="84"/>
      <c r="F329" s="84"/>
      <c r="G329" s="84"/>
      <c r="H329" s="84"/>
      <c r="I329" s="84"/>
      <c r="J329" s="84"/>
      <c r="K329" s="84"/>
      <c r="L329" s="84"/>
      <c r="M329" s="85"/>
    </row>
    <row r="330" spans="1:13" ht="14.25">
      <c r="A330" s="82"/>
      <c r="B330" s="84"/>
      <c r="C330" s="84"/>
      <c r="D330" s="84"/>
      <c r="E330" s="84"/>
      <c r="F330" s="84"/>
      <c r="G330" s="84"/>
      <c r="H330" s="84"/>
      <c r="I330" s="84"/>
      <c r="J330" s="84"/>
      <c r="K330" s="84"/>
      <c r="L330" s="84"/>
      <c r="M330" s="85"/>
    </row>
    <row r="331" spans="1:13" ht="14.25">
      <c r="A331" s="82"/>
      <c r="B331" s="84"/>
      <c r="C331" s="84"/>
      <c r="D331" s="84"/>
      <c r="E331" s="84"/>
      <c r="F331" s="84"/>
      <c r="G331" s="84"/>
      <c r="H331" s="84"/>
      <c r="I331" s="84"/>
      <c r="J331" s="84"/>
      <c r="K331" s="84"/>
      <c r="L331" s="84"/>
      <c r="M331" s="85"/>
    </row>
    <row r="332" spans="1:13" ht="14.25">
      <c r="A332" s="82"/>
      <c r="B332" s="84"/>
      <c r="C332" s="84"/>
      <c r="D332" s="84"/>
      <c r="E332" s="84"/>
      <c r="F332" s="84"/>
      <c r="G332" s="84"/>
      <c r="H332" s="84"/>
      <c r="I332" s="84"/>
      <c r="J332" s="84"/>
      <c r="K332" s="84"/>
      <c r="L332" s="84"/>
      <c r="M332" s="85"/>
    </row>
    <row r="333" spans="1:13" ht="14.25">
      <c r="A333" s="82"/>
      <c r="B333" s="84"/>
      <c r="C333" s="84"/>
      <c r="D333" s="84"/>
      <c r="E333" s="84"/>
      <c r="F333" s="84"/>
      <c r="G333" s="84"/>
      <c r="H333" s="84"/>
      <c r="I333" s="84"/>
      <c r="J333" s="84"/>
      <c r="K333" s="84"/>
      <c r="L333" s="84"/>
      <c r="M333" s="85"/>
    </row>
    <row r="334" spans="1:13" ht="14.25">
      <c r="A334" s="82"/>
      <c r="B334" s="84"/>
      <c r="C334" s="84"/>
      <c r="D334" s="84"/>
      <c r="E334" s="84"/>
      <c r="F334" s="84"/>
      <c r="G334" s="84"/>
      <c r="H334" s="84"/>
      <c r="I334" s="84"/>
      <c r="J334" s="84"/>
      <c r="K334" s="84"/>
      <c r="L334" s="84"/>
      <c r="M334" s="85"/>
    </row>
    <row r="335" spans="1:13" ht="14.25">
      <c r="A335" s="82"/>
      <c r="B335" s="84"/>
      <c r="C335" s="84"/>
      <c r="D335" s="84"/>
      <c r="E335" s="84"/>
      <c r="F335" s="84"/>
      <c r="G335" s="84"/>
      <c r="H335" s="84"/>
      <c r="I335" s="84"/>
      <c r="J335" s="84"/>
      <c r="K335" s="84"/>
      <c r="L335" s="84"/>
      <c r="M335" s="85"/>
    </row>
    <row r="336" spans="1:13" ht="14.25">
      <c r="A336" s="82"/>
      <c r="B336" s="84"/>
      <c r="C336" s="84"/>
      <c r="D336" s="84"/>
      <c r="E336" s="84"/>
      <c r="F336" s="84"/>
      <c r="G336" s="84"/>
      <c r="H336" s="84"/>
      <c r="I336" s="84"/>
      <c r="J336" s="84"/>
      <c r="K336" s="84"/>
      <c r="L336" s="84"/>
      <c r="M336" s="85"/>
    </row>
    <row r="337" spans="1:13" ht="14.25">
      <c r="A337" s="82"/>
      <c r="B337" s="84"/>
      <c r="C337" s="84"/>
      <c r="D337" s="84"/>
      <c r="E337" s="84"/>
      <c r="F337" s="84"/>
      <c r="G337" s="84"/>
      <c r="H337" s="84"/>
      <c r="I337" s="84"/>
      <c r="J337" s="84"/>
      <c r="K337" s="84"/>
      <c r="L337" s="84"/>
      <c r="M337" s="85"/>
    </row>
    <row r="338" spans="1:13" ht="14.25">
      <c r="A338" s="82"/>
      <c r="B338" s="84"/>
      <c r="C338" s="84"/>
      <c r="D338" s="84"/>
      <c r="E338" s="84"/>
      <c r="F338" s="84"/>
      <c r="G338" s="84"/>
      <c r="H338" s="84"/>
      <c r="I338" s="84"/>
      <c r="J338" s="84"/>
      <c r="K338" s="84"/>
      <c r="L338" s="84"/>
      <c r="M338" s="85"/>
    </row>
    <row r="339" spans="1:13" ht="14.25">
      <c r="A339" s="82"/>
      <c r="B339" s="84"/>
      <c r="C339" s="84"/>
      <c r="D339" s="84"/>
      <c r="E339" s="84"/>
      <c r="F339" s="84"/>
      <c r="G339" s="84"/>
      <c r="H339" s="84"/>
      <c r="I339" s="84"/>
      <c r="J339" s="84"/>
      <c r="K339" s="84"/>
      <c r="L339" s="84"/>
      <c r="M339" s="85"/>
    </row>
    <row r="340" spans="1:13" ht="14.25">
      <c r="A340" s="82"/>
      <c r="B340" s="84"/>
      <c r="C340" s="84"/>
      <c r="D340" s="84"/>
      <c r="E340" s="84"/>
      <c r="F340" s="84"/>
      <c r="G340" s="84"/>
      <c r="H340" s="84"/>
      <c r="I340" s="84"/>
      <c r="J340" s="84"/>
      <c r="K340" s="84"/>
      <c r="L340" s="84"/>
      <c r="M340" s="85"/>
    </row>
    <row r="341" spans="1:13" ht="14.25">
      <c r="A341" s="82"/>
      <c r="B341" s="84"/>
      <c r="C341" s="84"/>
      <c r="D341" s="84"/>
      <c r="E341" s="84"/>
      <c r="F341" s="84"/>
      <c r="G341" s="84"/>
      <c r="H341" s="84"/>
      <c r="I341" s="84"/>
      <c r="J341" s="84"/>
      <c r="K341" s="84"/>
      <c r="L341" s="84"/>
      <c r="M341" s="85"/>
    </row>
    <row r="342" spans="1:13" ht="14.25">
      <c r="A342" s="82"/>
      <c r="B342" s="84"/>
      <c r="C342" s="84"/>
      <c r="D342" s="84"/>
      <c r="E342" s="84"/>
      <c r="F342" s="84"/>
      <c r="G342" s="84"/>
      <c r="H342" s="84"/>
      <c r="I342" s="84"/>
      <c r="J342" s="84"/>
      <c r="K342" s="84"/>
      <c r="L342" s="84"/>
      <c r="M342" s="85"/>
    </row>
    <row r="343" spans="1:13" ht="14.25">
      <c r="A343" s="82"/>
      <c r="B343" s="84"/>
      <c r="C343" s="84"/>
      <c r="D343" s="84"/>
      <c r="E343" s="84"/>
      <c r="F343" s="84"/>
      <c r="G343" s="84"/>
      <c r="H343" s="84"/>
      <c r="I343" s="84"/>
      <c r="J343" s="84"/>
      <c r="K343" s="84"/>
      <c r="L343" s="84"/>
      <c r="M343" s="85"/>
    </row>
    <row r="344" spans="1:13" ht="14.25">
      <c r="A344" s="82"/>
      <c r="B344" s="84"/>
      <c r="C344" s="84"/>
      <c r="D344" s="84"/>
      <c r="E344" s="84"/>
      <c r="F344" s="84"/>
      <c r="G344" s="84"/>
      <c r="H344" s="84"/>
      <c r="I344" s="84"/>
      <c r="J344" s="84"/>
      <c r="K344" s="84"/>
      <c r="L344" s="84"/>
      <c r="M344" s="85"/>
    </row>
    <row r="345" spans="1:13" ht="14.25">
      <c r="A345" s="82"/>
      <c r="B345" s="84"/>
      <c r="C345" s="84"/>
      <c r="D345" s="84"/>
      <c r="E345" s="84"/>
      <c r="F345" s="84"/>
      <c r="G345" s="84"/>
      <c r="H345" s="84"/>
      <c r="I345" s="84"/>
      <c r="J345" s="84"/>
      <c r="K345" s="84"/>
      <c r="L345" s="84"/>
      <c r="M345" s="85"/>
    </row>
    <row r="346" spans="1:13" ht="14.25">
      <c r="A346" s="82"/>
      <c r="B346" s="84"/>
      <c r="C346" s="84"/>
      <c r="D346" s="84"/>
      <c r="E346" s="84"/>
      <c r="F346" s="84"/>
      <c r="G346" s="84"/>
      <c r="H346" s="84"/>
      <c r="I346" s="84"/>
      <c r="J346" s="84"/>
      <c r="K346" s="84"/>
      <c r="L346" s="84"/>
      <c r="M346" s="85"/>
    </row>
    <row r="347" spans="1:13" ht="14.25">
      <c r="A347" s="82"/>
      <c r="B347" s="84"/>
      <c r="C347" s="84"/>
      <c r="D347" s="84"/>
      <c r="E347" s="84"/>
      <c r="F347" s="84"/>
      <c r="G347" s="84"/>
      <c r="H347" s="84"/>
      <c r="I347" s="84"/>
      <c r="J347" s="84"/>
      <c r="K347" s="84"/>
      <c r="L347" s="84"/>
      <c r="M347" s="85"/>
    </row>
    <row r="348" spans="1:13" ht="14.25">
      <c r="A348" s="82"/>
      <c r="B348" s="84"/>
      <c r="C348" s="84"/>
      <c r="D348" s="84"/>
      <c r="E348" s="84"/>
      <c r="F348" s="84"/>
      <c r="G348" s="84"/>
      <c r="H348" s="84"/>
      <c r="I348" s="84"/>
      <c r="J348" s="84"/>
      <c r="K348" s="84"/>
      <c r="L348" s="84"/>
      <c r="M348" s="85"/>
    </row>
    <row r="349" spans="1:13" ht="14.25">
      <c r="A349" s="82"/>
      <c r="B349" s="84"/>
      <c r="C349" s="84"/>
      <c r="D349" s="84"/>
      <c r="E349" s="84"/>
      <c r="F349" s="84"/>
      <c r="G349" s="84"/>
      <c r="H349" s="84"/>
      <c r="I349" s="84"/>
      <c r="J349" s="84"/>
      <c r="K349" s="84"/>
      <c r="L349" s="84"/>
      <c r="M349" s="85"/>
    </row>
    <row r="350" spans="1:13" ht="14.25">
      <c r="A350" s="82"/>
      <c r="B350" s="84"/>
      <c r="C350" s="84"/>
      <c r="D350" s="84"/>
      <c r="E350" s="84"/>
      <c r="F350" s="84"/>
      <c r="G350" s="84"/>
      <c r="H350" s="84"/>
      <c r="I350" s="84"/>
      <c r="J350" s="84"/>
      <c r="K350" s="84"/>
      <c r="L350" s="84"/>
      <c r="M350" s="85"/>
    </row>
    <row r="351" spans="1:13" ht="14.25">
      <c r="A351" s="82"/>
      <c r="B351" s="84"/>
      <c r="C351" s="84"/>
      <c r="D351" s="84"/>
      <c r="E351" s="84"/>
      <c r="F351" s="84"/>
      <c r="G351" s="84"/>
      <c r="H351" s="84"/>
      <c r="I351" s="84"/>
      <c r="J351" s="84"/>
      <c r="K351" s="84"/>
      <c r="L351" s="84"/>
      <c r="M351" s="85"/>
    </row>
    <row r="352" spans="1:13" ht="14.25">
      <c r="A352" s="82"/>
      <c r="B352" s="84"/>
      <c r="C352" s="84"/>
      <c r="D352" s="84"/>
      <c r="E352" s="84"/>
      <c r="F352" s="84"/>
      <c r="G352" s="84"/>
      <c r="H352" s="84"/>
      <c r="I352" s="84"/>
      <c r="J352" s="84"/>
      <c r="K352" s="84"/>
      <c r="L352" s="84"/>
      <c r="M352" s="85"/>
    </row>
    <row r="353" spans="1:13" ht="14.25">
      <c r="A353" s="82"/>
      <c r="B353" s="84"/>
      <c r="C353" s="84"/>
      <c r="D353" s="84"/>
      <c r="E353" s="84"/>
      <c r="F353" s="84"/>
      <c r="G353" s="84"/>
      <c r="H353" s="84"/>
      <c r="I353" s="84"/>
      <c r="J353" s="84"/>
      <c r="K353" s="84"/>
      <c r="L353" s="84"/>
      <c r="M353" s="85"/>
    </row>
    <row r="354" spans="1:13" ht="14.25">
      <c r="A354" s="82"/>
      <c r="B354" s="84"/>
      <c r="C354" s="84"/>
      <c r="D354" s="84"/>
      <c r="E354" s="84"/>
      <c r="F354" s="84"/>
      <c r="G354" s="84"/>
      <c r="H354" s="84"/>
      <c r="I354" s="84"/>
      <c r="J354" s="84"/>
      <c r="K354" s="84"/>
      <c r="L354" s="84"/>
      <c r="M354" s="85"/>
    </row>
    <row r="355" spans="1:13" ht="14.25">
      <c r="A355" s="82"/>
      <c r="B355" s="84"/>
      <c r="C355" s="84"/>
      <c r="D355" s="84"/>
      <c r="E355" s="84"/>
      <c r="F355" s="84"/>
      <c r="G355" s="84"/>
      <c r="H355" s="84"/>
      <c r="I355" s="84"/>
      <c r="J355" s="84"/>
      <c r="K355" s="84"/>
      <c r="L355" s="84"/>
      <c r="M355" s="85"/>
    </row>
    <row r="356" spans="1:13" ht="14.25">
      <c r="A356" s="82"/>
      <c r="B356" s="84"/>
      <c r="C356" s="84"/>
      <c r="D356" s="84"/>
      <c r="E356" s="84"/>
      <c r="F356" s="84"/>
      <c r="G356" s="84"/>
      <c r="H356" s="84"/>
      <c r="I356" s="84"/>
      <c r="J356" s="84"/>
      <c r="K356" s="84"/>
      <c r="L356" s="84"/>
      <c r="M356" s="85"/>
    </row>
    <row r="357" spans="1:13" ht="14.25">
      <c r="A357" s="82"/>
      <c r="B357" s="84"/>
      <c r="C357" s="84"/>
      <c r="D357" s="84"/>
      <c r="E357" s="84"/>
      <c r="F357" s="84"/>
      <c r="G357" s="84"/>
      <c r="H357" s="84"/>
      <c r="I357" s="84"/>
      <c r="J357" s="84"/>
      <c r="K357" s="84"/>
      <c r="L357" s="84"/>
      <c r="M357" s="85"/>
    </row>
    <row r="358" spans="1:13" ht="14.25">
      <c r="A358" s="82"/>
      <c r="B358" s="84"/>
      <c r="C358" s="84"/>
      <c r="D358" s="84"/>
      <c r="E358" s="84"/>
      <c r="F358" s="84"/>
      <c r="G358" s="84"/>
      <c r="H358" s="84"/>
      <c r="I358" s="84"/>
      <c r="J358" s="84"/>
      <c r="K358" s="84"/>
      <c r="L358" s="84"/>
      <c r="M358" s="85"/>
    </row>
    <row r="359" spans="1:13" ht="14.25">
      <c r="A359" s="82"/>
      <c r="B359" s="84"/>
      <c r="C359" s="84"/>
      <c r="D359" s="84"/>
      <c r="E359" s="84"/>
      <c r="F359" s="84"/>
      <c r="G359" s="84"/>
      <c r="H359" s="84"/>
      <c r="I359" s="84"/>
      <c r="J359" s="84"/>
      <c r="K359" s="84"/>
      <c r="L359" s="84"/>
      <c r="M359" s="85"/>
    </row>
    <row r="360" spans="1:13" ht="14.25">
      <c r="A360" s="82"/>
      <c r="B360" s="84"/>
      <c r="C360" s="84"/>
      <c r="D360" s="84"/>
      <c r="E360" s="84"/>
      <c r="F360" s="84"/>
      <c r="G360" s="84"/>
      <c r="H360" s="84"/>
      <c r="I360" s="84"/>
      <c r="J360" s="84"/>
      <c r="K360" s="84"/>
      <c r="L360" s="84"/>
      <c r="M360" s="85"/>
    </row>
    <row r="361" spans="1:13" ht="14.25">
      <c r="A361" s="82"/>
      <c r="B361" s="84"/>
      <c r="C361" s="84"/>
      <c r="D361" s="84"/>
      <c r="E361" s="84"/>
      <c r="F361" s="84"/>
      <c r="G361" s="84"/>
      <c r="H361" s="84"/>
      <c r="I361" s="84"/>
      <c r="J361" s="84"/>
      <c r="K361" s="84"/>
      <c r="L361" s="84"/>
      <c r="M361" s="85"/>
    </row>
    <row r="362" spans="1:13" ht="14.25">
      <c r="A362" s="82"/>
      <c r="B362" s="84"/>
      <c r="C362" s="84"/>
      <c r="D362" s="84"/>
      <c r="E362" s="84"/>
      <c r="F362" s="84"/>
      <c r="G362" s="84"/>
      <c r="H362" s="84"/>
      <c r="I362" s="84"/>
      <c r="J362" s="84"/>
      <c r="K362" s="84"/>
      <c r="L362" s="84"/>
      <c r="M362" s="85"/>
    </row>
    <row r="363" spans="1:13" ht="14.25">
      <c r="A363" s="82"/>
      <c r="B363" s="84"/>
      <c r="C363" s="84"/>
      <c r="D363" s="84"/>
      <c r="E363" s="84"/>
      <c r="F363" s="84"/>
      <c r="G363" s="84"/>
      <c r="H363" s="84"/>
      <c r="I363" s="84"/>
      <c r="J363" s="84"/>
      <c r="K363" s="84"/>
      <c r="L363" s="84"/>
      <c r="M363" s="85"/>
    </row>
    <row r="364" spans="1:13" ht="14.25">
      <c r="A364" s="82"/>
      <c r="B364" s="84"/>
      <c r="C364" s="84"/>
      <c r="D364" s="84"/>
      <c r="E364" s="84"/>
      <c r="F364" s="84"/>
      <c r="G364" s="84"/>
      <c r="H364" s="84"/>
      <c r="I364" s="84"/>
      <c r="J364" s="84"/>
      <c r="K364" s="84"/>
      <c r="L364" s="84"/>
      <c r="M364" s="85"/>
    </row>
    <row r="365" spans="1:13" ht="14.25">
      <c r="A365" s="82"/>
      <c r="B365" s="84"/>
      <c r="C365" s="84"/>
      <c r="D365" s="84"/>
      <c r="E365" s="84"/>
      <c r="F365" s="84"/>
      <c r="G365" s="84"/>
      <c r="H365" s="84"/>
      <c r="I365" s="84"/>
      <c r="J365" s="84"/>
      <c r="K365" s="84"/>
      <c r="L365" s="84"/>
      <c r="M365" s="85"/>
    </row>
    <row r="366" spans="1:13" ht="14.25">
      <c r="A366" s="82"/>
      <c r="B366" s="84"/>
      <c r="C366" s="84"/>
      <c r="D366" s="84"/>
      <c r="E366" s="84"/>
      <c r="F366" s="84"/>
      <c r="G366" s="84"/>
      <c r="H366" s="84"/>
      <c r="I366" s="84"/>
      <c r="J366" s="84"/>
      <c r="K366" s="84"/>
      <c r="L366" s="84"/>
      <c r="M366" s="85"/>
    </row>
    <row r="367" spans="1:13" ht="14.25">
      <c r="A367" s="82"/>
      <c r="B367" s="84"/>
      <c r="C367" s="84"/>
      <c r="D367" s="84"/>
      <c r="E367" s="84"/>
      <c r="F367" s="84"/>
      <c r="G367" s="84"/>
      <c r="H367" s="84"/>
      <c r="I367" s="84"/>
      <c r="J367" s="84"/>
      <c r="K367" s="84"/>
      <c r="L367" s="84"/>
      <c r="M367" s="85"/>
    </row>
    <row r="368" spans="1:13" ht="14.25">
      <c r="A368" s="82"/>
      <c r="B368" s="84"/>
      <c r="C368" s="84"/>
      <c r="D368" s="84"/>
      <c r="E368" s="84"/>
      <c r="F368" s="84"/>
      <c r="G368" s="84"/>
      <c r="H368" s="84"/>
      <c r="I368" s="84"/>
      <c r="J368" s="84"/>
      <c r="K368" s="84"/>
      <c r="L368" s="84"/>
      <c r="M368" s="85"/>
    </row>
    <row r="369" spans="1:13" ht="14.25">
      <c r="A369" s="82"/>
      <c r="B369" s="84"/>
      <c r="C369" s="84"/>
      <c r="D369" s="84"/>
      <c r="E369" s="84"/>
      <c r="F369" s="84"/>
      <c r="G369" s="84"/>
      <c r="H369" s="84"/>
      <c r="I369" s="84"/>
      <c r="J369" s="84"/>
      <c r="K369" s="84"/>
      <c r="L369" s="84"/>
      <c r="M369" s="85"/>
    </row>
    <row r="370" spans="1:13" ht="14.25">
      <c r="A370" s="82"/>
      <c r="B370" s="84"/>
      <c r="C370" s="84"/>
      <c r="D370" s="84"/>
      <c r="E370" s="84"/>
      <c r="F370" s="84"/>
      <c r="G370" s="84"/>
      <c r="H370" s="84"/>
      <c r="I370" s="84"/>
      <c r="J370" s="84"/>
      <c r="K370" s="84"/>
      <c r="L370" s="84"/>
      <c r="M370" s="85"/>
    </row>
    <row r="371" spans="1:13" ht="14.25">
      <c r="A371" s="82"/>
      <c r="B371" s="84"/>
      <c r="C371" s="84"/>
      <c r="D371" s="84"/>
      <c r="E371" s="84"/>
      <c r="F371" s="84"/>
      <c r="G371" s="84"/>
      <c r="H371" s="84"/>
      <c r="I371" s="84"/>
      <c r="J371" s="84"/>
      <c r="K371" s="84"/>
      <c r="L371" s="84"/>
      <c r="M371" s="85"/>
    </row>
    <row r="372" spans="1:13" ht="14.25">
      <c r="A372" s="82"/>
      <c r="B372" s="84"/>
      <c r="C372" s="84"/>
      <c r="D372" s="84"/>
      <c r="E372" s="84"/>
      <c r="F372" s="84"/>
      <c r="G372" s="84"/>
      <c r="H372" s="84"/>
      <c r="I372" s="84"/>
      <c r="J372" s="84"/>
      <c r="K372" s="84"/>
      <c r="L372" s="84"/>
      <c r="M372" s="85"/>
    </row>
    <row r="373" spans="1:13" ht="14.25">
      <c r="A373" s="82"/>
      <c r="B373" s="84"/>
      <c r="C373" s="84"/>
      <c r="D373" s="84"/>
      <c r="E373" s="84"/>
      <c r="F373" s="84"/>
      <c r="G373" s="84"/>
      <c r="H373" s="84"/>
      <c r="I373" s="84"/>
      <c r="J373" s="84"/>
      <c r="K373" s="84"/>
      <c r="L373" s="84"/>
      <c r="M373" s="85"/>
    </row>
    <row r="374" spans="1:13" ht="14.25">
      <c r="A374" s="82"/>
      <c r="B374" s="84"/>
      <c r="C374" s="84"/>
      <c r="D374" s="84"/>
      <c r="E374" s="84"/>
      <c r="F374" s="84"/>
      <c r="G374" s="84"/>
      <c r="H374" s="84"/>
      <c r="I374" s="84"/>
      <c r="J374" s="84"/>
      <c r="K374" s="84"/>
      <c r="L374" s="84"/>
      <c r="M374" s="85"/>
    </row>
    <row r="375" spans="1:13" ht="14.25">
      <c r="A375" s="82"/>
      <c r="B375" s="84"/>
      <c r="C375" s="84"/>
      <c r="D375" s="84"/>
      <c r="E375" s="84"/>
      <c r="F375" s="84"/>
      <c r="G375" s="84"/>
      <c r="H375" s="84"/>
      <c r="I375" s="84"/>
      <c r="J375" s="84"/>
      <c r="K375" s="84"/>
      <c r="L375" s="84"/>
      <c r="M375" s="85"/>
    </row>
    <row r="376" spans="1:13" ht="14.25">
      <c r="A376" s="82"/>
      <c r="B376" s="84"/>
      <c r="C376" s="84"/>
      <c r="D376" s="84"/>
      <c r="E376" s="84"/>
      <c r="F376" s="84"/>
      <c r="G376" s="84"/>
      <c r="H376" s="84"/>
      <c r="I376" s="84"/>
      <c r="J376" s="84"/>
      <c r="K376" s="84"/>
      <c r="L376" s="84"/>
      <c r="M376" s="85"/>
    </row>
    <row r="377" spans="1:13" ht="14.25">
      <c r="A377" s="82"/>
      <c r="B377" s="84"/>
      <c r="C377" s="84"/>
      <c r="D377" s="84"/>
      <c r="E377" s="84"/>
      <c r="F377" s="84"/>
      <c r="G377" s="84"/>
      <c r="H377" s="84"/>
      <c r="I377" s="84"/>
      <c r="J377" s="84"/>
      <c r="K377" s="84"/>
      <c r="L377" s="84"/>
      <c r="M377" s="85"/>
    </row>
    <row r="378" spans="1:13" ht="14.25">
      <c r="A378" s="82"/>
      <c r="B378" s="84"/>
      <c r="C378" s="84"/>
      <c r="D378" s="84"/>
      <c r="E378" s="84"/>
      <c r="F378" s="84"/>
      <c r="G378" s="84"/>
      <c r="H378" s="84"/>
      <c r="I378" s="84"/>
      <c r="J378" s="84"/>
      <c r="K378" s="84"/>
      <c r="L378" s="84"/>
      <c r="M378" s="85"/>
    </row>
    <row r="379" spans="1:13" ht="14.25">
      <c r="A379" s="82"/>
      <c r="B379" s="84"/>
      <c r="C379" s="84"/>
      <c r="D379" s="84"/>
      <c r="E379" s="84"/>
      <c r="F379" s="84"/>
      <c r="G379" s="84"/>
      <c r="H379" s="84"/>
      <c r="I379" s="84"/>
      <c r="J379" s="84"/>
      <c r="K379" s="84"/>
      <c r="L379" s="84"/>
      <c r="M379" s="85"/>
    </row>
    <row r="380" spans="1:13" ht="14.25">
      <c r="A380" s="82"/>
      <c r="B380" s="84"/>
      <c r="C380" s="84"/>
      <c r="D380" s="84"/>
      <c r="E380" s="84"/>
      <c r="F380" s="84"/>
      <c r="G380" s="84"/>
      <c r="H380" s="84"/>
      <c r="I380" s="84"/>
      <c r="J380" s="84"/>
      <c r="K380" s="84"/>
      <c r="L380" s="84"/>
      <c r="M380" s="85"/>
    </row>
    <row r="381" spans="1:13" ht="14.25">
      <c r="A381" s="82"/>
      <c r="B381" s="84"/>
      <c r="C381" s="84"/>
      <c r="D381" s="84"/>
      <c r="E381" s="84"/>
      <c r="F381" s="84"/>
      <c r="G381" s="84"/>
      <c r="H381" s="84"/>
      <c r="I381" s="84"/>
      <c r="J381" s="84"/>
      <c r="K381" s="84"/>
      <c r="L381" s="84"/>
      <c r="M381" s="85"/>
    </row>
    <row r="382" spans="1:13" ht="14.25">
      <c r="A382" s="82"/>
      <c r="B382" s="84"/>
      <c r="C382" s="84"/>
      <c r="D382" s="84"/>
      <c r="E382" s="84"/>
      <c r="F382" s="84"/>
      <c r="G382" s="84"/>
      <c r="H382" s="84"/>
      <c r="I382" s="84"/>
      <c r="J382" s="84"/>
      <c r="K382" s="84"/>
      <c r="L382" s="84"/>
      <c r="M382" s="85"/>
    </row>
    <row r="383" spans="1:13" ht="14.25">
      <c r="A383" s="82"/>
      <c r="B383" s="84"/>
      <c r="C383" s="84"/>
      <c r="D383" s="84"/>
      <c r="E383" s="84"/>
      <c r="F383" s="84"/>
      <c r="G383" s="84"/>
      <c r="H383" s="84"/>
      <c r="I383" s="84"/>
      <c r="J383" s="84"/>
      <c r="K383" s="84"/>
      <c r="L383" s="84"/>
      <c r="M383" s="85"/>
    </row>
    <row r="384" spans="1:13" ht="14.25">
      <c r="A384" s="82"/>
      <c r="B384" s="84"/>
      <c r="C384" s="84"/>
      <c r="D384" s="84"/>
      <c r="E384" s="84"/>
      <c r="F384" s="84"/>
      <c r="G384" s="84"/>
      <c r="H384" s="84"/>
      <c r="I384" s="84"/>
      <c r="J384" s="84"/>
      <c r="K384" s="84"/>
      <c r="L384" s="84"/>
      <c r="M384" s="85"/>
    </row>
    <row r="385" spans="1:13" ht="14.25">
      <c r="A385" s="82"/>
      <c r="B385" s="84"/>
      <c r="C385" s="84"/>
      <c r="D385" s="84"/>
      <c r="E385" s="84"/>
      <c r="F385" s="84"/>
      <c r="G385" s="84"/>
      <c r="H385" s="84"/>
      <c r="I385" s="84"/>
      <c r="J385" s="84"/>
      <c r="K385" s="84"/>
      <c r="L385" s="84"/>
      <c r="M385" s="85"/>
    </row>
    <row r="386" spans="1:13" ht="14.25">
      <c r="A386" s="82"/>
      <c r="B386" s="84"/>
      <c r="C386" s="84"/>
      <c r="D386" s="84"/>
      <c r="E386" s="84"/>
      <c r="F386" s="84"/>
      <c r="G386" s="84"/>
      <c r="H386" s="84"/>
      <c r="I386" s="84"/>
      <c r="J386" s="84"/>
      <c r="K386" s="84"/>
      <c r="L386" s="84"/>
      <c r="M386" s="85"/>
    </row>
    <row r="387" spans="1:13" ht="14.25">
      <c r="A387" s="82"/>
      <c r="B387" s="84"/>
      <c r="C387" s="84"/>
      <c r="D387" s="84"/>
      <c r="E387" s="84"/>
      <c r="F387" s="84"/>
      <c r="G387" s="84"/>
      <c r="H387" s="84"/>
      <c r="I387" s="84"/>
      <c r="J387" s="84"/>
      <c r="K387" s="84"/>
      <c r="L387" s="84"/>
      <c r="M387" s="85"/>
    </row>
    <row r="388" spans="1:13" ht="14.25">
      <c r="A388" s="82"/>
      <c r="B388" s="84"/>
      <c r="C388" s="84"/>
      <c r="D388" s="84"/>
      <c r="E388" s="84"/>
      <c r="F388" s="84"/>
      <c r="G388" s="84"/>
      <c r="H388" s="84"/>
      <c r="I388" s="84"/>
      <c r="J388" s="84"/>
      <c r="K388" s="84"/>
      <c r="L388" s="84"/>
      <c r="M388" s="85"/>
    </row>
    <row r="389" spans="1:13" ht="14.25">
      <c r="A389" s="82"/>
      <c r="B389" s="84"/>
      <c r="C389" s="84"/>
      <c r="D389" s="84"/>
      <c r="E389" s="84"/>
      <c r="F389" s="84"/>
      <c r="G389" s="84"/>
      <c r="H389" s="84"/>
      <c r="I389" s="84"/>
      <c r="J389" s="84"/>
      <c r="K389" s="84"/>
      <c r="L389" s="84"/>
      <c r="M389" s="85"/>
    </row>
    <row r="390" spans="1:13" ht="14.25">
      <c r="A390" s="82"/>
      <c r="B390" s="84"/>
      <c r="C390" s="84"/>
      <c r="D390" s="84"/>
      <c r="E390" s="84"/>
      <c r="F390" s="84"/>
      <c r="G390" s="84"/>
      <c r="H390" s="84"/>
      <c r="I390" s="84"/>
      <c r="J390" s="84"/>
      <c r="K390" s="84"/>
      <c r="L390" s="84"/>
      <c r="M390" s="85"/>
    </row>
    <row r="391" spans="1:13" ht="14.25">
      <c r="A391" s="82"/>
      <c r="B391" s="84"/>
      <c r="C391" s="84"/>
      <c r="D391" s="84"/>
      <c r="E391" s="84"/>
      <c r="F391" s="84"/>
      <c r="G391" s="84"/>
      <c r="H391" s="84"/>
      <c r="I391" s="84"/>
      <c r="J391" s="84"/>
      <c r="K391" s="84"/>
      <c r="L391" s="84"/>
      <c r="M391" s="85"/>
    </row>
    <row r="392" spans="1:13" ht="14.25">
      <c r="A392" s="82"/>
      <c r="B392" s="84"/>
      <c r="C392" s="84"/>
      <c r="D392" s="84"/>
      <c r="E392" s="84"/>
      <c r="F392" s="84"/>
      <c r="G392" s="84"/>
      <c r="H392" s="84"/>
      <c r="I392" s="84"/>
      <c r="J392" s="84"/>
      <c r="K392" s="84"/>
      <c r="L392" s="84"/>
      <c r="M392" s="85"/>
    </row>
    <row r="393" spans="1:13" ht="14.25">
      <c r="A393" s="82"/>
      <c r="B393" s="84"/>
      <c r="C393" s="84"/>
      <c r="D393" s="84"/>
      <c r="E393" s="84"/>
      <c r="F393" s="84"/>
      <c r="G393" s="84"/>
      <c r="H393" s="84"/>
      <c r="I393" s="84"/>
      <c r="J393" s="84"/>
      <c r="K393" s="84"/>
      <c r="L393" s="84"/>
      <c r="M393" s="85"/>
    </row>
    <row r="394" spans="1:13" ht="14.25">
      <c r="A394" s="82"/>
      <c r="B394" s="84"/>
      <c r="C394" s="84"/>
      <c r="D394" s="84"/>
      <c r="E394" s="84"/>
      <c r="F394" s="84"/>
      <c r="G394" s="84"/>
      <c r="H394" s="84"/>
      <c r="I394" s="84"/>
      <c r="J394" s="84"/>
      <c r="K394" s="84"/>
      <c r="L394" s="84"/>
      <c r="M394" s="85"/>
    </row>
    <row r="395" spans="1:13" ht="14.25">
      <c r="A395" s="82"/>
      <c r="B395" s="84"/>
      <c r="C395" s="84"/>
      <c r="D395" s="84"/>
      <c r="E395" s="84"/>
      <c r="F395" s="84"/>
      <c r="G395" s="84"/>
      <c r="H395" s="84"/>
      <c r="I395" s="84"/>
      <c r="J395" s="84"/>
      <c r="K395" s="84"/>
      <c r="L395" s="84"/>
      <c r="M395" s="85"/>
    </row>
    <row r="396" spans="1:13" ht="14.25">
      <c r="A396" s="82"/>
      <c r="B396" s="84"/>
      <c r="C396" s="84"/>
      <c r="D396" s="84"/>
      <c r="E396" s="84"/>
      <c r="F396" s="84"/>
      <c r="G396" s="84"/>
      <c r="H396" s="84"/>
      <c r="I396" s="84"/>
      <c r="J396" s="84"/>
      <c r="K396" s="84"/>
      <c r="L396" s="84"/>
      <c r="M396" s="85"/>
    </row>
    <row r="397" spans="1:13" ht="14.25">
      <c r="A397" s="82"/>
      <c r="B397" s="84"/>
      <c r="C397" s="84"/>
      <c r="D397" s="84"/>
      <c r="E397" s="84"/>
      <c r="F397" s="84"/>
      <c r="G397" s="84"/>
      <c r="H397" s="84"/>
      <c r="I397" s="84"/>
      <c r="J397" s="84"/>
      <c r="K397" s="84"/>
      <c r="L397" s="84"/>
      <c r="M397" s="85"/>
    </row>
    <row r="398" spans="1:13" ht="14.25">
      <c r="A398" s="82"/>
      <c r="B398" s="84"/>
      <c r="C398" s="84"/>
      <c r="D398" s="84"/>
      <c r="E398" s="84"/>
      <c r="F398" s="84"/>
      <c r="G398" s="84"/>
      <c r="H398" s="84"/>
      <c r="I398" s="84"/>
      <c r="J398" s="84"/>
      <c r="K398" s="84"/>
      <c r="L398" s="84"/>
      <c r="M398" s="85"/>
    </row>
    <row r="399" spans="1:13" ht="14.25">
      <c r="A399" s="82"/>
      <c r="B399" s="84"/>
      <c r="C399" s="84"/>
      <c r="D399" s="84"/>
      <c r="E399" s="84"/>
      <c r="F399" s="84"/>
      <c r="G399" s="84"/>
      <c r="H399" s="84"/>
      <c r="I399" s="84"/>
      <c r="J399" s="84"/>
      <c r="K399" s="84"/>
      <c r="L399" s="84"/>
      <c r="M399" s="85"/>
    </row>
    <row r="400" spans="1:13" ht="14.25">
      <c r="A400" s="82"/>
      <c r="B400" s="84"/>
      <c r="C400" s="84"/>
      <c r="D400" s="84"/>
      <c r="E400" s="84"/>
      <c r="F400" s="84"/>
      <c r="G400" s="84"/>
      <c r="H400" s="84"/>
      <c r="I400" s="84"/>
      <c r="J400" s="84"/>
      <c r="K400" s="84"/>
      <c r="L400" s="84"/>
      <c r="M400" s="85"/>
    </row>
    <row r="401" spans="1:13" ht="14.25">
      <c r="A401" s="82"/>
      <c r="B401" s="84"/>
      <c r="C401" s="84"/>
      <c r="D401" s="84"/>
      <c r="E401" s="84"/>
      <c r="F401" s="84"/>
      <c r="G401" s="84"/>
      <c r="H401" s="84"/>
      <c r="I401" s="84"/>
      <c r="J401" s="84"/>
      <c r="K401" s="84"/>
      <c r="L401" s="84"/>
      <c r="M401" s="85"/>
    </row>
    <row r="402" spans="1:13" ht="14.25">
      <c r="A402" s="82"/>
      <c r="B402" s="84"/>
      <c r="C402" s="84"/>
      <c r="D402" s="84"/>
      <c r="E402" s="84"/>
      <c r="F402" s="84"/>
      <c r="G402" s="84"/>
      <c r="H402" s="84"/>
      <c r="I402" s="84"/>
      <c r="J402" s="84"/>
      <c r="K402" s="84"/>
      <c r="L402" s="84"/>
      <c r="M402" s="85"/>
    </row>
    <row r="403" spans="1:13" ht="14.25">
      <c r="A403" s="82"/>
      <c r="B403" s="84"/>
      <c r="C403" s="84"/>
      <c r="D403" s="84"/>
      <c r="E403" s="84"/>
      <c r="F403" s="84"/>
      <c r="G403" s="84"/>
      <c r="H403" s="84"/>
      <c r="I403" s="84"/>
      <c r="J403" s="84"/>
      <c r="K403" s="84"/>
      <c r="L403" s="84"/>
      <c r="M403" s="85"/>
    </row>
    <row r="404" spans="1:13" ht="14.25">
      <c r="A404" s="82"/>
      <c r="B404" s="84"/>
      <c r="C404" s="84"/>
      <c r="D404" s="84"/>
      <c r="E404" s="84"/>
      <c r="F404" s="84"/>
      <c r="G404" s="84"/>
      <c r="H404" s="84"/>
      <c r="I404" s="84"/>
      <c r="J404" s="84"/>
      <c r="K404" s="84"/>
      <c r="L404" s="84"/>
      <c r="M404" s="85"/>
    </row>
    <row r="405" spans="1:13" ht="14.25">
      <c r="A405" s="82"/>
      <c r="B405" s="84"/>
      <c r="C405" s="84"/>
      <c r="D405" s="84"/>
      <c r="E405" s="84"/>
      <c r="F405" s="84"/>
      <c r="G405" s="84"/>
      <c r="H405" s="84"/>
      <c r="I405" s="84"/>
      <c r="J405" s="84"/>
      <c r="K405" s="84"/>
      <c r="L405" s="84"/>
      <c r="M405" s="85"/>
    </row>
    <row r="406" spans="1:13" ht="14.25">
      <c r="A406" s="82"/>
      <c r="B406" s="84"/>
      <c r="C406" s="84"/>
      <c r="D406" s="84"/>
      <c r="E406" s="84"/>
      <c r="F406" s="84"/>
      <c r="G406" s="84"/>
      <c r="H406" s="84"/>
      <c r="I406" s="84"/>
      <c r="J406" s="84"/>
      <c r="K406" s="84"/>
      <c r="L406" s="84"/>
      <c r="M406" s="85"/>
    </row>
    <row r="407" spans="1:13" ht="14.25">
      <c r="A407" s="82"/>
      <c r="B407" s="84"/>
      <c r="C407" s="84"/>
      <c r="D407" s="84"/>
      <c r="E407" s="84"/>
      <c r="F407" s="84"/>
      <c r="G407" s="84"/>
      <c r="H407" s="84"/>
      <c r="I407" s="84"/>
      <c r="J407" s="84"/>
      <c r="K407" s="84"/>
      <c r="L407" s="84"/>
      <c r="M407" s="85"/>
    </row>
    <row r="408" spans="1:13" ht="14.25">
      <c r="A408" s="82"/>
      <c r="B408" s="84"/>
      <c r="C408" s="84"/>
      <c r="D408" s="84"/>
      <c r="E408" s="84"/>
      <c r="F408" s="84"/>
      <c r="G408" s="84"/>
      <c r="H408" s="84"/>
      <c r="I408" s="84"/>
      <c r="J408" s="84"/>
      <c r="K408" s="84"/>
      <c r="L408" s="84"/>
      <c r="M408" s="85"/>
    </row>
    <row r="409" spans="1:13" ht="14.25">
      <c r="A409" s="82"/>
      <c r="B409" s="84"/>
      <c r="C409" s="84"/>
      <c r="D409" s="84"/>
      <c r="E409" s="84"/>
      <c r="F409" s="84"/>
      <c r="G409" s="84"/>
      <c r="H409" s="84"/>
      <c r="I409" s="84"/>
      <c r="J409" s="84"/>
      <c r="K409" s="84"/>
      <c r="L409" s="84"/>
      <c r="M409" s="85"/>
    </row>
    <row r="410" spans="1:13" ht="14.25">
      <c r="A410" s="82"/>
      <c r="B410" s="84"/>
      <c r="C410" s="84"/>
      <c r="D410" s="84"/>
      <c r="E410" s="84"/>
      <c r="F410" s="84"/>
      <c r="G410" s="84"/>
      <c r="H410" s="84"/>
      <c r="I410" s="84"/>
      <c r="J410" s="84"/>
      <c r="K410" s="84"/>
      <c r="L410" s="84"/>
      <c r="M410" s="85"/>
    </row>
    <row r="411" spans="1:13" ht="14.25">
      <c r="A411" s="82"/>
      <c r="B411" s="84"/>
      <c r="C411" s="84"/>
      <c r="D411" s="84"/>
      <c r="E411" s="84"/>
      <c r="F411" s="84"/>
      <c r="G411" s="84"/>
      <c r="H411" s="84"/>
      <c r="I411" s="84"/>
      <c r="J411" s="84"/>
      <c r="K411" s="84"/>
      <c r="L411" s="84"/>
      <c r="M411" s="85"/>
    </row>
    <row r="412" spans="1:13" ht="14.25">
      <c r="A412" s="82"/>
      <c r="B412" s="84"/>
      <c r="C412" s="84"/>
      <c r="D412" s="84"/>
      <c r="E412" s="84"/>
      <c r="F412" s="84"/>
      <c r="G412" s="84"/>
      <c r="H412" s="84"/>
      <c r="I412" s="84"/>
      <c r="J412" s="84"/>
      <c r="K412" s="84"/>
      <c r="L412" s="84"/>
      <c r="M412" s="85"/>
    </row>
    <row r="413" spans="1:13" ht="14.25">
      <c r="A413" s="82"/>
      <c r="B413" s="84"/>
      <c r="C413" s="84"/>
      <c r="D413" s="84"/>
      <c r="E413" s="84"/>
      <c r="F413" s="84"/>
      <c r="G413" s="84"/>
      <c r="H413" s="84"/>
      <c r="I413" s="84"/>
      <c r="J413" s="84"/>
      <c r="K413" s="84"/>
      <c r="L413" s="84"/>
      <c r="M413" s="85"/>
    </row>
    <row r="414" spans="1:13" ht="14.25">
      <c r="A414" s="82"/>
      <c r="B414" s="84"/>
      <c r="C414" s="84"/>
      <c r="D414" s="84"/>
      <c r="E414" s="84"/>
      <c r="F414" s="84"/>
      <c r="G414" s="84"/>
      <c r="H414" s="84"/>
      <c r="I414" s="84"/>
      <c r="J414" s="84"/>
      <c r="K414" s="84"/>
      <c r="L414" s="84"/>
      <c r="M414" s="85"/>
    </row>
    <row r="415" spans="1:13" ht="14.25">
      <c r="A415" s="82"/>
      <c r="B415" s="84"/>
      <c r="C415" s="84"/>
      <c r="D415" s="84"/>
      <c r="E415" s="84"/>
      <c r="F415" s="84"/>
      <c r="G415" s="84"/>
      <c r="H415" s="84"/>
      <c r="I415" s="84"/>
      <c r="J415" s="84"/>
      <c r="K415" s="84"/>
      <c r="L415" s="84"/>
      <c r="M415" s="85"/>
    </row>
    <row r="416" spans="1:13" ht="14.25">
      <c r="A416" s="82"/>
      <c r="B416" s="84"/>
      <c r="C416" s="84"/>
      <c r="D416" s="84"/>
      <c r="E416" s="84"/>
      <c r="F416" s="84"/>
      <c r="G416" s="84"/>
      <c r="H416" s="84"/>
      <c r="I416" s="84"/>
      <c r="J416" s="84"/>
      <c r="K416" s="84"/>
      <c r="L416" s="84"/>
      <c r="M416" s="85"/>
    </row>
    <row r="417" spans="1:13" ht="14.25">
      <c r="A417" s="82"/>
      <c r="B417" s="84"/>
      <c r="C417" s="84"/>
      <c r="D417" s="84"/>
      <c r="E417" s="84"/>
      <c r="F417" s="84"/>
      <c r="G417" s="84"/>
      <c r="H417" s="84"/>
      <c r="I417" s="84"/>
      <c r="J417" s="84"/>
      <c r="K417" s="84"/>
      <c r="L417" s="84"/>
      <c r="M417" s="85"/>
    </row>
    <row r="418" spans="1:13" ht="14.25">
      <c r="A418" s="82"/>
      <c r="B418" s="84"/>
      <c r="C418" s="84"/>
      <c r="D418" s="84"/>
      <c r="E418" s="84"/>
      <c r="F418" s="84"/>
      <c r="G418" s="84"/>
      <c r="H418" s="84"/>
      <c r="I418" s="84"/>
      <c r="J418" s="84"/>
      <c r="K418" s="84"/>
      <c r="L418" s="84"/>
      <c r="M418" s="85"/>
    </row>
    <row r="419" spans="1:13" ht="14.25">
      <c r="A419" s="82"/>
      <c r="B419" s="84"/>
      <c r="C419" s="84"/>
      <c r="D419" s="84"/>
      <c r="E419" s="84"/>
      <c r="F419" s="84"/>
      <c r="G419" s="84"/>
      <c r="H419" s="84"/>
      <c r="I419" s="84"/>
      <c r="J419" s="84"/>
      <c r="K419" s="84"/>
      <c r="L419" s="84"/>
      <c r="M419" s="85"/>
    </row>
    <row r="420" spans="1:13" ht="14.25">
      <c r="A420" s="82"/>
      <c r="B420" s="84"/>
      <c r="C420" s="84"/>
      <c r="D420" s="84"/>
      <c r="E420" s="84"/>
      <c r="F420" s="84"/>
      <c r="G420" s="84"/>
      <c r="H420" s="84"/>
      <c r="I420" s="84"/>
      <c r="J420" s="84"/>
      <c r="K420" s="84"/>
      <c r="L420" s="84"/>
      <c r="M420" s="85"/>
    </row>
    <row r="421" spans="1:13" ht="14.25">
      <c r="A421" s="82"/>
      <c r="B421" s="84"/>
      <c r="C421" s="84"/>
      <c r="D421" s="84"/>
      <c r="E421" s="84"/>
      <c r="F421" s="84"/>
      <c r="G421" s="84"/>
      <c r="H421" s="84"/>
      <c r="I421" s="84"/>
      <c r="J421" s="84"/>
      <c r="K421" s="84"/>
      <c r="L421" s="84"/>
      <c r="M421" s="85"/>
    </row>
    <row r="422" spans="1:13" ht="14.25">
      <c r="A422" s="82"/>
      <c r="B422" s="84"/>
      <c r="C422" s="84"/>
      <c r="D422" s="84"/>
      <c r="E422" s="84"/>
      <c r="F422" s="84"/>
      <c r="G422" s="84"/>
      <c r="H422" s="84"/>
      <c r="I422" s="84"/>
      <c r="J422" s="84"/>
      <c r="K422" s="84"/>
      <c r="L422" s="84"/>
      <c r="M422" s="85"/>
    </row>
    <row r="423" spans="1:13" ht="14.25">
      <c r="A423" s="82"/>
      <c r="B423" s="84"/>
      <c r="C423" s="84"/>
      <c r="D423" s="84"/>
      <c r="E423" s="84"/>
      <c r="F423" s="84"/>
      <c r="G423" s="84"/>
      <c r="H423" s="84"/>
      <c r="I423" s="84"/>
      <c r="J423" s="84"/>
      <c r="K423" s="84"/>
      <c r="L423" s="84"/>
      <c r="M423" s="85"/>
    </row>
    <row r="424" spans="1:13" ht="14.25">
      <c r="A424" s="82"/>
      <c r="B424" s="84"/>
      <c r="C424" s="84"/>
      <c r="D424" s="84"/>
      <c r="E424" s="84"/>
      <c r="F424" s="84"/>
      <c r="G424" s="84"/>
      <c r="H424" s="84"/>
      <c r="I424" s="84"/>
      <c r="J424" s="84"/>
      <c r="K424" s="84"/>
      <c r="L424" s="84"/>
      <c r="M424" s="85"/>
    </row>
    <row r="425" spans="1:13" ht="14.25">
      <c r="A425" s="82"/>
      <c r="B425" s="84"/>
      <c r="C425" s="84"/>
      <c r="D425" s="84"/>
      <c r="E425" s="84"/>
      <c r="F425" s="84"/>
      <c r="G425" s="84"/>
      <c r="H425" s="84"/>
      <c r="I425" s="84"/>
      <c r="J425" s="84"/>
      <c r="K425" s="84"/>
      <c r="L425" s="84"/>
      <c r="M425" s="85"/>
    </row>
    <row r="426" spans="1:13" ht="14.25">
      <c r="A426" s="82"/>
      <c r="B426" s="84"/>
      <c r="C426" s="84"/>
      <c r="D426" s="84"/>
      <c r="E426" s="84"/>
      <c r="F426" s="84"/>
      <c r="G426" s="84"/>
      <c r="H426" s="84"/>
      <c r="I426" s="84"/>
      <c r="J426" s="84"/>
      <c r="K426" s="84"/>
      <c r="L426" s="84"/>
      <c r="M426" s="85"/>
    </row>
    <row r="427" spans="1:13" ht="14.25">
      <c r="A427" s="82"/>
      <c r="B427" s="84"/>
      <c r="C427" s="84"/>
      <c r="D427" s="84"/>
      <c r="E427" s="84"/>
      <c r="F427" s="84"/>
      <c r="G427" s="84"/>
      <c r="H427" s="84"/>
      <c r="I427" s="84"/>
      <c r="J427" s="84"/>
      <c r="K427" s="84"/>
      <c r="L427" s="84"/>
      <c r="M427" s="85"/>
    </row>
    <row r="428" spans="1:13" ht="14.25">
      <c r="A428" s="82"/>
      <c r="B428" s="84"/>
      <c r="C428" s="84"/>
      <c r="D428" s="84"/>
      <c r="E428" s="84"/>
      <c r="F428" s="84"/>
      <c r="G428" s="84"/>
      <c r="H428" s="84"/>
      <c r="I428" s="84"/>
      <c r="J428" s="84"/>
      <c r="K428" s="84"/>
      <c r="L428" s="84"/>
      <c r="M428" s="85"/>
    </row>
    <row r="429" spans="1:13" ht="14.25">
      <c r="A429" s="82"/>
      <c r="B429" s="84"/>
      <c r="C429" s="84"/>
      <c r="D429" s="84"/>
      <c r="E429" s="84"/>
      <c r="F429" s="84"/>
      <c r="G429" s="84"/>
      <c r="H429" s="84"/>
      <c r="I429" s="84"/>
      <c r="J429" s="84"/>
      <c r="K429" s="84"/>
      <c r="L429" s="84"/>
      <c r="M429" s="85"/>
    </row>
    <row r="430" spans="1:13" ht="14.25">
      <c r="A430" s="82"/>
      <c r="B430" s="84"/>
      <c r="C430" s="84"/>
      <c r="D430" s="84"/>
      <c r="E430" s="84"/>
      <c r="F430" s="84"/>
      <c r="G430" s="84"/>
      <c r="H430" s="84"/>
      <c r="I430" s="84"/>
      <c r="J430" s="84"/>
      <c r="K430" s="84"/>
      <c r="L430" s="84"/>
      <c r="M430" s="85"/>
    </row>
    <row r="431" spans="1:13" ht="14.25">
      <c r="A431" s="82"/>
      <c r="B431" s="84"/>
      <c r="C431" s="84"/>
      <c r="D431" s="84"/>
      <c r="E431" s="84"/>
      <c r="F431" s="84"/>
      <c r="G431" s="84"/>
      <c r="H431" s="84"/>
      <c r="I431" s="84"/>
      <c r="J431" s="84"/>
      <c r="K431" s="84"/>
      <c r="L431" s="84"/>
      <c r="M431" s="85"/>
    </row>
    <row r="432" spans="1:13" ht="14.25">
      <c r="A432" s="82"/>
      <c r="B432" s="84"/>
      <c r="C432" s="84"/>
      <c r="D432" s="84"/>
      <c r="E432" s="84"/>
      <c r="F432" s="84"/>
      <c r="G432" s="84"/>
      <c r="H432" s="84"/>
      <c r="I432" s="84"/>
      <c r="J432" s="84"/>
      <c r="K432" s="84"/>
      <c r="L432" s="84"/>
      <c r="M432" s="85"/>
    </row>
    <row r="433" spans="1:13" ht="14.25">
      <c r="A433" s="82"/>
      <c r="B433" s="84"/>
      <c r="C433" s="84"/>
      <c r="D433" s="84"/>
      <c r="E433" s="84"/>
      <c r="F433" s="84"/>
      <c r="G433" s="84"/>
      <c r="H433" s="84"/>
      <c r="I433" s="84"/>
      <c r="J433" s="84"/>
      <c r="K433" s="84"/>
      <c r="L433" s="84"/>
      <c r="M433" s="85"/>
    </row>
    <row r="434" spans="1:13" ht="14.25">
      <c r="A434" s="82"/>
      <c r="B434" s="84"/>
      <c r="C434" s="84"/>
      <c r="D434" s="84"/>
      <c r="E434" s="84"/>
      <c r="F434" s="84"/>
      <c r="G434" s="84"/>
      <c r="H434" s="84"/>
      <c r="I434" s="84"/>
      <c r="J434" s="84"/>
      <c r="K434" s="84"/>
      <c r="L434" s="84"/>
      <c r="M434" s="85"/>
    </row>
    <row r="435" spans="1:13" ht="14.25">
      <c r="A435" s="82"/>
      <c r="B435" s="84"/>
      <c r="C435" s="84"/>
      <c r="D435" s="84"/>
      <c r="E435" s="84"/>
      <c r="F435" s="84"/>
      <c r="G435" s="84"/>
      <c r="H435" s="84"/>
      <c r="I435" s="84"/>
      <c r="J435" s="84"/>
      <c r="K435" s="84"/>
      <c r="L435" s="84"/>
      <c r="M435" s="85"/>
    </row>
    <row r="436" spans="1:13" ht="14.25">
      <c r="A436" s="82"/>
      <c r="B436" s="84"/>
      <c r="C436" s="84"/>
      <c r="D436" s="84"/>
      <c r="E436" s="84"/>
      <c r="F436" s="84"/>
      <c r="G436" s="84"/>
      <c r="H436" s="84"/>
      <c r="I436" s="84"/>
      <c r="J436" s="84"/>
      <c r="K436" s="84"/>
      <c r="L436" s="84"/>
      <c r="M436" s="85"/>
    </row>
    <row r="437" spans="1:13" ht="14.25">
      <c r="A437" s="82"/>
      <c r="B437" s="84"/>
      <c r="C437" s="84"/>
      <c r="D437" s="84"/>
      <c r="E437" s="84"/>
      <c r="F437" s="84"/>
      <c r="G437" s="84"/>
      <c r="H437" s="84"/>
      <c r="I437" s="84"/>
      <c r="J437" s="84"/>
      <c r="K437" s="84"/>
      <c r="L437" s="84"/>
      <c r="M437" s="85"/>
    </row>
    <row r="438" spans="1:13" ht="14.25">
      <c r="A438" s="82"/>
      <c r="B438" s="84"/>
      <c r="C438" s="84"/>
      <c r="D438" s="84"/>
      <c r="E438" s="84"/>
      <c r="F438" s="84"/>
      <c r="G438" s="84"/>
      <c r="H438" s="84"/>
      <c r="I438" s="84"/>
      <c r="J438" s="84"/>
      <c r="K438" s="84"/>
      <c r="L438" s="84"/>
      <c r="M438" s="85"/>
    </row>
    <row r="439" spans="1:13" ht="14.25">
      <c r="A439" s="82"/>
      <c r="B439" s="84"/>
      <c r="C439" s="84"/>
      <c r="D439" s="84"/>
      <c r="E439" s="84"/>
      <c r="F439" s="84"/>
      <c r="G439" s="84"/>
      <c r="H439" s="84"/>
      <c r="I439" s="84"/>
      <c r="J439" s="84"/>
      <c r="K439" s="84"/>
      <c r="L439" s="84"/>
      <c r="M439" s="85"/>
    </row>
    <row r="440" spans="1:13" ht="14.25">
      <c r="A440" s="82"/>
      <c r="B440" s="84"/>
      <c r="C440" s="84"/>
      <c r="D440" s="84"/>
      <c r="E440" s="84"/>
      <c r="F440" s="84"/>
      <c r="G440" s="84"/>
      <c r="H440" s="84"/>
      <c r="I440" s="84"/>
      <c r="J440" s="84"/>
      <c r="K440" s="84"/>
      <c r="L440" s="84"/>
      <c r="M440" s="85"/>
    </row>
    <row r="441" spans="1:13" ht="14.25">
      <c r="A441" s="82"/>
      <c r="B441" s="84"/>
      <c r="C441" s="84"/>
      <c r="D441" s="84"/>
      <c r="E441" s="84"/>
      <c r="F441" s="84"/>
      <c r="G441" s="84"/>
      <c r="H441" s="84"/>
      <c r="I441" s="84"/>
      <c r="J441" s="84"/>
      <c r="K441" s="84"/>
      <c r="L441" s="84"/>
      <c r="M441" s="85"/>
    </row>
    <row r="442" spans="1:13" ht="14.25">
      <c r="A442" s="82"/>
      <c r="B442" s="84"/>
      <c r="C442" s="84"/>
      <c r="D442" s="84"/>
      <c r="E442" s="84"/>
      <c r="F442" s="84"/>
      <c r="G442" s="84"/>
      <c r="H442" s="84"/>
      <c r="I442" s="84"/>
      <c r="J442" s="84"/>
      <c r="K442" s="84"/>
      <c r="L442" s="84"/>
      <c r="M442" s="85"/>
    </row>
    <row r="443" spans="1:13" ht="14.25">
      <c r="A443" s="82"/>
      <c r="B443" s="84"/>
      <c r="C443" s="84"/>
      <c r="D443" s="84"/>
      <c r="E443" s="84"/>
      <c r="F443" s="84"/>
      <c r="G443" s="84"/>
      <c r="H443" s="84"/>
      <c r="I443" s="84"/>
      <c r="J443" s="84"/>
      <c r="K443" s="84"/>
      <c r="L443" s="84"/>
      <c r="M443" s="85"/>
    </row>
    <row r="444" spans="1:13" ht="14.25">
      <c r="A444" s="82"/>
      <c r="B444" s="84"/>
      <c r="C444" s="84"/>
      <c r="D444" s="84"/>
      <c r="E444" s="84"/>
      <c r="F444" s="84"/>
      <c r="G444" s="84"/>
      <c r="H444" s="84"/>
      <c r="I444" s="84"/>
      <c r="J444" s="84"/>
      <c r="K444" s="84"/>
      <c r="L444" s="84"/>
      <c r="M444" s="85"/>
    </row>
    <row r="445" spans="1:13" ht="14.25">
      <c r="A445" s="82"/>
      <c r="B445" s="84"/>
      <c r="C445" s="84"/>
      <c r="D445" s="84"/>
      <c r="E445" s="84"/>
      <c r="F445" s="84"/>
      <c r="G445" s="84"/>
      <c r="H445" s="84"/>
      <c r="I445" s="84"/>
      <c r="J445" s="84"/>
      <c r="K445" s="84"/>
      <c r="L445" s="84"/>
      <c r="M445" s="85"/>
    </row>
    <row r="446" spans="1:13" ht="14.25">
      <c r="A446" s="82"/>
      <c r="B446" s="84"/>
      <c r="C446" s="84"/>
      <c r="D446" s="84"/>
      <c r="E446" s="84"/>
      <c r="F446" s="84"/>
      <c r="G446" s="84"/>
      <c r="H446" s="84"/>
      <c r="I446" s="84"/>
      <c r="J446" s="84"/>
      <c r="K446" s="84"/>
      <c r="L446" s="84"/>
      <c r="M446" s="85"/>
    </row>
    <row r="447" spans="1:13" ht="14.25">
      <c r="A447" s="82"/>
      <c r="B447" s="84"/>
      <c r="C447" s="84"/>
      <c r="D447" s="84"/>
      <c r="E447" s="84"/>
      <c r="F447" s="84"/>
      <c r="G447" s="84"/>
      <c r="H447" s="84"/>
      <c r="I447" s="84"/>
      <c r="J447" s="84"/>
      <c r="K447" s="84"/>
      <c r="L447" s="84"/>
      <c r="M447" s="85"/>
    </row>
    <row r="448" spans="1:13" ht="14.25">
      <c r="A448" s="82"/>
      <c r="B448" s="84"/>
      <c r="C448" s="84"/>
      <c r="D448" s="84"/>
      <c r="E448" s="84"/>
      <c r="F448" s="84"/>
      <c r="G448" s="84"/>
      <c r="H448" s="84"/>
      <c r="I448" s="84"/>
      <c r="J448" s="84"/>
      <c r="K448" s="84"/>
      <c r="L448" s="84"/>
      <c r="M448" s="85"/>
    </row>
    <row r="449" spans="1:13" ht="14.25">
      <c r="A449" s="82"/>
      <c r="B449" s="84"/>
      <c r="C449" s="84"/>
      <c r="D449" s="84"/>
      <c r="E449" s="84"/>
      <c r="F449" s="84"/>
      <c r="G449" s="84"/>
      <c r="H449" s="84"/>
      <c r="I449" s="84"/>
      <c r="J449" s="84"/>
      <c r="K449" s="84"/>
      <c r="L449" s="84"/>
      <c r="M449" s="85"/>
    </row>
    <row r="450" spans="1:13" ht="14.25">
      <c r="A450" s="82"/>
      <c r="B450" s="84"/>
      <c r="C450" s="84"/>
      <c r="D450" s="84"/>
      <c r="E450" s="84"/>
      <c r="F450" s="84"/>
      <c r="G450" s="84"/>
      <c r="H450" s="84"/>
      <c r="I450" s="84"/>
      <c r="J450" s="84"/>
      <c r="K450" s="84"/>
      <c r="L450" s="84"/>
      <c r="M450" s="85"/>
    </row>
    <row r="451" spans="1:13" ht="14.25">
      <c r="A451" s="82"/>
      <c r="B451" s="84"/>
      <c r="C451" s="84"/>
      <c r="D451" s="84"/>
      <c r="E451" s="84"/>
      <c r="F451" s="84"/>
      <c r="G451" s="84"/>
      <c r="H451" s="84"/>
      <c r="I451" s="84"/>
      <c r="J451" s="84"/>
      <c r="K451" s="84"/>
      <c r="L451" s="84"/>
      <c r="M451" s="85"/>
    </row>
    <row r="452" spans="1:13" ht="14.25">
      <c r="A452" s="82"/>
      <c r="B452" s="84"/>
      <c r="C452" s="84"/>
      <c r="D452" s="84"/>
      <c r="E452" s="84"/>
      <c r="F452" s="84"/>
      <c r="G452" s="84"/>
      <c r="H452" s="84"/>
      <c r="I452" s="84"/>
      <c r="J452" s="84"/>
      <c r="K452" s="84"/>
      <c r="L452" s="84"/>
      <c r="M452" s="85"/>
    </row>
    <row r="453" spans="1:13" ht="14.25">
      <c r="A453" s="82"/>
      <c r="B453" s="84"/>
      <c r="C453" s="84"/>
      <c r="D453" s="84"/>
      <c r="E453" s="84"/>
      <c r="F453" s="84"/>
      <c r="G453" s="84"/>
      <c r="H453" s="84"/>
      <c r="I453" s="84"/>
      <c r="J453" s="84"/>
      <c r="K453" s="84"/>
      <c r="L453" s="84"/>
      <c r="M453" s="85"/>
    </row>
    <row r="454" spans="1:13" ht="14.25">
      <c r="A454" s="82"/>
      <c r="B454" s="84"/>
      <c r="C454" s="84"/>
      <c r="D454" s="84"/>
      <c r="E454" s="84"/>
      <c r="F454" s="84"/>
      <c r="G454" s="84"/>
      <c r="H454" s="84"/>
      <c r="I454" s="84"/>
      <c r="J454" s="84"/>
      <c r="K454" s="84"/>
      <c r="L454" s="84"/>
      <c r="M454" s="85"/>
    </row>
    <row r="455" spans="1:13" ht="14.25">
      <c r="A455" s="82"/>
      <c r="B455" s="84"/>
      <c r="C455" s="84"/>
      <c r="D455" s="84"/>
      <c r="E455" s="84"/>
      <c r="F455" s="84"/>
      <c r="G455" s="84"/>
      <c r="H455" s="84"/>
      <c r="I455" s="84"/>
      <c r="J455" s="84"/>
      <c r="K455" s="84"/>
      <c r="L455" s="84"/>
      <c r="M455" s="85"/>
    </row>
    <row r="456" spans="1:13" ht="14.25">
      <c r="A456" s="82"/>
      <c r="B456" s="84"/>
      <c r="C456" s="84"/>
      <c r="D456" s="84"/>
      <c r="E456" s="84"/>
      <c r="F456" s="84"/>
      <c r="G456" s="84"/>
      <c r="H456" s="84"/>
      <c r="I456" s="84"/>
      <c r="J456" s="84"/>
      <c r="K456" s="84"/>
      <c r="L456" s="84"/>
      <c r="M456" s="85"/>
    </row>
    <row r="457" spans="1:13" ht="14.25">
      <c r="A457" s="82"/>
      <c r="B457" s="84"/>
      <c r="C457" s="84"/>
      <c r="D457" s="84"/>
      <c r="E457" s="84"/>
      <c r="F457" s="84"/>
      <c r="G457" s="84"/>
      <c r="H457" s="84"/>
      <c r="I457" s="84"/>
      <c r="J457" s="84"/>
      <c r="K457" s="84"/>
      <c r="L457" s="84"/>
      <c r="M457" s="85"/>
    </row>
    <row r="458" spans="1:13" ht="14.25">
      <c r="A458" s="82"/>
      <c r="B458" s="84"/>
      <c r="C458" s="84"/>
      <c r="D458" s="84"/>
      <c r="E458" s="84"/>
      <c r="F458" s="84"/>
      <c r="G458" s="84"/>
      <c r="H458" s="84"/>
      <c r="I458" s="84"/>
      <c r="J458" s="84"/>
      <c r="K458" s="84"/>
      <c r="L458" s="84"/>
      <c r="M458" s="85"/>
    </row>
    <row r="459" spans="1:13" ht="14.25">
      <c r="A459" s="82"/>
      <c r="B459" s="84"/>
      <c r="C459" s="84"/>
      <c r="D459" s="84"/>
      <c r="E459" s="84"/>
      <c r="F459" s="84"/>
      <c r="G459" s="84"/>
      <c r="H459" s="84"/>
      <c r="I459" s="84"/>
      <c r="J459" s="84"/>
      <c r="K459" s="84"/>
      <c r="L459" s="84"/>
      <c r="M459" s="85"/>
    </row>
    <row r="460" spans="1:13" ht="14.25">
      <c r="A460" s="82"/>
      <c r="B460" s="84"/>
      <c r="C460" s="84"/>
      <c r="D460" s="84"/>
      <c r="E460" s="84"/>
      <c r="F460" s="84"/>
      <c r="G460" s="84"/>
      <c r="H460" s="84"/>
      <c r="I460" s="84"/>
      <c r="J460" s="84"/>
      <c r="K460" s="84"/>
      <c r="L460" s="84"/>
      <c r="M460" s="85"/>
    </row>
    <row r="461" spans="1:13" ht="14.25">
      <c r="A461" s="82"/>
      <c r="B461" s="84"/>
      <c r="C461" s="84"/>
      <c r="D461" s="84"/>
      <c r="E461" s="84"/>
      <c r="F461" s="84"/>
      <c r="G461" s="84"/>
      <c r="H461" s="84"/>
      <c r="I461" s="84"/>
      <c r="J461" s="84"/>
      <c r="K461" s="84"/>
      <c r="L461" s="84"/>
      <c r="M461" s="85"/>
    </row>
    <row r="462" spans="1:13" ht="14.25">
      <c r="A462" s="82"/>
      <c r="B462" s="84"/>
      <c r="C462" s="84"/>
      <c r="D462" s="84"/>
      <c r="E462" s="84"/>
      <c r="F462" s="84"/>
      <c r="G462" s="84"/>
      <c r="H462" s="84"/>
      <c r="I462" s="84"/>
      <c r="J462" s="84"/>
      <c r="K462" s="84"/>
      <c r="L462" s="84"/>
      <c r="M462" s="85"/>
    </row>
    <row r="463" spans="1:13" ht="14.25">
      <c r="A463" s="82"/>
      <c r="B463" s="84"/>
      <c r="C463" s="84"/>
      <c r="D463" s="84"/>
      <c r="E463" s="84"/>
      <c r="F463" s="84"/>
      <c r="G463" s="84"/>
      <c r="H463" s="84"/>
      <c r="I463" s="84"/>
      <c r="J463" s="84"/>
      <c r="K463" s="84"/>
      <c r="L463" s="84"/>
      <c r="M463" s="85"/>
    </row>
    <row r="464" spans="1:13" ht="14.25">
      <c r="A464" s="82"/>
      <c r="B464" s="84"/>
      <c r="C464" s="84"/>
      <c r="D464" s="84"/>
      <c r="E464" s="84"/>
      <c r="F464" s="84"/>
      <c r="G464" s="84"/>
      <c r="H464" s="84"/>
      <c r="I464" s="84"/>
      <c r="J464" s="84"/>
      <c r="K464" s="84"/>
      <c r="L464" s="84"/>
      <c r="M464" s="85"/>
    </row>
    <row r="465" spans="1:13" ht="14.25">
      <c r="A465" s="82"/>
      <c r="B465" s="84"/>
      <c r="C465" s="84"/>
      <c r="D465" s="84"/>
      <c r="E465" s="84"/>
      <c r="F465" s="84"/>
      <c r="G465" s="84"/>
      <c r="H465" s="84"/>
      <c r="I465" s="84"/>
      <c r="J465" s="84"/>
      <c r="K465" s="84"/>
      <c r="L465" s="84"/>
      <c r="M465" s="85"/>
    </row>
    <row r="466" spans="1:13" ht="14.25">
      <c r="A466" s="82"/>
      <c r="B466" s="84"/>
      <c r="C466" s="84"/>
      <c r="D466" s="84"/>
      <c r="E466" s="84"/>
      <c r="F466" s="84"/>
      <c r="G466" s="84"/>
      <c r="H466" s="84"/>
      <c r="I466" s="84"/>
      <c r="J466" s="84"/>
      <c r="K466" s="84"/>
      <c r="L466" s="84"/>
      <c r="M466" s="85"/>
    </row>
    <row r="467" spans="1:13" ht="14.25">
      <c r="A467" s="82"/>
      <c r="B467" s="84"/>
      <c r="C467" s="84"/>
      <c r="D467" s="84"/>
      <c r="E467" s="84"/>
      <c r="F467" s="84"/>
      <c r="G467" s="84"/>
      <c r="H467" s="84"/>
      <c r="I467" s="84"/>
      <c r="J467" s="84"/>
      <c r="K467" s="84"/>
      <c r="L467" s="84"/>
      <c r="M467" s="85"/>
    </row>
    <row r="468" spans="1:13" ht="14.25">
      <c r="A468" s="82"/>
      <c r="B468" s="84"/>
      <c r="C468" s="84"/>
      <c r="D468" s="84"/>
      <c r="E468" s="84"/>
      <c r="F468" s="84"/>
      <c r="G468" s="84"/>
      <c r="H468" s="84"/>
      <c r="I468" s="84"/>
      <c r="J468" s="84"/>
      <c r="K468" s="84"/>
      <c r="L468" s="84"/>
      <c r="M468" s="85"/>
    </row>
    <row r="469" spans="1:13" ht="14.25">
      <c r="A469" s="82"/>
      <c r="B469" s="84"/>
      <c r="C469" s="84"/>
      <c r="D469" s="84"/>
      <c r="E469" s="84"/>
      <c r="F469" s="84"/>
      <c r="G469" s="84"/>
      <c r="H469" s="84"/>
      <c r="I469" s="84"/>
      <c r="J469" s="84"/>
      <c r="K469" s="84"/>
      <c r="L469" s="84"/>
      <c r="M469" s="85"/>
    </row>
    <row r="470" spans="1:13" ht="14.25">
      <c r="A470" s="82"/>
      <c r="B470" s="84"/>
      <c r="C470" s="84"/>
      <c r="D470" s="84"/>
      <c r="E470" s="84"/>
      <c r="F470" s="84"/>
      <c r="G470" s="84"/>
      <c r="H470" s="84"/>
      <c r="I470" s="84"/>
      <c r="J470" s="84"/>
      <c r="K470" s="84"/>
      <c r="L470" s="84"/>
      <c r="M470" s="85"/>
    </row>
    <row r="471" spans="1:13" ht="14.25">
      <c r="A471" s="82"/>
      <c r="B471" s="84"/>
      <c r="C471" s="84"/>
      <c r="D471" s="84"/>
      <c r="E471" s="84"/>
      <c r="F471" s="84"/>
      <c r="G471" s="84"/>
      <c r="H471" s="84"/>
      <c r="I471" s="84"/>
      <c r="J471" s="84"/>
      <c r="K471" s="84"/>
      <c r="L471" s="84"/>
      <c r="M471" s="85"/>
    </row>
    <row r="472" spans="1:13" ht="14.25">
      <c r="A472" s="82"/>
      <c r="B472" s="84"/>
      <c r="C472" s="84"/>
      <c r="D472" s="84"/>
      <c r="E472" s="84"/>
      <c r="F472" s="84"/>
      <c r="G472" s="84"/>
      <c r="H472" s="84"/>
      <c r="I472" s="84"/>
      <c r="J472" s="84"/>
      <c r="K472" s="84"/>
      <c r="L472" s="84"/>
      <c r="M472" s="85"/>
    </row>
    <row r="473" spans="1:13" ht="14.25">
      <c r="A473" s="82"/>
      <c r="B473" s="84"/>
      <c r="C473" s="84"/>
      <c r="D473" s="84"/>
      <c r="E473" s="84"/>
      <c r="F473" s="84"/>
      <c r="G473" s="84"/>
      <c r="H473" s="84"/>
      <c r="I473" s="84"/>
      <c r="J473" s="84"/>
      <c r="K473" s="84"/>
      <c r="L473" s="84"/>
      <c r="M473" s="85"/>
    </row>
    <row r="474" spans="1:13" ht="14.25">
      <c r="A474" s="82"/>
      <c r="B474" s="84"/>
      <c r="C474" s="84"/>
      <c r="D474" s="84"/>
      <c r="E474" s="84"/>
      <c r="F474" s="84"/>
      <c r="G474" s="84"/>
      <c r="H474" s="84"/>
      <c r="I474" s="84"/>
      <c r="J474" s="84"/>
      <c r="K474" s="84"/>
      <c r="L474" s="84"/>
      <c r="M474" s="85"/>
    </row>
    <row r="475" spans="1:13" ht="14.25">
      <c r="A475" s="82"/>
      <c r="B475" s="84"/>
      <c r="C475" s="84"/>
      <c r="D475" s="84"/>
      <c r="E475" s="84"/>
      <c r="F475" s="84"/>
      <c r="G475" s="84"/>
      <c r="H475" s="84"/>
      <c r="I475" s="84"/>
      <c r="J475" s="84"/>
      <c r="K475" s="84"/>
      <c r="L475" s="84"/>
      <c r="M475" s="85"/>
    </row>
    <row r="476" spans="1:13" ht="14.25">
      <c r="A476" s="82"/>
      <c r="B476" s="84"/>
      <c r="C476" s="84"/>
      <c r="D476" s="84"/>
      <c r="E476" s="84"/>
      <c r="F476" s="84"/>
      <c r="G476" s="84"/>
      <c r="H476" s="84"/>
      <c r="I476" s="84"/>
      <c r="J476" s="84"/>
      <c r="K476" s="84"/>
      <c r="L476" s="84"/>
      <c r="M476" s="85"/>
    </row>
    <row r="477" spans="1:13" ht="14.25">
      <c r="A477" s="82"/>
      <c r="B477" s="84"/>
      <c r="C477" s="84"/>
      <c r="D477" s="84"/>
      <c r="E477" s="84"/>
      <c r="F477" s="84"/>
      <c r="G477" s="84"/>
      <c r="H477" s="84"/>
      <c r="I477" s="84"/>
      <c r="J477" s="84"/>
      <c r="K477" s="84"/>
      <c r="L477" s="84"/>
      <c r="M477" s="85"/>
    </row>
    <row r="478" spans="1:13" ht="14.25">
      <c r="A478" s="82"/>
      <c r="B478" s="84"/>
      <c r="C478" s="84"/>
      <c r="D478" s="84"/>
      <c r="E478" s="84"/>
      <c r="F478" s="84"/>
      <c r="G478" s="84"/>
      <c r="H478" s="84"/>
      <c r="I478" s="84"/>
      <c r="J478" s="84"/>
      <c r="K478" s="84"/>
      <c r="L478" s="84"/>
      <c r="M478" s="85"/>
    </row>
    <row r="479" spans="1:13" ht="14.25">
      <c r="A479" s="82"/>
      <c r="B479" s="84"/>
      <c r="C479" s="84"/>
      <c r="D479" s="84"/>
      <c r="E479" s="84"/>
      <c r="F479" s="84"/>
      <c r="G479" s="84"/>
      <c r="H479" s="84"/>
      <c r="I479" s="84"/>
      <c r="J479" s="84"/>
      <c r="K479" s="84"/>
      <c r="L479" s="84"/>
      <c r="M479" s="85"/>
    </row>
    <row r="480" spans="1:13" ht="14.25">
      <c r="A480" s="82"/>
      <c r="B480" s="84"/>
      <c r="C480" s="84"/>
      <c r="D480" s="84"/>
      <c r="E480" s="84"/>
      <c r="F480" s="84"/>
      <c r="G480" s="84"/>
      <c r="H480" s="84"/>
      <c r="I480" s="84"/>
      <c r="J480" s="84"/>
      <c r="K480" s="84"/>
      <c r="L480" s="84"/>
      <c r="M480" s="85"/>
    </row>
    <row r="481" spans="1:13" ht="14.25">
      <c r="A481" s="82"/>
      <c r="B481" s="84"/>
      <c r="C481" s="84"/>
      <c r="D481" s="84"/>
      <c r="E481" s="84"/>
      <c r="F481" s="84"/>
      <c r="G481" s="84"/>
      <c r="H481" s="84"/>
      <c r="I481" s="84"/>
      <c r="J481" s="84"/>
      <c r="K481" s="84"/>
      <c r="L481" s="84"/>
      <c r="M481" s="85"/>
    </row>
    <row r="482" spans="1:13" ht="14.25">
      <c r="A482" s="82"/>
      <c r="B482" s="84"/>
      <c r="C482" s="84"/>
      <c r="D482" s="84"/>
      <c r="E482" s="84"/>
      <c r="F482" s="84"/>
      <c r="G482" s="84"/>
      <c r="H482" s="84"/>
      <c r="I482" s="84"/>
      <c r="J482" s="84"/>
      <c r="K482" s="84"/>
      <c r="L482" s="84"/>
      <c r="M482" s="85"/>
    </row>
    <row r="483" spans="1:13" ht="14.25">
      <c r="A483" s="82"/>
      <c r="B483" s="84"/>
      <c r="C483" s="84"/>
      <c r="D483" s="84"/>
      <c r="E483" s="84"/>
      <c r="F483" s="84"/>
      <c r="G483" s="84"/>
      <c r="H483" s="84"/>
      <c r="I483" s="84"/>
      <c r="J483" s="84"/>
      <c r="K483" s="84"/>
      <c r="L483" s="84"/>
      <c r="M483" s="85"/>
    </row>
    <row r="484" spans="1:13" ht="14.25">
      <c r="A484" s="82"/>
      <c r="B484" s="84"/>
      <c r="C484" s="84"/>
      <c r="D484" s="84"/>
      <c r="E484" s="84"/>
      <c r="F484" s="84"/>
      <c r="G484" s="84"/>
      <c r="H484" s="84"/>
      <c r="I484" s="84"/>
      <c r="J484" s="84"/>
      <c r="K484" s="84"/>
      <c r="L484" s="84"/>
      <c r="M484" s="85"/>
    </row>
    <row r="485" spans="1:13" ht="14.25">
      <c r="A485" s="82"/>
      <c r="B485" s="84"/>
      <c r="C485" s="84"/>
      <c r="D485" s="84"/>
      <c r="E485" s="84"/>
      <c r="F485" s="84"/>
      <c r="G485" s="84"/>
      <c r="H485" s="84"/>
      <c r="I485" s="84"/>
      <c r="J485" s="84"/>
      <c r="K485" s="84"/>
      <c r="L485" s="84"/>
      <c r="M485" s="85"/>
    </row>
    <row r="486" spans="1:13" ht="14.25">
      <c r="A486" s="82"/>
      <c r="B486" s="84"/>
      <c r="C486" s="84"/>
      <c r="D486" s="84"/>
      <c r="E486" s="84"/>
      <c r="F486" s="84"/>
      <c r="G486" s="84"/>
      <c r="H486" s="84"/>
      <c r="I486" s="84"/>
      <c r="J486" s="84"/>
      <c r="K486" s="84"/>
      <c r="L486" s="84"/>
      <c r="M486" s="85"/>
    </row>
    <row r="487" spans="1:13" ht="14.25">
      <c r="A487" s="82"/>
      <c r="B487" s="84"/>
      <c r="C487" s="84"/>
      <c r="D487" s="84"/>
      <c r="E487" s="84"/>
      <c r="F487" s="84"/>
      <c r="G487" s="84"/>
      <c r="H487" s="84"/>
      <c r="I487" s="84"/>
      <c r="J487" s="84"/>
      <c r="K487" s="84"/>
      <c r="L487" s="84"/>
      <c r="M487" s="85"/>
    </row>
    <row r="488" spans="1:13" ht="14.25">
      <c r="A488" s="82"/>
      <c r="B488" s="84"/>
      <c r="C488" s="84"/>
      <c r="D488" s="84"/>
      <c r="E488" s="84"/>
      <c r="F488" s="84"/>
      <c r="G488" s="84"/>
      <c r="H488" s="84"/>
      <c r="I488" s="84"/>
      <c r="J488" s="84"/>
      <c r="K488" s="84"/>
      <c r="L488" s="84"/>
      <c r="M488" s="85"/>
    </row>
    <row r="489" spans="1:13" ht="14.25">
      <c r="A489" s="82"/>
      <c r="B489" s="84"/>
      <c r="C489" s="84"/>
      <c r="D489" s="84"/>
      <c r="E489" s="84"/>
      <c r="F489" s="84"/>
      <c r="G489" s="84"/>
      <c r="H489" s="84"/>
      <c r="I489" s="84"/>
      <c r="J489" s="84"/>
      <c r="K489" s="84"/>
      <c r="L489" s="84"/>
      <c r="M489" s="85"/>
    </row>
    <row r="490" spans="1:13" ht="14.25">
      <c r="A490" s="82"/>
      <c r="B490" s="84"/>
      <c r="C490" s="84"/>
      <c r="D490" s="84"/>
      <c r="E490" s="84"/>
      <c r="F490" s="84"/>
      <c r="G490" s="84"/>
      <c r="H490" s="84"/>
      <c r="I490" s="84"/>
      <c r="J490" s="84"/>
      <c r="K490" s="84"/>
      <c r="L490" s="84"/>
      <c r="M490" s="85"/>
    </row>
    <row r="491" spans="1:13" ht="14.25">
      <c r="A491" s="82"/>
      <c r="B491" s="84"/>
      <c r="C491" s="84"/>
      <c r="D491" s="84"/>
      <c r="E491" s="84"/>
      <c r="F491" s="84"/>
      <c r="G491" s="84"/>
      <c r="H491" s="84"/>
      <c r="I491" s="84"/>
      <c r="J491" s="84"/>
      <c r="K491" s="84"/>
      <c r="L491" s="84"/>
      <c r="M491" s="85"/>
    </row>
    <row r="492" spans="1:13" ht="14.25">
      <c r="A492" s="82"/>
      <c r="B492" s="84"/>
      <c r="C492" s="84"/>
      <c r="D492" s="84"/>
      <c r="E492" s="84"/>
      <c r="F492" s="84"/>
      <c r="G492" s="84"/>
      <c r="H492" s="84"/>
      <c r="I492" s="84"/>
      <c r="J492" s="84"/>
      <c r="K492" s="84"/>
      <c r="L492" s="84"/>
      <c r="M492" s="85"/>
    </row>
    <row r="493" spans="1:13" ht="14.25">
      <c r="A493" s="82"/>
      <c r="B493" s="84"/>
      <c r="C493" s="84"/>
      <c r="D493" s="84"/>
      <c r="E493" s="84"/>
      <c r="F493" s="84"/>
      <c r="G493" s="84"/>
      <c r="H493" s="84"/>
      <c r="I493" s="84"/>
      <c r="J493" s="84"/>
      <c r="K493" s="84"/>
      <c r="L493" s="84"/>
      <c r="M493" s="85"/>
    </row>
    <row r="494" spans="1:13" ht="14.25">
      <c r="A494" s="82"/>
      <c r="B494" s="84"/>
      <c r="C494" s="84"/>
      <c r="D494" s="84"/>
      <c r="E494" s="84"/>
      <c r="F494" s="84"/>
      <c r="G494" s="84"/>
      <c r="H494" s="84"/>
      <c r="I494" s="84"/>
      <c r="J494" s="84"/>
      <c r="K494" s="84"/>
      <c r="L494" s="84"/>
      <c r="M494" s="85"/>
    </row>
    <row r="495" spans="1:13" ht="14.25">
      <c r="A495" s="82"/>
      <c r="B495" s="84"/>
      <c r="C495" s="84"/>
      <c r="D495" s="84"/>
      <c r="E495" s="84"/>
      <c r="F495" s="84"/>
      <c r="G495" s="84"/>
      <c r="H495" s="84"/>
      <c r="I495" s="84"/>
      <c r="J495" s="84"/>
      <c r="K495" s="84"/>
      <c r="L495" s="84"/>
      <c r="M495" s="85"/>
    </row>
    <row r="496" spans="1:13" ht="14.25">
      <c r="A496" s="82"/>
      <c r="B496" s="84"/>
      <c r="C496" s="84"/>
      <c r="D496" s="84"/>
      <c r="E496" s="84"/>
      <c r="F496" s="84"/>
      <c r="G496" s="84"/>
      <c r="H496" s="84"/>
      <c r="I496" s="84"/>
      <c r="J496" s="84"/>
      <c r="K496" s="84"/>
      <c r="L496" s="84"/>
      <c r="M496" s="85"/>
    </row>
    <row r="497" spans="1:13" ht="14.25">
      <c r="A497" s="82"/>
      <c r="B497" s="84"/>
      <c r="C497" s="84"/>
      <c r="D497" s="84"/>
      <c r="E497" s="84"/>
      <c r="F497" s="84"/>
      <c r="G497" s="84"/>
      <c r="H497" s="84"/>
      <c r="I497" s="84"/>
      <c r="J497" s="84"/>
      <c r="K497" s="84"/>
      <c r="L497" s="84"/>
      <c r="M497" s="85"/>
    </row>
    <row r="498" spans="1:13" ht="14.25">
      <c r="A498" s="82"/>
      <c r="B498" s="84"/>
      <c r="C498" s="84"/>
      <c r="D498" s="84"/>
      <c r="E498" s="84"/>
      <c r="F498" s="84"/>
      <c r="G498" s="84"/>
      <c r="H498" s="84"/>
      <c r="I498" s="84"/>
      <c r="J498" s="84"/>
      <c r="K498" s="84"/>
      <c r="L498" s="84"/>
      <c r="M498" s="85"/>
    </row>
    <row r="499" spans="1:13" ht="14.25">
      <c r="A499" s="82"/>
      <c r="B499" s="84"/>
      <c r="C499" s="84"/>
      <c r="D499" s="84"/>
      <c r="E499" s="84"/>
      <c r="F499" s="84"/>
      <c r="G499" s="84"/>
      <c r="H499" s="84"/>
      <c r="I499" s="84"/>
      <c r="J499" s="84"/>
      <c r="K499" s="84"/>
      <c r="L499" s="84"/>
      <c r="M499" s="85"/>
    </row>
    <row r="500" spans="1:13" ht="14.25">
      <c r="A500" s="82"/>
      <c r="B500" s="84"/>
      <c r="C500" s="84"/>
      <c r="D500" s="84"/>
      <c r="E500" s="84"/>
      <c r="F500" s="84"/>
      <c r="G500" s="84"/>
      <c r="H500" s="84"/>
      <c r="I500" s="84"/>
      <c r="J500" s="84"/>
      <c r="K500" s="84"/>
      <c r="L500" s="84"/>
      <c r="M500" s="85"/>
    </row>
    <row r="501" spans="1:13" ht="14.25">
      <c r="A501" s="82"/>
      <c r="B501" s="84"/>
      <c r="C501" s="84"/>
      <c r="D501" s="84"/>
      <c r="E501" s="84"/>
      <c r="F501" s="84"/>
      <c r="G501" s="84"/>
      <c r="H501" s="84"/>
      <c r="I501" s="84"/>
      <c r="J501" s="84"/>
      <c r="K501" s="84"/>
      <c r="L501" s="84"/>
      <c r="M501" s="85"/>
    </row>
    <row r="502" spans="1:13" ht="14.25">
      <c r="A502" s="82"/>
      <c r="B502" s="84"/>
      <c r="C502" s="84"/>
      <c r="D502" s="84"/>
      <c r="E502" s="84"/>
      <c r="F502" s="84"/>
      <c r="G502" s="84"/>
      <c r="H502" s="84"/>
      <c r="I502" s="84"/>
      <c r="J502" s="84"/>
      <c r="K502" s="84"/>
      <c r="L502" s="84"/>
      <c r="M502" s="85"/>
    </row>
    <row r="503" spans="1:13" ht="14.25">
      <c r="A503" s="82"/>
      <c r="B503" s="84"/>
      <c r="C503" s="84"/>
      <c r="D503" s="84"/>
      <c r="E503" s="84"/>
      <c r="F503" s="84"/>
      <c r="G503" s="84"/>
      <c r="H503" s="84"/>
      <c r="I503" s="84"/>
      <c r="J503" s="84"/>
      <c r="K503" s="84"/>
      <c r="L503" s="84"/>
      <c r="M503" s="85"/>
    </row>
    <row r="504" spans="1:13" ht="14.25">
      <c r="A504" s="82"/>
      <c r="B504" s="84"/>
      <c r="C504" s="84"/>
      <c r="D504" s="84"/>
      <c r="E504" s="84"/>
      <c r="F504" s="84"/>
      <c r="G504" s="84"/>
      <c r="H504" s="84"/>
      <c r="I504" s="84"/>
      <c r="J504" s="84"/>
      <c r="K504" s="84"/>
      <c r="L504" s="84"/>
      <c r="M504" s="85"/>
    </row>
    <row r="505" spans="1:13" ht="14.25">
      <c r="A505" s="82"/>
      <c r="B505" s="84"/>
      <c r="C505" s="84"/>
      <c r="D505" s="84"/>
      <c r="E505" s="84"/>
      <c r="F505" s="84"/>
      <c r="G505" s="84"/>
      <c r="H505" s="84"/>
      <c r="I505" s="84"/>
      <c r="J505" s="84"/>
      <c r="K505" s="84"/>
      <c r="L505" s="84"/>
      <c r="M505" s="85"/>
    </row>
    <row r="506" spans="1:13" ht="14.25">
      <c r="A506" s="82"/>
      <c r="B506" s="84"/>
      <c r="C506" s="84"/>
      <c r="D506" s="84"/>
      <c r="E506" s="84"/>
      <c r="F506" s="84"/>
      <c r="G506" s="84"/>
      <c r="H506" s="84"/>
      <c r="I506" s="84"/>
      <c r="J506" s="84"/>
      <c r="K506" s="84"/>
      <c r="L506" s="84"/>
      <c r="M506" s="85"/>
    </row>
    <row r="507" spans="1:13" ht="14.25">
      <c r="A507" s="82"/>
      <c r="B507" s="84"/>
      <c r="C507" s="84"/>
      <c r="D507" s="84"/>
      <c r="E507" s="84"/>
      <c r="F507" s="84"/>
      <c r="G507" s="84"/>
      <c r="H507" s="84"/>
      <c r="I507" s="84"/>
      <c r="J507" s="84"/>
      <c r="K507" s="84"/>
      <c r="L507" s="84"/>
      <c r="M507" s="85"/>
    </row>
    <row r="508" spans="1:13" ht="14.25">
      <c r="A508" s="82"/>
      <c r="B508" s="84"/>
      <c r="C508" s="84"/>
      <c r="D508" s="84"/>
      <c r="E508" s="84"/>
      <c r="F508" s="84"/>
      <c r="G508" s="84"/>
      <c r="H508" s="84"/>
      <c r="I508" s="84"/>
      <c r="J508" s="84"/>
      <c r="K508" s="84"/>
      <c r="L508" s="84"/>
      <c r="M508" s="85"/>
    </row>
    <row r="509" spans="1:13" ht="14.25">
      <c r="A509" s="82"/>
      <c r="B509" s="84"/>
      <c r="C509" s="84"/>
      <c r="D509" s="84"/>
      <c r="E509" s="84"/>
      <c r="F509" s="84"/>
      <c r="G509" s="84"/>
      <c r="H509" s="84"/>
      <c r="I509" s="84"/>
      <c r="J509" s="84"/>
      <c r="K509" s="84"/>
      <c r="L509" s="84"/>
      <c r="M509" s="85"/>
    </row>
    <row r="510" spans="1:13" ht="14.25">
      <c r="A510" s="82"/>
      <c r="B510" s="84"/>
      <c r="C510" s="84"/>
      <c r="D510" s="84"/>
      <c r="E510" s="84"/>
      <c r="F510" s="84"/>
      <c r="G510" s="84"/>
      <c r="H510" s="84"/>
      <c r="I510" s="84"/>
      <c r="J510" s="84"/>
      <c r="K510" s="84"/>
      <c r="L510" s="84"/>
      <c r="M510" s="85"/>
    </row>
    <row r="511" spans="1:13" ht="14.25">
      <c r="A511" s="82"/>
      <c r="B511" s="84"/>
      <c r="C511" s="84"/>
      <c r="D511" s="84"/>
      <c r="E511" s="84"/>
      <c r="F511" s="84"/>
      <c r="G511" s="84"/>
      <c r="H511" s="84"/>
      <c r="I511" s="84"/>
      <c r="J511" s="84"/>
      <c r="K511" s="84"/>
      <c r="L511" s="84"/>
      <c r="M511" s="85"/>
    </row>
    <row r="512" spans="1:13" ht="14.25">
      <c r="A512" s="82"/>
      <c r="B512" s="84"/>
      <c r="C512" s="84"/>
      <c r="D512" s="84"/>
      <c r="E512" s="84"/>
      <c r="F512" s="84"/>
      <c r="G512" s="84"/>
      <c r="H512" s="84"/>
      <c r="I512" s="84"/>
      <c r="J512" s="84"/>
      <c r="K512" s="84"/>
      <c r="L512" s="84"/>
      <c r="M512" s="85"/>
    </row>
    <row r="513" spans="1:13" ht="14.25">
      <c r="A513" s="82"/>
      <c r="B513" s="84"/>
      <c r="C513" s="84"/>
      <c r="D513" s="84"/>
      <c r="E513" s="84"/>
      <c r="F513" s="84"/>
      <c r="G513" s="84"/>
      <c r="H513" s="84"/>
      <c r="I513" s="84"/>
      <c r="J513" s="84"/>
      <c r="K513" s="84"/>
      <c r="L513" s="84"/>
      <c r="M513" s="85"/>
    </row>
    <row r="514" spans="1:13" ht="14.25">
      <c r="A514" s="82"/>
      <c r="B514" s="84"/>
      <c r="C514" s="84"/>
      <c r="D514" s="84"/>
      <c r="E514" s="84"/>
      <c r="F514" s="84"/>
      <c r="G514" s="84"/>
      <c r="H514" s="84"/>
      <c r="I514" s="84"/>
      <c r="J514" s="84"/>
      <c r="K514" s="84"/>
      <c r="L514" s="84"/>
      <c r="M514" s="85"/>
    </row>
    <row r="515" spans="1:13" ht="14.25">
      <c r="A515" s="82"/>
      <c r="B515" s="84"/>
      <c r="C515" s="84"/>
      <c r="D515" s="84"/>
      <c r="E515" s="84"/>
      <c r="F515" s="84"/>
      <c r="G515" s="84"/>
      <c r="H515" s="84"/>
      <c r="I515" s="84"/>
      <c r="J515" s="84"/>
      <c r="K515" s="84"/>
      <c r="L515" s="84"/>
      <c r="M515" s="85"/>
    </row>
    <row r="516" spans="1:13" ht="14.25">
      <c r="A516" s="82"/>
      <c r="B516" s="84"/>
      <c r="C516" s="84"/>
      <c r="D516" s="84"/>
      <c r="E516" s="84"/>
      <c r="F516" s="84"/>
      <c r="G516" s="84"/>
      <c r="H516" s="84"/>
      <c r="I516" s="84"/>
      <c r="J516" s="84"/>
      <c r="K516" s="84"/>
      <c r="L516" s="84"/>
      <c r="M516" s="85"/>
    </row>
    <row r="517" spans="1:13" ht="14.25">
      <c r="A517" s="82"/>
      <c r="B517" s="84"/>
      <c r="C517" s="84"/>
      <c r="D517" s="84"/>
      <c r="E517" s="84"/>
      <c r="F517" s="84"/>
      <c r="G517" s="84"/>
      <c r="H517" s="84"/>
      <c r="I517" s="84"/>
      <c r="J517" s="84"/>
      <c r="K517" s="84"/>
      <c r="L517" s="84"/>
      <c r="M517" s="85"/>
    </row>
    <row r="518" spans="1:13" ht="14.25">
      <c r="A518" s="82"/>
      <c r="B518" s="84"/>
      <c r="C518" s="84"/>
      <c r="D518" s="84"/>
      <c r="E518" s="84"/>
      <c r="F518" s="84"/>
      <c r="G518" s="84"/>
      <c r="H518" s="84"/>
      <c r="I518" s="84"/>
      <c r="J518" s="84"/>
      <c r="K518" s="84"/>
      <c r="L518" s="84"/>
      <c r="M518" s="85"/>
    </row>
    <row r="519" spans="1:13" ht="14.25">
      <c r="A519" s="82"/>
      <c r="B519" s="84"/>
      <c r="C519" s="84"/>
      <c r="D519" s="84"/>
      <c r="E519" s="84"/>
      <c r="F519" s="84"/>
      <c r="G519" s="84"/>
      <c r="H519" s="84"/>
      <c r="I519" s="84"/>
      <c r="J519" s="84"/>
      <c r="K519" s="84"/>
      <c r="L519" s="84"/>
      <c r="M519" s="85"/>
    </row>
    <row r="520" spans="1:13" ht="14.25">
      <c r="A520" s="82"/>
      <c r="B520" s="84"/>
      <c r="C520" s="84"/>
      <c r="D520" s="84"/>
      <c r="E520" s="84"/>
      <c r="F520" s="84"/>
      <c r="G520" s="84"/>
      <c r="H520" s="84"/>
      <c r="I520" s="84"/>
      <c r="J520" s="84"/>
      <c r="K520" s="84"/>
      <c r="L520" s="84"/>
      <c r="M520" s="85"/>
    </row>
    <row r="521" spans="1:13" ht="14.25">
      <c r="A521" s="82"/>
      <c r="B521" s="84"/>
      <c r="C521" s="84"/>
      <c r="D521" s="84"/>
      <c r="E521" s="84"/>
      <c r="F521" s="84"/>
      <c r="G521" s="84"/>
      <c r="H521" s="84"/>
      <c r="I521" s="84"/>
      <c r="J521" s="84"/>
      <c r="K521" s="84"/>
      <c r="L521" s="84"/>
      <c r="M521" s="85"/>
    </row>
    <row r="522" spans="1:13" ht="14.25">
      <c r="A522" s="82"/>
      <c r="B522" s="84"/>
      <c r="C522" s="84"/>
      <c r="D522" s="84"/>
      <c r="E522" s="84"/>
      <c r="F522" s="84"/>
      <c r="G522" s="84"/>
      <c r="H522" s="84"/>
      <c r="I522" s="84"/>
      <c r="J522" s="84"/>
      <c r="K522" s="84"/>
      <c r="L522" s="84"/>
      <c r="M522" s="85"/>
    </row>
    <row r="523" spans="1:13" ht="14.25">
      <c r="A523" s="82"/>
      <c r="B523" s="84"/>
      <c r="C523" s="84"/>
      <c r="D523" s="84"/>
      <c r="E523" s="84"/>
      <c r="F523" s="84"/>
      <c r="G523" s="84"/>
      <c r="H523" s="84"/>
      <c r="I523" s="84"/>
      <c r="J523" s="84"/>
      <c r="K523" s="84"/>
      <c r="L523" s="84"/>
      <c r="M523" s="85"/>
    </row>
    <row r="524" spans="1:13" ht="14.25">
      <c r="A524" s="82"/>
      <c r="B524" s="84"/>
      <c r="C524" s="84"/>
      <c r="D524" s="84"/>
      <c r="E524" s="84"/>
      <c r="F524" s="84"/>
      <c r="G524" s="84"/>
      <c r="H524" s="84"/>
      <c r="I524" s="84"/>
      <c r="J524" s="84"/>
      <c r="K524" s="84"/>
      <c r="L524" s="84"/>
      <c r="M524" s="85"/>
    </row>
    <row r="525" spans="1:13" ht="14.25">
      <c r="A525" s="82"/>
      <c r="B525" s="84"/>
      <c r="C525" s="84"/>
      <c r="D525" s="84"/>
      <c r="E525" s="84"/>
      <c r="F525" s="84"/>
      <c r="G525" s="84"/>
      <c r="H525" s="84"/>
      <c r="I525" s="84"/>
      <c r="J525" s="84"/>
      <c r="K525" s="84"/>
      <c r="L525" s="84"/>
      <c r="M525" s="85"/>
    </row>
    <row r="526" spans="1:13" ht="14.25">
      <c r="A526" s="82"/>
      <c r="B526" s="84"/>
      <c r="C526" s="84"/>
      <c r="D526" s="84"/>
      <c r="E526" s="84"/>
      <c r="F526" s="84"/>
      <c r="G526" s="84"/>
      <c r="H526" s="84"/>
      <c r="I526" s="84"/>
      <c r="J526" s="84"/>
      <c r="K526" s="84"/>
      <c r="L526" s="84"/>
      <c r="M526" s="85"/>
    </row>
    <row r="527" spans="1:13" ht="14.25">
      <c r="A527" s="82"/>
      <c r="B527" s="84"/>
      <c r="C527" s="84"/>
      <c r="D527" s="84"/>
      <c r="E527" s="84"/>
      <c r="F527" s="84"/>
      <c r="G527" s="84"/>
      <c r="H527" s="84"/>
      <c r="I527" s="84"/>
      <c r="J527" s="84"/>
      <c r="K527" s="84"/>
      <c r="L527" s="84"/>
      <c r="M527" s="85"/>
    </row>
    <row r="528" spans="1:13" ht="14.25">
      <c r="A528" s="82"/>
      <c r="B528" s="84"/>
      <c r="C528" s="84"/>
      <c r="D528" s="84"/>
      <c r="E528" s="84"/>
      <c r="F528" s="84"/>
      <c r="G528" s="84"/>
      <c r="H528" s="84"/>
      <c r="I528" s="84"/>
      <c r="J528" s="84"/>
      <c r="K528" s="84"/>
      <c r="L528" s="84"/>
      <c r="M528" s="85"/>
    </row>
    <row r="529" spans="1:13" ht="14.25">
      <c r="A529" s="82"/>
      <c r="B529" s="84"/>
      <c r="C529" s="84"/>
      <c r="D529" s="84"/>
      <c r="E529" s="84"/>
      <c r="F529" s="84"/>
      <c r="G529" s="84"/>
      <c r="H529" s="84"/>
      <c r="I529" s="84"/>
      <c r="J529" s="84"/>
      <c r="K529" s="84"/>
      <c r="L529" s="84"/>
      <c r="M529" s="85"/>
    </row>
    <row r="530" spans="1:13" ht="14.25">
      <c r="A530" s="82"/>
      <c r="B530" s="84"/>
      <c r="C530" s="84"/>
      <c r="D530" s="84"/>
      <c r="E530" s="84"/>
      <c r="F530" s="84"/>
      <c r="G530" s="84"/>
      <c r="H530" s="84"/>
      <c r="I530" s="84"/>
      <c r="J530" s="84"/>
      <c r="K530" s="84"/>
      <c r="L530" s="84"/>
      <c r="M530" s="85"/>
    </row>
    <row r="531" spans="1:13" ht="14.25">
      <c r="A531" s="82"/>
      <c r="B531" s="84"/>
      <c r="C531" s="84"/>
      <c r="D531" s="84"/>
      <c r="E531" s="84"/>
      <c r="F531" s="84"/>
      <c r="G531" s="84"/>
      <c r="H531" s="84"/>
      <c r="I531" s="84"/>
      <c r="J531" s="84"/>
      <c r="K531" s="84"/>
      <c r="L531" s="84"/>
      <c r="M531" s="85"/>
    </row>
    <row r="532" spans="1:13" ht="14.25">
      <c r="A532" s="82"/>
      <c r="B532" s="84"/>
      <c r="C532" s="84"/>
      <c r="D532" s="84"/>
      <c r="E532" s="84"/>
      <c r="F532" s="84"/>
      <c r="G532" s="84"/>
      <c r="H532" s="84"/>
      <c r="I532" s="84"/>
      <c r="J532" s="84"/>
      <c r="K532" s="84"/>
      <c r="L532" s="84"/>
      <c r="M532" s="85"/>
    </row>
    <row r="533" spans="1:13" ht="14.25">
      <c r="A533" s="82"/>
      <c r="B533" s="84"/>
      <c r="C533" s="84"/>
      <c r="D533" s="84"/>
      <c r="E533" s="84"/>
      <c r="F533" s="84"/>
      <c r="G533" s="84"/>
      <c r="H533" s="84"/>
      <c r="I533" s="84"/>
      <c r="J533" s="84"/>
      <c r="K533" s="84"/>
      <c r="L533" s="84"/>
      <c r="M533" s="85"/>
    </row>
    <row r="534" spans="1:13" ht="14.25">
      <c r="A534" s="82"/>
      <c r="B534" s="84"/>
      <c r="C534" s="84"/>
      <c r="D534" s="84"/>
      <c r="E534" s="84"/>
      <c r="F534" s="84"/>
      <c r="G534" s="84"/>
      <c r="H534" s="84"/>
      <c r="I534" s="84"/>
      <c r="J534" s="84"/>
      <c r="K534" s="84"/>
      <c r="L534" s="84"/>
      <c r="M534" s="85"/>
    </row>
    <row r="535" spans="1:13" ht="14.25">
      <c r="A535" s="82"/>
      <c r="B535" s="84"/>
      <c r="C535" s="84"/>
      <c r="D535" s="84"/>
      <c r="E535" s="84"/>
      <c r="F535" s="84"/>
      <c r="G535" s="84"/>
      <c r="H535" s="84"/>
      <c r="I535" s="84"/>
      <c r="J535" s="84"/>
      <c r="K535" s="84"/>
      <c r="L535" s="84"/>
      <c r="M535" s="85"/>
    </row>
    <row r="536" spans="1:13" ht="14.25">
      <c r="A536" s="82"/>
      <c r="B536" s="84"/>
      <c r="C536" s="84"/>
      <c r="D536" s="84"/>
      <c r="E536" s="84"/>
      <c r="F536" s="84"/>
      <c r="G536" s="84"/>
      <c r="H536" s="84"/>
      <c r="I536" s="84"/>
      <c r="J536" s="84"/>
      <c r="K536" s="84"/>
      <c r="L536" s="84"/>
      <c r="M536" s="85"/>
    </row>
    <row r="537" spans="1:13" ht="14.25">
      <c r="A537" s="82"/>
      <c r="B537" s="84"/>
      <c r="C537" s="84"/>
      <c r="D537" s="84"/>
      <c r="E537" s="84"/>
      <c r="F537" s="84"/>
      <c r="G537" s="84"/>
      <c r="H537" s="84"/>
      <c r="I537" s="84"/>
      <c r="J537" s="84"/>
      <c r="K537" s="84"/>
      <c r="L537" s="84"/>
      <c r="M537" s="85"/>
    </row>
    <row r="538" spans="1:13" ht="14.25">
      <c r="A538" s="82"/>
      <c r="B538" s="84"/>
      <c r="C538" s="84"/>
      <c r="D538" s="84"/>
      <c r="E538" s="84"/>
      <c r="F538" s="84"/>
      <c r="G538" s="84"/>
      <c r="H538" s="84"/>
      <c r="I538" s="84"/>
      <c r="J538" s="84"/>
      <c r="K538" s="84"/>
      <c r="L538" s="84"/>
      <c r="M538" s="85"/>
    </row>
    <row r="539" spans="1:13" ht="14.25">
      <c r="A539" s="82"/>
      <c r="B539" s="84"/>
      <c r="C539" s="84"/>
      <c r="D539" s="84"/>
      <c r="E539" s="84"/>
      <c r="F539" s="84"/>
      <c r="G539" s="84"/>
      <c r="H539" s="84"/>
      <c r="I539" s="84"/>
      <c r="J539" s="84"/>
      <c r="K539" s="84"/>
      <c r="L539" s="84"/>
      <c r="M539" s="85"/>
    </row>
    <row r="540" spans="1:13" ht="14.25">
      <c r="A540" s="82"/>
      <c r="B540" s="84"/>
      <c r="C540" s="84"/>
      <c r="D540" s="84"/>
      <c r="E540" s="84"/>
      <c r="F540" s="84"/>
      <c r="G540" s="84"/>
      <c r="H540" s="84"/>
      <c r="I540" s="84"/>
      <c r="J540" s="84"/>
      <c r="K540" s="84"/>
      <c r="L540" s="84"/>
      <c r="M540" s="85"/>
    </row>
    <row r="541" spans="1:13" ht="14.25">
      <c r="A541" s="82"/>
      <c r="B541" s="84"/>
      <c r="C541" s="84"/>
      <c r="D541" s="84"/>
      <c r="E541" s="84"/>
      <c r="F541" s="84"/>
      <c r="G541" s="84"/>
      <c r="H541" s="84"/>
      <c r="I541" s="84"/>
      <c r="J541" s="84"/>
      <c r="K541" s="84"/>
      <c r="L541" s="84"/>
      <c r="M541" s="85"/>
    </row>
    <row r="542" spans="1:13" ht="14.25">
      <c r="A542" s="82"/>
      <c r="B542" s="84"/>
      <c r="C542" s="84"/>
      <c r="D542" s="84"/>
      <c r="E542" s="84"/>
      <c r="F542" s="84"/>
      <c r="G542" s="84"/>
      <c r="H542" s="84"/>
      <c r="I542" s="84"/>
      <c r="J542" s="84"/>
      <c r="K542" s="84"/>
      <c r="L542" s="84"/>
      <c r="M542" s="85"/>
    </row>
    <row r="543" spans="1:13" ht="14.25">
      <c r="A543" s="82"/>
      <c r="B543" s="84"/>
      <c r="C543" s="84"/>
      <c r="D543" s="84"/>
      <c r="E543" s="84"/>
      <c r="F543" s="84"/>
      <c r="G543" s="84"/>
      <c r="H543" s="84"/>
      <c r="I543" s="84"/>
      <c r="J543" s="84"/>
      <c r="K543" s="84"/>
      <c r="L543" s="84"/>
      <c r="M543" s="85"/>
    </row>
    <row r="544" spans="1:13" ht="14.25">
      <c r="A544" s="82"/>
      <c r="B544" s="84"/>
      <c r="C544" s="84"/>
      <c r="D544" s="84"/>
      <c r="E544" s="84"/>
      <c r="F544" s="84"/>
      <c r="G544" s="84"/>
      <c r="H544" s="84"/>
      <c r="I544" s="84"/>
      <c r="J544" s="84"/>
      <c r="K544" s="84"/>
      <c r="L544" s="84"/>
      <c r="M544" s="85"/>
    </row>
    <row r="545" spans="1:13" ht="14.25">
      <c r="A545" s="82"/>
      <c r="B545" s="84"/>
      <c r="C545" s="84"/>
      <c r="D545" s="84"/>
      <c r="E545" s="84"/>
      <c r="F545" s="84"/>
      <c r="G545" s="84"/>
      <c r="H545" s="84"/>
      <c r="I545" s="84"/>
      <c r="J545" s="84"/>
      <c r="K545" s="84"/>
      <c r="L545" s="84"/>
      <c r="M545" s="85"/>
    </row>
    <row r="546" spans="1:13" ht="14.25">
      <c r="A546" s="82"/>
      <c r="B546" s="84"/>
      <c r="C546" s="84"/>
      <c r="D546" s="84"/>
      <c r="E546" s="84"/>
      <c r="F546" s="84"/>
      <c r="G546" s="84"/>
      <c r="H546" s="84"/>
      <c r="I546" s="84"/>
      <c r="J546" s="84"/>
      <c r="K546" s="84"/>
      <c r="L546" s="84"/>
      <c r="M546" s="85"/>
    </row>
    <row r="547" spans="1:13" ht="14.25">
      <c r="A547" s="82"/>
      <c r="B547" s="84"/>
      <c r="C547" s="84"/>
      <c r="D547" s="84"/>
      <c r="E547" s="84"/>
      <c r="F547" s="84"/>
      <c r="G547" s="84"/>
      <c r="H547" s="84"/>
      <c r="I547" s="84"/>
      <c r="J547" s="84"/>
      <c r="K547" s="84"/>
      <c r="L547" s="84"/>
      <c r="M547" s="85"/>
    </row>
    <row r="548" spans="1:13" ht="14.25">
      <c r="A548" s="82"/>
      <c r="B548" s="84"/>
      <c r="C548" s="84"/>
      <c r="D548" s="84"/>
      <c r="E548" s="84"/>
      <c r="F548" s="84"/>
      <c r="G548" s="84"/>
      <c r="H548" s="84"/>
      <c r="I548" s="84"/>
      <c r="J548" s="84"/>
      <c r="K548" s="84"/>
      <c r="L548" s="84"/>
      <c r="M548" s="85"/>
    </row>
    <row r="549" spans="1:13" ht="14.25">
      <c r="A549" s="82"/>
      <c r="B549" s="84"/>
      <c r="C549" s="84"/>
      <c r="D549" s="84"/>
      <c r="E549" s="84"/>
      <c r="F549" s="84"/>
      <c r="G549" s="84"/>
      <c r="H549" s="84"/>
      <c r="I549" s="84"/>
      <c r="J549" s="84"/>
      <c r="K549" s="84"/>
      <c r="L549" s="84"/>
      <c r="M549" s="85"/>
    </row>
    <row r="550" spans="1:13" ht="14.25">
      <c r="A550" s="82"/>
      <c r="B550" s="84"/>
      <c r="C550" s="84"/>
      <c r="D550" s="84"/>
      <c r="E550" s="84"/>
      <c r="F550" s="84"/>
      <c r="G550" s="84"/>
      <c r="H550" s="84"/>
      <c r="I550" s="84"/>
      <c r="J550" s="84"/>
      <c r="K550" s="84"/>
      <c r="L550" s="84"/>
      <c r="M550" s="85"/>
    </row>
    <row r="551" spans="1:13" ht="14.25">
      <c r="A551" s="82"/>
      <c r="B551" s="84"/>
      <c r="C551" s="84"/>
      <c r="D551" s="84"/>
      <c r="E551" s="84"/>
      <c r="F551" s="84"/>
      <c r="G551" s="84"/>
      <c r="H551" s="84"/>
      <c r="I551" s="84"/>
      <c r="J551" s="84"/>
      <c r="K551" s="84"/>
      <c r="L551" s="84"/>
      <c r="M551" s="85"/>
    </row>
    <row r="552" spans="1:13" ht="14.25">
      <c r="A552" s="82"/>
      <c r="B552" s="84"/>
      <c r="C552" s="84"/>
      <c r="D552" s="84"/>
      <c r="E552" s="84"/>
      <c r="F552" s="84"/>
      <c r="G552" s="84"/>
      <c r="H552" s="84"/>
      <c r="I552" s="84"/>
      <c r="J552" s="84"/>
      <c r="K552" s="84"/>
      <c r="L552" s="84"/>
      <c r="M552" s="85"/>
    </row>
    <row r="553" spans="1:13" ht="14.25">
      <c r="A553" s="82"/>
      <c r="B553" s="84"/>
      <c r="C553" s="84"/>
      <c r="D553" s="84"/>
      <c r="E553" s="84"/>
      <c r="F553" s="84"/>
      <c r="G553" s="84"/>
      <c r="H553" s="84"/>
      <c r="I553" s="84"/>
      <c r="J553" s="84"/>
      <c r="K553" s="84"/>
      <c r="L553" s="84"/>
      <c r="M553" s="85"/>
    </row>
    <row r="554" spans="1:13" ht="14.25">
      <c r="A554" s="82"/>
      <c r="B554" s="84"/>
      <c r="C554" s="84"/>
      <c r="D554" s="84"/>
      <c r="E554" s="84"/>
      <c r="F554" s="84"/>
      <c r="G554" s="84"/>
      <c r="H554" s="84"/>
      <c r="I554" s="84"/>
      <c r="J554" s="84"/>
      <c r="K554" s="84"/>
      <c r="L554" s="84"/>
      <c r="M554" s="85"/>
    </row>
    <row r="555" spans="1:13" ht="14.25">
      <c r="A555" s="82"/>
      <c r="B555" s="84"/>
      <c r="C555" s="84"/>
      <c r="D555" s="84"/>
      <c r="E555" s="84"/>
      <c r="F555" s="84"/>
      <c r="G555" s="84"/>
      <c r="H555" s="84"/>
      <c r="I555" s="84"/>
      <c r="J555" s="84"/>
      <c r="K555" s="84"/>
      <c r="L555" s="84"/>
      <c r="M555" s="85"/>
    </row>
    <row r="556" spans="1:13" ht="14.25">
      <c r="A556" s="82"/>
      <c r="B556" s="84"/>
      <c r="C556" s="84"/>
      <c r="D556" s="84"/>
      <c r="E556" s="84"/>
      <c r="F556" s="84"/>
      <c r="G556" s="84"/>
      <c r="H556" s="84"/>
      <c r="I556" s="84"/>
      <c r="J556" s="84"/>
      <c r="K556" s="84"/>
      <c r="L556" s="84"/>
      <c r="M556" s="85"/>
    </row>
    <row r="557" spans="1:13" ht="14.25">
      <c r="A557" s="82"/>
      <c r="B557" s="84"/>
      <c r="C557" s="84"/>
      <c r="D557" s="84"/>
      <c r="E557" s="84"/>
      <c r="F557" s="84"/>
      <c r="G557" s="84"/>
      <c r="H557" s="84"/>
      <c r="I557" s="84"/>
      <c r="J557" s="84"/>
      <c r="K557" s="84"/>
      <c r="L557" s="84"/>
      <c r="M557" s="85"/>
    </row>
    <row r="558" spans="1:13" ht="14.25">
      <c r="A558" s="82"/>
      <c r="B558" s="84"/>
      <c r="C558" s="84"/>
      <c r="D558" s="84"/>
      <c r="E558" s="84"/>
      <c r="F558" s="84"/>
      <c r="G558" s="84"/>
      <c r="H558" s="84"/>
      <c r="I558" s="84"/>
      <c r="J558" s="84"/>
      <c r="K558" s="84"/>
      <c r="L558" s="84"/>
      <c r="M558" s="85"/>
    </row>
    <row r="559" spans="1:13" ht="14.25">
      <c r="A559" s="82"/>
      <c r="B559" s="84"/>
      <c r="C559" s="84"/>
      <c r="D559" s="84"/>
      <c r="E559" s="84"/>
      <c r="F559" s="84"/>
      <c r="G559" s="84"/>
      <c r="H559" s="84"/>
      <c r="I559" s="84"/>
      <c r="J559" s="84"/>
      <c r="K559" s="84"/>
      <c r="L559" s="84"/>
      <c r="M559" s="85"/>
    </row>
    <row r="560" spans="1:13" ht="14.25">
      <c r="A560" s="82"/>
      <c r="B560" s="84"/>
      <c r="C560" s="84"/>
      <c r="D560" s="84"/>
      <c r="E560" s="84"/>
      <c r="F560" s="84"/>
      <c r="G560" s="84"/>
      <c r="H560" s="84"/>
      <c r="I560" s="84"/>
      <c r="J560" s="84"/>
      <c r="K560" s="84"/>
      <c r="L560" s="84"/>
      <c r="M560" s="85"/>
    </row>
    <row r="561" spans="1:13" ht="14.25">
      <c r="A561" s="82"/>
      <c r="B561" s="84"/>
      <c r="C561" s="84"/>
      <c r="D561" s="84"/>
      <c r="E561" s="84"/>
      <c r="F561" s="84"/>
      <c r="G561" s="84"/>
      <c r="H561" s="84"/>
      <c r="I561" s="84"/>
      <c r="J561" s="84"/>
      <c r="K561" s="84"/>
      <c r="L561" s="84"/>
      <c r="M561" s="85"/>
    </row>
    <row r="562" spans="1:13" ht="14.25">
      <c r="A562" s="82"/>
      <c r="B562" s="84"/>
      <c r="C562" s="84"/>
      <c r="D562" s="84"/>
      <c r="E562" s="84"/>
      <c r="F562" s="84"/>
      <c r="G562" s="84"/>
      <c r="H562" s="84"/>
      <c r="I562" s="84"/>
      <c r="J562" s="84"/>
      <c r="K562" s="84"/>
      <c r="L562" s="84"/>
      <c r="M562" s="85"/>
    </row>
    <row r="563" spans="1:13" ht="14.25">
      <c r="A563" s="82"/>
      <c r="B563" s="84"/>
      <c r="C563" s="84"/>
      <c r="D563" s="84"/>
      <c r="E563" s="84"/>
      <c r="F563" s="84"/>
      <c r="G563" s="84"/>
      <c r="H563" s="84"/>
      <c r="I563" s="84"/>
      <c r="J563" s="84"/>
      <c r="K563" s="84"/>
      <c r="L563" s="84"/>
      <c r="M563" s="85"/>
    </row>
    <row r="564" spans="1:13" ht="14.25">
      <c r="A564" s="82"/>
      <c r="B564" s="84"/>
      <c r="C564" s="84"/>
      <c r="D564" s="84"/>
      <c r="E564" s="84"/>
      <c r="F564" s="84"/>
      <c r="G564" s="84"/>
      <c r="H564" s="84"/>
      <c r="I564" s="84"/>
      <c r="J564" s="84"/>
      <c r="K564" s="84"/>
      <c r="L564" s="84"/>
      <c r="M564" s="85"/>
    </row>
    <row r="565" spans="1:13" ht="14.25">
      <c r="A565" s="82"/>
      <c r="B565" s="84"/>
      <c r="C565" s="84"/>
      <c r="D565" s="84"/>
      <c r="E565" s="84"/>
      <c r="F565" s="84"/>
      <c r="G565" s="84"/>
      <c r="H565" s="84"/>
      <c r="I565" s="84"/>
      <c r="J565" s="84"/>
      <c r="K565" s="84"/>
      <c r="L565" s="84"/>
      <c r="M565" s="85"/>
    </row>
    <row r="566" spans="1:13" ht="14.25">
      <c r="A566" s="82"/>
      <c r="B566" s="84"/>
      <c r="C566" s="84"/>
      <c r="D566" s="84"/>
      <c r="E566" s="84"/>
      <c r="F566" s="84"/>
      <c r="G566" s="84"/>
      <c r="H566" s="84"/>
      <c r="I566" s="84"/>
      <c r="J566" s="84"/>
      <c r="K566" s="84"/>
      <c r="L566" s="84"/>
      <c r="M566" s="85"/>
    </row>
    <row r="567" spans="1:13" ht="14.25">
      <c r="A567" s="82"/>
      <c r="B567" s="84"/>
      <c r="C567" s="84"/>
      <c r="D567" s="84"/>
      <c r="E567" s="84"/>
      <c r="F567" s="84"/>
      <c r="G567" s="84"/>
      <c r="H567" s="84"/>
      <c r="I567" s="84"/>
      <c r="J567" s="84"/>
      <c r="K567" s="84"/>
      <c r="L567" s="84"/>
      <c r="M567" s="85"/>
    </row>
    <row r="568" spans="1:13" ht="14.25">
      <c r="A568" s="82"/>
      <c r="B568" s="84"/>
      <c r="C568" s="84"/>
      <c r="D568" s="84"/>
      <c r="E568" s="84"/>
      <c r="F568" s="84"/>
      <c r="G568" s="84"/>
      <c r="H568" s="84"/>
      <c r="I568" s="84"/>
      <c r="J568" s="84"/>
      <c r="K568" s="84"/>
      <c r="L568" s="84"/>
      <c r="M568" s="85"/>
    </row>
    <row r="569" spans="1:13" ht="14.25">
      <c r="A569" s="82"/>
      <c r="B569" s="84"/>
      <c r="C569" s="84"/>
      <c r="D569" s="84"/>
      <c r="E569" s="84"/>
      <c r="F569" s="84"/>
      <c r="G569" s="84"/>
      <c r="H569" s="84"/>
      <c r="I569" s="84"/>
      <c r="J569" s="84"/>
      <c r="K569" s="84"/>
      <c r="L569" s="84"/>
      <c r="M569" s="85"/>
    </row>
    <row r="570" spans="1:13" ht="14.25">
      <c r="A570" s="82"/>
      <c r="B570" s="84"/>
      <c r="C570" s="84"/>
      <c r="D570" s="84"/>
      <c r="E570" s="84"/>
      <c r="F570" s="84"/>
      <c r="G570" s="84"/>
      <c r="H570" s="84"/>
      <c r="I570" s="84"/>
      <c r="J570" s="84"/>
      <c r="K570" s="84"/>
      <c r="L570" s="84"/>
      <c r="M570" s="85"/>
    </row>
    <row r="571" spans="1:13" ht="14.25">
      <c r="A571" s="82"/>
      <c r="B571" s="84"/>
      <c r="C571" s="84"/>
      <c r="D571" s="84"/>
      <c r="E571" s="84"/>
      <c r="F571" s="84"/>
      <c r="G571" s="84"/>
      <c r="H571" s="84"/>
      <c r="I571" s="84"/>
      <c r="J571" s="84"/>
      <c r="K571" s="84"/>
      <c r="L571" s="84"/>
      <c r="M571" s="85"/>
    </row>
    <row r="572" spans="1:13" ht="14.25">
      <c r="A572" s="82"/>
      <c r="B572" s="84"/>
      <c r="C572" s="84"/>
      <c r="D572" s="84"/>
      <c r="E572" s="84"/>
      <c r="F572" s="84"/>
      <c r="G572" s="84"/>
      <c r="H572" s="84"/>
      <c r="I572" s="84"/>
      <c r="J572" s="84"/>
      <c r="K572" s="84"/>
      <c r="L572" s="84"/>
      <c r="M572" s="85"/>
    </row>
    <row r="573" spans="1:13" ht="14.25">
      <c r="A573" s="82"/>
      <c r="B573" s="84"/>
      <c r="C573" s="84"/>
      <c r="D573" s="84"/>
      <c r="E573" s="84"/>
      <c r="F573" s="84"/>
      <c r="G573" s="84"/>
      <c r="H573" s="84"/>
      <c r="I573" s="84"/>
      <c r="J573" s="84"/>
      <c r="K573" s="84"/>
      <c r="L573" s="84"/>
      <c r="M573" s="85"/>
    </row>
    <row r="574" spans="1:13" ht="14.25">
      <c r="A574" s="82"/>
      <c r="B574" s="84"/>
      <c r="C574" s="84"/>
      <c r="D574" s="84"/>
      <c r="E574" s="84"/>
      <c r="F574" s="84"/>
      <c r="G574" s="84"/>
      <c r="H574" s="84"/>
      <c r="I574" s="84"/>
      <c r="J574" s="84"/>
      <c r="K574" s="84"/>
      <c r="L574" s="84"/>
      <c r="M574" s="85"/>
    </row>
    <row r="575" spans="1:13" ht="14.25">
      <c r="A575" s="82"/>
      <c r="B575" s="84"/>
      <c r="C575" s="84"/>
      <c r="D575" s="84"/>
      <c r="E575" s="84"/>
      <c r="F575" s="84"/>
      <c r="G575" s="84"/>
      <c r="H575" s="84"/>
      <c r="I575" s="84"/>
      <c r="J575" s="84"/>
      <c r="K575" s="84"/>
      <c r="L575" s="84"/>
      <c r="M575" s="85"/>
    </row>
    <row r="576" spans="1:13" ht="14.25">
      <c r="A576" s="82"/>
      <c r="B576" s="84"/>
      <c r="C576" s="84"/>
      <c r="D576" s="84"/>
      <c r="E576" s="84"/>
      <c r="F576" s="84"/>
      <c r="G576" s="84"/>
      <c r="H576" s="84"/>
      <c r="I576" s="84"/>
      <c r="J576" s="84"/>
      <c r="K576" s="84"/>
      <c r="L576" s="84"/>
      <c r="M576" s="85"/>
    </row>
    <row r="577" spans="1:13" ht="14.25">
      <c r="A577" s="82"/>
      <c r="B577" s="84"/>
      <c r="C577" s="84"/>
      <c r="D577" s="84"/>
      <c r="E577" s="84"/>
      <c r="F577" s="84"/>
      <c r="G577" s="84"/>
      <c r="H577" s="84"/>
      <c r="I577" s="84"/>
      <c r="J577" s="84"/>
      <c r="K577" s="84"/>
      <c r="L577" s="84"/>
      <c r="M577" s="85"/>
    </row>
    <row r="578" spans="1:13" ht="14.25">
      <c r="A578" s="82"/>
      <c r="B578" s="84"/>
      <c r="C578" s="84"/>
      <c r="D578" s="84"/>
      <c r="E578" s="84"/>
      <c r="F578" s="84"/>
      <c r="G578" s="84"/>
      <c r="H578" s="84"/>
      <c r="I578" s="84"/>
      <c r="J578" s="84"/>
      <c r="K578" s="84"/>
      <c r="L578" s="84"/>
      <c r="M578" s="85"/>
    </row>
    <row r="579" spans="1:13" ht="14.25">
      <c r="A579" s="82"/>
      <c r="B579" s="84"/>
      <c r="C579" s="84"/>
      <c r="D579" s="84"/>
      <c r="E579" s="84"/>
      <c r="F579" s="84"/>
      <c r="G579" s="84"/>
      <c r="H579" s="84"/>
      <c r="I579" s="84"/>
      <c r="J579" s="84"/>
      <c r="K579" s="84"/>
      <c r="L579" s="84"/>
      <c r="M579" s="85"/>
    </row>
    <row r="580" spans="1:13" ht="14.25">
      <c r="A580" s="82"/>
      <c r="B580" s="84"/>
      <c r="C580" s="84"/>
      <c r="D580" s="84"/>
      <c r="E580" s="84"/>
      <c r="F580" s="84"/>
      <c r="G580" s="84"/>
      <c r="H580" s="84"/>
      <c r="I580" s="84"/>
      <c r="J580" s="84"/>
      <c r="K580" s="84"/>
      <c r="L580" s="84"/>
      <c r="M580" s="85"/>
    </row>
    <row r="581" spans="1:13" ht="14.25">
      <c r="A581" s="82"/>
      <c r="B581" s="84"/>
      <c r="C581" s="84"/>
      <c r="D581" s="84"/>
      <c r="E581" s="84"/>
      <c r="F581" s="84"/>
      <c r="G581" s="84"/>
      <c r="H581" s="84"/>
      <c r="I581" s="84"/>
      <c r="J581" s="84"/>
      <c r="K581" s="84"/>
      <c r="L581" s="84"/>
      <c r="M581" s="85"/>
    </row>
    <row r="582" spans="1:13" ht="14.25">
      <c r="A582" s="82"/>
      <c r="B582" s="84"/>
      <c r="C582" s="84"/>
      <c r="D582" s="84"/>
      <c r="E582" s="84"/>
      <c r="F582" s="84"/>
      <c r="G582" s="84"/>
      <c r="H582" s="84"/>
      <c r="I582" s="84"/>
      <c r="J582" s="84"/>
      <c r="K582" s="84"/>
      <c r="L582" s="84"/>
      <c r="M582" s="85"/>
    </row>
    <row r="583" spans="1:13" ht="14.25">
      <c r="A583" s="82"/>
      <c r="B583" s="84"/>
      <c r="C583" s="84"/>
      <c r="D583" s="84"/>
      <c r="E583" s="84"/>
      <c r="F583" s="84"/>
      <c r="G583" s="84"/>
      <c r="H583" s="84"/>
      <c r="I583" s="84"/>
      <c r="J583" s="84"/>
      <c r="K583" s="84"/>
      <c r="L583" s="84"/>
      <c r="M583" s="85"/>
    </row>
    <row r="584" spans="1:13" ht="14.25">
      <c r="A584" s="82"/>
      <c r="B584" s="84"/>
      <c r="C584" s="84"/>
      <c r="D584" s="84"/>
      <c r="E584" s="84"/>
      <c r="F584" s="84"/>
      <c r="G584" s="84"/>
      <c r="H584" s="84"/>
      <c r="I584" s="84"/>
      <c r="J584" s="84"/>
      <c r="K584" s="84"/>
      <c r="L584" s="84"/>
      <c r="M584" s="85"/>
    </row>
    <row r="585" spans="1:13" ht="14.25">
      <c r="A585" s="82"/>
      <c r="B585" s="84"/>
      <c r="C585" s="84"/>
      <c r="D585" s="84"/>
      <c r="E585" s="84"/>
      <c r="F585" s="84"/>
      <c r="G585" s="84"/>
      <c r="H585" s="84"/>
      <c r="I585" s="84"/>
      <c r="J585" s="84"/>
      <c r="K585" s="84"/>
      <c r="L585" s="84"/>
      <c r="M585" s="85"/>
    </row>
    <row r="586" spans="1:13" ht="14.25">
      <c r="A586" s="82"/>
      <c r="B586" s="84"/>
      <c r="C586" s="84"/>
      <c r="D586" s="84"/>
      <c r="E586" s="84"/>
      <c r="F586" s="84"/>
      <c r="G586" s="84"/>
      <c r="H586" s="84"/>
      <c r="I586" s="84"/>
      <c r="J586" s="84"/>
      <c r="K586" s="84"/>
      <c r="L586" s="84"/>
      <c r="M586" s="85"/>
    </row>
    <row r="587" spans="1:13" ht="14.25">
      <c r="A587" s="82"/>
      <c r="B587" s="84"/>
      <c r="C587" s="84"/>
      <c r="D587" s="84"/>
      <c r="E587" s="84"/>
      <c r="F587" s="84"/>
      <c r="G587" s="84"/>
      <c r="H587" s="84"/>
      <c r="I587" s="84"/>
      <c r="J587" s="84"/>
      <c r="K587" s="84"/>
      <c r="L587" s="84"/>
      <c r="M587" s="85"/>
    </row>
    <row r="588" spans="1:13" ht="14.25">
      <c r="A588" s="82"/>
      <c r="B588" s="84"/>
      <c r="C588" s="84"/>
      <c r="D588" s="84"/>
      <c r="E588" s="84"/>
      <c r="F588" s="84"/>
      <c r="G588" s="84"/>
      <c r="H588" s="84"/>
      <c r="I588" s="84"/>
      <c r="J588" s="84"/>
      <c r="K588" s="84"/>
      <c r="L588" s="84"/>
      <c r="M588" s="85"/>
    </row>
    <row r="589" spans="1:13" ht="14.25">
      <c r="A589" s="82"/>
      <c r="B589" s="84"/>
      <c r="C589" s="84"/>
      <c r="D589" s="84"/>
      <c r="E589" s="84"/>
      <c r="F589" s="84"/>
      <c r="G589" s="84"/>
      <c r="H589" s="84"/>
      <c r="I589" s="84"/>
      <c r="J589" s="84"/>
      <c r="K589" s="84"/>
      <c r="L589" s="84"/>
      <c r="M589" s="85"/>
    </row>
    <row r="590" spans="1:13" ht="14.25">
      <c r="A590" s="82"/>
      <c r="B590" s="84"/>
      <c r="C590" s="84"/>
      <c r="D590" s="84"/>
      <c r="E590" s="84"/>
      <c r="F590" s="84"/>
      <c r="G590" s="84"/>
      <c r="H590" s="84"/>
      <c r="I590" s="84"/>
      <c r="J590" s="84"/>
      <c r="K590" s="84"/>
      <c r="L590" s="84"/>
      <c r="M590" s="85"/>
    </row>
    <row r="591" spans="1:13" ht="14.25">
      <c r="A591" s="82"/>
      <c r="B591" s="84"/>
      <c r="C591" s="84"/>
      <c r="D591" s="84"/>
      <c r="E591" s="84"/>
      <c r="F591" s="84"/>
      <c r="G591" s="84"/>
      <c r="H591" s="84"/>
      <c r="I591" s="84"/>
      <c r="J591" s="84"/>
      <c r="K591" s="84"/>
      <c r="L591" s="84"/>
      <c r="M591" s="85"/>
    </row>
    <row r="592" spans="1:13" ht="14.25">
      <c r="A592" s="82"/>
      <c r="B592" s="84"/>
      <c r="C592" s="84"/>
      <c r="D592" s="84"/>
      <c r="E592" s="84"/>
      <c r="F592" s="84"/>
      <c r="G592" s="84"/>
      <c r="H592" s="84"/>
      <c r="I592" s="84"/>
      <c r="J592" s="84"/>
      <c r="K592" s="84"/>
      <c r="L592" s="84"/>
      <c r="M592" s="85"/>
    </row>
    <row r="593" spans="1:13" ht="14.25">
      <c r="A593" s="82"/>
      <c r="B593" s="84"/>
      <c r="C593" s="84"/>
      <c r="D593" s="84"/>
      <c r="E593" s="84"/>
      <c r="F593" s="84"/>
      <c r="G593" s="84"/>
      <c r="H593" s="84"/>
      <c r="I593" s="84"/>
      <c r="J593" s="84"/>
      <c r="K593" s="84"/>
      <c r="L593" s="84"/>
      <c r="M593" s="85"/>
    </row>
    <row r="594" spans="1:13" ht="14.25">
      <c r="A594" s="82"/>
      <c r="B594" s="84"/>
      <c r="C594" s="84"/>
      <c r="D594" s="84"/>
      <c r="E594" s="84"/>
      <c r="F594" s="84"/>
      <c r="G594" s="84"/>
      <c r="H594" s="84"/>
      <c r="I594" s="84"/>
      <c r="J594" s="84"/>
      <c r="K594" s="84"/>
      <c r="L594" s="84"/>
      <c r="M594" s="85"/>
    </row>
    <row r="595" spans="1:13" ht="14.25">
      <c r="A595" s="82"/>
      <c r="B595" s="84"/>
      <c r="C595" s="84"/>
      <c r="D595" s="84"/>
      <c r="E595" s="84"/>
      <c r="F595" s="84"/>
      <c r="G595" s="84"/>
      <c r="H595" s="84"/>
      <c r="I595" s="84"/>
      <c r="J595" s="84"/>
      <c r="K595" s="84"/>
      <c r="L595" s="84"/>
      <c r="M595" s="85"/>
    </row>
    <row r="596" spans="1:13" ht="14.25">
      <c r="A596" s="82"/>
      <c r="B596" s="84"/>
      <c r="C596" s="84"/>
      <c r="D596" s="84"/>
      <c r="E596" s="84"/>
      <c r="F596" s="84"/>
      <c r="G596" s="84"/>
      <c r="H596" s="84"/>
      <c r="I596" s="84"/>
      <c r="J596" s="84"/>
      <c r="K596" s="84"/>
      <c r="L596" s="84"/>
      <c r="M596" s="85"/>
    </row>
    <row r="597" spans="1:13" ht="14.25">
      <c r="A597" s="82"/>
      <c r="B597" s="84"/>
      <c r="C597" s="84"/>
      <c r="D597" s="84"/>
      <c r="E597" s="84"/>
      <c r="F597" s="84"/>
      <c r="G597" s="84"/>
      <c r="H597" s="84"/>
      <c r="I597" s="84"/>
      <c r="J597" s="84"/>
      <c r="K597" s="84"/>
      <c r="L597" s="84"/>
      <c r="M597" s="85"/>
    </row>
    <row r="598" spans="1:13" ht="14.25">
      <c r="A598" s="82"/>
      <c r="B598" s="84"/>
      <c r="C598" s="84"/>
      <c r="D598" s="84"/>
      <c r="E598" s="84"/>
      <c r="F598" s="84"/>
      <c r="G598" s="84"/>
      <c r="H598" s="84"/>
      <c r="I598" s="84"/>
      <c r="J598" s="84"/>
      <c r="K598" s="84"/>
      <c r="L598" s="84"/>
      <c r="M598" s="85"/>
    </row>
    <row r="599" spans="1:13" ht="14.25">
      <c r="A599" s="82"/>
      <c r="B599" s="84"/>
      <c r="C599" s="84"/>
      <c r="D599" s="84"/>
      <c r="E599" s="84"/>
      <c r="F599" s="84"/>
      <c r="G599" s="84"/>
      <c r="H599" s="84"/>
      <c r="I599" s="84"/>
      <c r="J599" s="84"/>
      <c r="K599" s="84"/>
      <c r="L599" s="84"/>
      <c r="M599" s="85"/>
    </row>
    <row r="600" spans="1:13" ht="14.25">
      <c r="A600" s="82"/>
      <c r="B600" s="84"/>
      <c r="C600" s="84"/>
      <c r="D600" s="84"/>
      <c r="E600" s="84"/>
      <c r="F600" s="84"/>
      <c r="G600" s="84"/>
      <c r="H600" s="84"/>
      <c r="I600" s="84"/>
      <c r="J600" s="84"/>
      <c r="K600" s="84"/>
      <c r="L600" s="84"/>
      <c r="M600" s="85"/>
    </row>
    <row r="601" spans="1:13" ht="14.25">
      <c r="A601" s="82"/>
      <c r="B601" s="84"/>
      <c r="C601" s="84"/>
      <c r="D601" s="84"/>
      <c r="E601" s="84"/>
      <c r="F601" s="84"/>
      <c r="G601" s="84"/>
      <c r="H601" s="84"/>
      <c r="I601" s="84"/>
      <c r="J601" s="84"/>
      <c r="K601" s="84"/>
      <c r="L601" s="84"/>
      <c r="M601" s="85"/>
    </row>
    <row r="602" spans="1:13" ht="14.25">
      <c r="A602" s="82"/>
      <c r="B602" s="84"/>
      <c r="C602" s="84"/>
      <c r="D602" s="84"/>
      <c r="E602" s="84"/>
      <c r="F602" s="84"/>
      <c r="G602" s="84"/>
      <c r="H602" s="84"/>
      <c r="I602" s="84"/>
      <c r="J602" s="84"/>
      <c r="K602" s="84"/>
      <c r="L602" s="84"/>
      <c r="M602" s="85"/>
    </row>
    <row r="603" spans="1:13" ht="14.25">
      <c r="A603" s="82"/>
      <c r="B603" s="84"/>
      <c r="C603" s="84"/>
      <c r="D603" s="84"/>
      <c r="E603" s="84"/>
      <c r="F603" s="84"/>
      <c r="G603" s="84"/>
      <c r="H603" s="84"/>
      <c r="I603" s="84"/>
      <c r="J603" s="84"/>
      <c r="K603" s="84"/>
      <c r="L603" s="84"/>
      <c r="M603" s="85"/>
    </row>
    <row r="604" spans="1:13" ht="14.25">
      <c r="A604" s="82"/>
      <c r="B604" s="84"/>
      <c r="C604" s="84"/>
      <c r="D604" s="84"/>
      <c r="E604" s="84"/>
      <c r="F604" s="84"/>
      <c r="G604" s="84"/>
      <c r="H604" s="84"/>
      <c r="I604" s="84"/>
      <c r="J604" s="84"/>
      <c r="K604" s="84"/>
      <c r="L604" s="84"/>
      <c r="M604" s="85"/>
    </row>
    <row r="605" spans="1:13" ht="14.25">
      <c r="A605" s="82"/>
      <c r="B605" s="84"/>
      <c r="C605" s="84"/>
      <c r="D605" s="84"/>
      <c r="E605" s="84"/>
      <c r="F605" s="84"/>
      <c r="G605" s="84"/>
      <c r="H605" s="84"/>
      <c r="I605" s="84"/>
      <c r="J605" s="84"/>
      <c r="K605" s="84"/>
      <c r="L605" s="84"/>
      <c r="M605" s="85"/>
    </row>
    <row r="606" spans="1:13" ht="14.25">
      <c r="A606" s="82"/>
      <c r="B606" s="84"/>
      <c r="C606" s="84"/>
      <c r="D606" s="84"/>
      <c r="E606" s="84"/>
      <c r="F606" s="84"/>
      <c r="G606" s="84"/>
      <c r="H606" s="84"/>
      <c r="I606" s="84"/>
      <c r="J606" s="84"/>
      <c r="K606" s="84"/>
      <c r="L606" s="84"/>
      <c r="M606" s="85"/>
    </row>
    <row r="607" spans="1:13" ht="14.25">
      <c r="A607" s="82"/>
      <c r="B607" s="84"/>
      <c r="C607" s="84"/>
      <c r="D607" s="84"/>
      <c r="E607" s="84"/>
      <c r="F607" s="84"/>
      <c r="G607" s="84"/>
      <c r="H607" s="84"/>
      <c r="I607" s="84"/>
      <c r="J607" s="84"/>
      <c r="K607" s="84"/>
      <c r="L607" s="84"/>
      <c r="M607" s="85"/>
    </row>
    <row r="608" spans="1:13" ht="14.25">
      <c r="A608" s="82"/>
      <c r="B608" s="84"/>
      <c r="C608" s="84"/>
      <c r="D608" s="84"/>
      <c r="E608" s="84"/>
      <c r="F608" s="84"/>
      <c r="G608" s="84"/>
      <c r="H608" s="84"/>
      <c r="I608" s="84"/>
      <c r="J608" s="84"/>
      <c r="K608" s="84"/>
      <c r="L608" s="84"/>
      <c r="M608" s="85"/>
    </row>
    <row r="609" spans="1:13" ht="14.25">
      <c r="A609" s="82"/>
      <c r="B609" s="84"/>
      <c r="C609" s="84"/>
      <c r="D609" s="84"/>
      <c r="E609" s="84"/>
      <c r="F609" s="84"/>
      <c r="G609" s="84"/>
      <c r="H609" s="84"/>
      <c r="I609" s="84"/>
      <c r="J609" s="84"/>
      <c r="K609" s="84"/>
      <c r="L609" s="84"/>
      <c r="M609" s="85"/>
    </row>
    <row r="610" spans="1:13" ht="14.25">
      <c r="A610" s="82"/>
      <c r="B610" s="84"/>
      <c r="C610" s="84"/>
      <c r="D610" s="84"/>
      <c r="E610" s="84"/>
      <c r="F610" s="84"/>
      <c r="G610" s="84"/>
      <c r="H610" s="84"/>
      <c r="I610" s="84"/>
      <c r="J610" s="84"/>
      <c r="K610" s="84"/>
      <c r="L610" s="84"/>
      <c r="M610" s="85"/>
    </row>
    <row r="611" spans="1:13" ht="14.25">
      <c r="A611" s="82"/>
      <c r="B611" s="84"/>
      <c r="C611" s="84"/>
      <c r="D611" s="84"/>
      <c r="E611" s="84"/>
      <c r="F611" s="84"/>
      <c r="G611" s="84"/>
      <c r="H611" s="84"/>
      <c r="I611" s="84"/>
      <c r="J611" s="84"/>
      <c r="K611" s="84"/>
      <c r="L611" s="84"/>
      <c r="M611" s="85"/>
    </row>
    <row r="612" spans="1:13" ht="14.25">
      <c r="A612" s="82"/>
      <c r="B612" s="84"/>
      <c r="C612" s="84"/>
      <c r="D612" s="84"/>
      <c r="E612" s="84"/>
      <c r="F612" s="84"/>
      <c r="G612" s="84"/>
      <c r="H612" s="84"/>
      <c r="I612" s="84"/>
      <c r="J612" s="84"/>
      <c r="K612" s="84"/>
      <c r="L612" s="84"/>
      <c r="M612" s="85"/>
    </row>
    <row r="613" spans="1:13" ht="14.25">
      <c r="A613" s="82"/>
      <c r="B613" s="84"/>
      <c r="C613" s="84"/>
      <c r="D613" s="84"/>
      <c r="E613" s="84"/>
      <c r="F613" s="84"/>
      <c r="G613" s="84"/>
      <c r="H613" s="84"/>
      <c r="I613" s="84"/>
      <c r="J613" s="84"/>
      <c r="K613" s="84"/>
      <c r="L613" s="84"/>
      <c r="M613" s="85"/>
    </row>
    <row r="614" spans="1:13" ht="14.25">
      <c r="A614" s="82"/>
      <c r="B614" s="84"/>
      <c r="C614" s="84"/>
      <c r="D614" s="84"/>
      <c r="E614" s="84"/>
      <c r="F614" s="84"/>
      <c r="G614" s="84"/>
      <c r="H614" s="84"/>
      <c r="I614" s="84"/>
      <c r="J614" s="84"/>
      <c r="K614" s="84"/>
      <c r="L614" s="84"/>
      <c r="M614" s="85"/>
    </row>
    <row r="615" spans="1:13" ht="14.25">
      <c r="A615" s="82"/>
      <c r="B615" s="84"/>
      <c r="C615" s="84"/>
      <c r="D615" s="84"/>
      <c r="E615" s="84"/>
      <c r="F615" s="84"/>
      <c r="G615" s="84"/>
      <c r="H615" s="84"/>
      <c r="I615" s="84"/>
      <c r="J615" s="84"/>
      <c r="K615" s="84"/>
      <c r="L615" s="84"/>
      <c r="M615" s="85"/>
    </row>
    <row r="616" spans="1:13" ht="14.25">
      <c r="A616" s="82"/>
      <c r="B616" s="84"/>
      <c r="C616" s="84"/>
      <c r="D616" s="84"/>
      <c r="E616" s="84"/>
      <c r="F616" s="84"/>
      <c r="G616" s="84"/>
      <c r="H616" s="84"/>
      <c r="I616" s="84"/>
      <c r="J616" s="84"/>
      <c r="K616" s="84"/>
      <c r="L616" s="84"/>
      <c r="M616" s="85"/>
    </row>
    <row r="617" spans="1:13" ht="14.25">
      <c r="A617" s="82"/>
      <c r="B617" s="84"/>
      <c r="C617" s="84"/>
      <c r="D617" s="84"/>
      <c r="E617" s="84"/>
      <c r="F617" s="84"/>
      <c r="G617" s="84"/>
      <c r="H617" s="84"/>
      <c r="I617" s="84"/>
      <c r="J617" s="84"/>
      <c r="K617" s="84"/>
      <c r="L617" s="84"/>
      <c r="M617" s="85"/>
    </row>
    <row r="618" spans="1:13" ht="14.25">
      <c r="A618" s="82"/>
      <c r="B618" s="84"/>
      <c r="C618" s="84"/>
      <c r="D618" s="84"/>
      <c r="E618" s="84"/>
      <c r="F618" s="84"/>
      <c r="G618" s="84"/>
      <c r="H618" s="84"/>
      <c r="I618" s="84"/>
      <c r="J618" s="84"/>
      <c r="K618" s="84"/>
      <c r="L618" s="84"/>
      <c r="M618" s="85"/>
    </row>
    <row r="619" spans="1:13" ht="14.25">
      <c r="A619" s="82"/>
      <c r="B619" s="84"/>
      <c r="C619" s="84"/>
      <c r="D619" s="84"/>
      <c r="E619" s="84"/>
      <c r="F619" s="84"/>
      <c r="G619" s="84"/>
      <c r="H619" s="84"/>
      <c r="I619" s="84"/>
      <c r="J619" s="84"/>
      <c r="K619" s="84"/>
      <c r="L619" s="84"/>
      <c r="M619" s="85"/>
    </row>
    <row r="620" spans="1:13" ht="14.25">
      <c r="A620" s="82"/>
      <c r="B620" s="84"/>
      <c r="C620" s="84"/>
      <c r="D620" s="84"/>
      <c r="E620" s="84"/>
      <c r="F620" s="84"/>
      <c r="G620" s="84"/>
      <c r="H620" s="84"/>
      <c r="I620" s="84"/>
      <c r="J620" s="84"/>
      <c r="K620" s="84"/>
      <c r="L620" s="84"/>
      <c r="M620" s="85"/>
    </row>
    <row r="621" spans="1:13" ht="14.25">
      <c r="A621" s="82"/>
      <c r="B621" s="84"/>
      <c r="C621" s="84"/>
      <c r="D621" s="84"/>
      <c r="E621" s="84"/>
      <c r="F621" s="84"/>
      <c r="G621" s="84"/>
      <c r="H621" s="84"/>
      <c r="I621" s="84"/>
      <c r="J621" s="84"/>
      <c r="K621" s="84"/>
      <c r="L621" s="84"/>
      <c r="M621" s="85"/>
    </row>
    <row r="622" spans="1:13" ht="14.25">
      <c r="A622" s="82"/>
      <c r="B622" s="84"/>
      <c r="C622" s="84"/>
      <c r="D622" s="84"/>
      <c r="E622" s="84"/>
      <c r="F622" s="84"/>
      <c r="G622" s="84"/>
      <c r="H622" s="84"/>
      <c r="I622" s="84"/>
      <c r="J622" s="84"/>
      <c r="K622" s="84"/>
      <c r="L622" s="84"/>
      <c r="M622" s="85"/>
    </row>
    <row r="623" spans="1:13" ht="14.25">
      <c r="A623" s="82"/>
      <c r="B623" s="84"/>
      <c r="C623" s="84"/>
      <c r="D623" s="84"/>
      <c r="E623" s="84"/>
      <c r="F623" s="84"/>
      <c r="G623" s="84"/>
      <c r="H623" s="84"/>
      <c r="I623" s="84"/>
      <c r="J623" s="84"/>
      <c r="K623" s="84"/>
      <c r="L623" s="84"/>
      <c r="M623" s="85"/>
    </row>
    <row r="624" spans="1:13" ht="14.25">
      <c r="A624" s="82"/>
      <c r="B624" s="84"/>
      <c r="C624" s="84"/>
      <c r="D624" s="84"/>
      <c r="E624" s="84"/>
      <c r="F624" s="84"/>
      <c r="G624" s="84"/>
      <c r="H624" s="84"/>
      <c r="I624" s="84"/>
      <c r="J624" s="84"/>
      <c r="K624" s="84"/>
      <c r="L624" s="84"/>
      <c r="M624" s="85"/>
    </row>
    <row r="625" spans="1:13" ht="14.25">
      <c r="A625" s="82"/>
      <c r="B625" s="84"/>
      <c r="C625" s="84"/>
      <c r="D625" s="84"/>
      <c r="E625" s="84"/>
      <c r="F625" s="84"/>
      <c r="G625" s="84"/>
      <c r="H625" s="84"/>
      <c r="I625" s="84"/>
      <c r="J625" s="84"/>
      <c r="K625" s="84"/>
      <c r="L625" s="84"/>
      <c r="M625" s="85"/>
    </row>
    <row r="626" spans="1:13" ht="14.25">
      <c r="A626" s="82"/>
      <c r="B626" s="84"/>
      <c r="C626" s="84"/>
      <c r="D626" s="84"/>
      <c r="E626" s="84"/>
      <c r="F626" s="84"/>
      <c r="G626" s="84"/>
      <c r="H626" s="84"/>
      <c r="I626" s="84"/>
      <c r="J626" s="84"/>
      <c r="K626" s="84"/>
      <c r="L626" s="84"/>
      <c r="M626" s="85"/>
    </row>
    <row r="627" spans="1:13" ht="14.25">
      <c r="A627" s="82"/>
      <c r="B627" s="84"/>
      <c r="C627" s="84"/>
      <c r="D627" s="84"/>
      <c r="E627" s="84"/>
      <c r="F627" s="84"/>
      <c r="G627" s="84"/>
      <c r="H627" s="84"/>
      <c r="I627" s="84"/>
      <c r="J627" s="84"/>
      <c r="K627" s="84"/>
      <c r="L627" s="84"/>
      <c r="M627" s="85"/>
    </row>
    <row r="628" spans="1:13" ht="14.25">
      <c r="A628" s="82"/>
      <c r="B628" s="84"/>
      <c r="C628" s="84"/>
      <c r="D628" s="84"/>
      <c r="E628" s="84"/>
      <c r="F628" s="84"/>
      <c r="G628" s="84"/>
      <c r="H628" s="84"/>
      <c r="I628" s="84"/>
      <c r="J628" s="84"/>
      <c r="K628" s="84"/>
      <c r="L628" s="84"/>
      <c r="M628" s="85"/>
    </row>
    <row r="629" spans="1:13" ht="14.25">
      <c r="A629" s="82"/>
      <c r="B629" s="84"/>
      <c r="C629" s="84"/>
      <c r="D629" s="84"/>
      <c r="E629" s="84"/>
      <c r="F629" s="84"/>
      <c r="G629" s="84"/>
      <c r="H629" s="84"/>
      <c r="I629" s="84"/>
      <c r="J629" s="84"/>
      <c r="K629" s="84"/>
      <c r="L629" s="84"/>
      <c r="M629" s="85"/>
    </row>
    <row r="630" spans="1:13" ht="14.25">
      <c r="A630" s="82"/>
      <c r="B630" s="84"/>
      <c r="C630" s="84"/>
      <c r="D630" s="84"/>
      <c r="E630" s="84"/>
      <c r="F630" s="84"/>
      <c r="G630" s="84"/>
      <c r="H630" s="84"/>
      <c r="I630" s="84"/>
      <c r="J630" s="84"/>
      <c r="K630" s="84"/>
      <c r="L630" s="84"/>
      <c r="M630" s="85"/>
    </row>
    <row r="631" spans="1:13" ht="14.25">
      <c r="A631" s="82"/>
      <c r="B631" s="84"/>
      <c r="C631" s="84"/>
      <c r="D631" s="84"/>
      <c r="E631" s="84"/>
      <c r="F631" s="84"/>
      <c r="G631" s="84"/>
      <c r="H631" s="84"/>
      <c r="I631" s="84"/>
      <c r="J631" s="84"/>
      <c r="K631" s="84"/>
      <c r="L631" s="84"/>
      <c r="M631" s="85"/>
    </row>
    <row r="632" spans="1:13" ht="14.25">
      <c r="A632" s="82"/>
      <c r="B632" s="84"/>
      <c r="C632" s="84"/>
      <c r="D632" s="84"/>
      <c r="E632" s="84"/>
      <c r="F632" s="84"/>
      <c r="G632" s="84"/>
      <c r="H632" s="84"/>
      <c r="I632" s="84"/>
      <c r="J632" s="84"/>
      <c r="K632" s="84"/>
      <c r="L632" s="84"/>
      <c r="M632" s="85"/>
    </row>
    <row r="633" spans="1:13" ht="14.25">
      <c r="A633" s="82"/>
      <c r="B633" s="84"/>
      <c r="C633" s="84"/>
      <c r="D633" s="84"/>
      <c r="E633" s="84"/>
      <c r="F633" s="84"/>
      <c r="G633" s="84"/>
      <c r="H633" s="84"/>
      <c r="I633" s="84"/>
      <c r="J633" s="84"/>
      <c r="K633" s="84"/>
      <c r="L633" s="84"/>
      <c r="M633" s="85"/>
    </row>
    <row r="634" spans="1:13" ht="14.25">
      <c r="A634" s="82"/>
      <c r="B634" s="84"/>
      <c r="C634" s="84"/>
      <c r="D634" s="84"/>
      <c r="E634" s="84"/>
      <c r="F634" s="84"/>
      <c r="G634" s="84"/>
      <c r="H634" s="84"/>
      <c r="I634" s="84"/>
      <c r="J634" s="84"/>
      <c r="K634" s="84"/>
      <c r="L634" s="84"/>
      <c r="M634" s="85"/>
    </row>
    <row r="635" spans="1:13" ht="14.25">
      <c r="A635" s="82"/>
      <c r="B635" s="84"/>
      <c r="C635" s="84"/>
      <c r="D635" s="84"/>
      <c r="E635" s="84"/>
      <c r="F635" s="84"/>
      <c r="G635" s="84"/>
      <c r="H635" s="84"/>
      <c r="I635" s="84"/>
      <c r="J635" s="84"/>
      <c r="K635" s="84"/>
      <c r="L635" s="84"/>
      <c r="M635" s="85"/>
    </row>
    <row r="636" spans="1:13" ht="14.25">
      <c r="A636" s="82"/>
      <c r="B636" s="84"/>
      <c r="C636" s="84"/>
      <c r="D636" s="84"/>
      <c r="E636" s="84"/>
      <c r="F636" s="84"/>
      <c r="G636" s="84"/>
      <c r="H636" s="84"/>
      <c r="I636" s="84"/>
      <c r="J636" s="84"/>
      <c r="K636" s="84"/>
      <c r="L636" s="84"/>
      <c r="M636" s="85"/>
    </row>
    <row r="637" spans="1:13" ht="14.25">
      <c r="A637" s="82"/>
      <c r="B637" s="84"/>
      <c r="C637" s="84"/>
      <c r="D637" s="84"/>
      <c r="E637" s="84"/>
      <c r="F637" s="84"/>
      <c r="G637" s="84"/>
      <c r="H637" s="84"/>
      <c r="I637" s="84"/>
      <c r="J637" s="84"/>
      <c r="K637" s="84"/>
      <c r="L637" s="84"/>
      <c r="M637" s="85"/>
    </row>
    <row r="638" spans="1:13" ht="14.25">
      <c r="A638" s="82"/>
      <c r="B638" s="84"/>
      <c r="C638" s="84"/>
      <c r="D638" s="84"/>
      <c r="E638" s="84"/>
      <c r="F638" s="84"/>
      <c r="G638" s="84"/>
      <c r="H638" s="84"/>
      <c r="I638" s="84"/>
      <c r="J638" s="84"/>
      <c r="K638" s="84"/>
      <c r="L638" s="84"/>
      <c r="M638" s="85"/>
    </row>
    <row r="639" spans="1:13" ht="14.25">
      <c r="A639" s="82"/>
      <c r="B639" s="84"/>
      <c r="C639" s="84"/>
      <c r="D639" s="84"/>
      <c r="E639" s="84"/>
      <c r="F639" s="84"/>
      <c r="G639" s="84"/>
      <c r="H639" s="84"/>
      <c r="I639" s="84"/>
      <c r="J639" s="84"/>
      <c r="K639" s="84"/>
      <c r="L639" s="84"/>
      <c r="M639" s="85"/>
    </row>
    <row r="640" spans="1:13" ht="14.25">
      <c r="A640" s="82"/>
      <c r="B640" s="84"/>
      <c r="C640" s="84"/>
      <c r="D640" s="84"/>
      <c r="E640" s="84"/>
      <c r="F640" s="84"/>
      <c r="G640" s="84"/>
      <c r="H640" s="84"/>
      <c r="I640" s="84"/>
      <c r="J640" s="84"/>
      <c r="K640" s="84"/>
      <c r="L640" s="84"/>
      <c r="M640" s="85"/>
    </row>
    <row r="641" spans="1:13" ht="14.25">
      <c r="A641" s="82"/>
      <c r="B641" s="84"/>
      <c r="C641" s="84"/>
      <c r="D641" s="84"/>
      <c r="E641" s="84"/>
      <c r="F641" s="84"/>
      <c r="G641" s="84"/>
      <c r="H641" s="84"/>
      <c r="I641" s="84"/>
      <c r="J641" s="84"/>
      <c r="K641" s="84"/>
      <c r="L641" s="84"/>
      <c r="M641" s="85"/>
    </row>
    <row r="642" spans="1:13" ht="14.25">
      <c r="A642" s="82"/>
      <c r="B642" s="84"/>
      <c r="C642" s="84"/>
      <c r="D642" s="84"/>
      <c r="E642" s="84"/>
      <c r="F642" s="84"/>
      <c r="G642" s="84"/>
      <c r="H642" s="84"/>
      <c r="I642" s="84"/>
      <c r="J642" s="84"/>
      <c r="K642" s="84"/>
      <c r="L642" s="84"/>
      <c r="M642" s="85"/>
    </row>
    <row r="643" spans="1:13" ht="14.25">
      <c r="A643" s="82"/>
      <c r="B643" s="84"/>
      <c r="C643" s="84"/>
      <c r="D643" s="84"/>
      <c r="E643" s="84"/>
      <c r="F643" s="84"/>
      <c r="G643" s="84"/>
      <c r="H643" s="84"/>
      <c r="I643" s="84"/>
      <c r="J643" s="84"/>
      <c r="K643" s="84"/>
      <c r="L643" s="84"/>
      <c r="M643" s="85"/>
    </row>
    <row r="644" spans="1:13" ht="14.25">
      <c r="A644" s="82"/>
      <c r="B644" s="84"/>
      <c r="C644" s="84"/>
      <c r="D644" s="84"/>
      <c r="E644" s="84"/>
      <c r="F644" s="84"/>
      <c r="G644" s="84"/>
      <c r="H644" s="84"/>
      <c r="I644" s="84"/>
      <c r="J644" s="84"/>
      <c r="K644" s="84"/>
      <c r="L644" s="84"/>
      <c r="M644" s="85"/>
    </row>
    <row r="645" spans="1:13" ht="14.25">
      <c r="A645" s="82"/>
      <c r="B645" s="84"/>
      <c r="C645" s="84"/>
      <c r="D645" s="84"/>
      <c r="E645" s="84"/>
      <c r="F645" s="84"/>
      <c r="G645" s="84"/>
      <c r="H645" s="84"/>
      <c r="I645" s="84"/>
      <c r="J645" s="84"/>
      <c r="K645" s="84"/>
      <c r="L645" s="84"/>
      <c r="M645" s="85"/>
    </row>
    <row r="646" spans="1:13" ht="14.25">
      <c r="A646" s="82"/>
      <c r="B646" s="84"/>
      <c r="C646" s="84"/>
      <c r="D646" s="84"/>
      <c r="E646" s="84"/>
      <c r="F646" s="84"/>
      <c r="G646" s="84"/>
      <c r="H646" s="84"/>
      <c r="I646" s="84"/>
      <c r="J646" s="84"/>
      <c r="K646" s="84"/>
      <c r="L646" s="84"/>
      <c r="M646" s="85"/>
    </row>
    <row r="647" spans="1:13" ht="14.25">
      <c r="A647" s="82"/>
      <c r="B647" s="84"/>
      <c r="C647" s="84"/>
      <c r="D647" s="84"/>
      <c r="E647" s="84"/>
      <c r="F647" s="84"/>
      <c r="G647" s="84"/>
      <c r="H647" s="84"/>
      <c r="I647" s="84"/>
      <c r="J647" s="84"/>
      <c r="K647" s="84"/>
      <c r="L647" s="84"/>
      <c r="M647" s="85"/>
    </row>
    <row r="648" spans="1:13" ht="14.25">
      <c r="A648" s="82"/>
      <c r="B648" s="84"/>
      <c r="C648" s="84"/>
      <c r="D648" s="84"/>
      <c r="E648" s="84"/>
      <c r="F648" s="84"/>
      <c r="G648" s="84"/>
      <c r="H648" s="84"/>
      <c r="I648" s="84"/>
      <c r="J648" s="84"/>
      <c r="K648" s="84"/>
      <c r="L648" s="84"/>
      <c r="M648" s="85"/>
    </row>
    <row r="649" spans="1:13" ht="14.25">
      <c r="A649" s="82"/>
      <c r="B649" s="84"/>
      <c r="C649" s="84"/>
      <c r="D649" s="84"/>
      <c r="E649" s="84"/>
      <c r="F649" s="84"/>
      <c r="G649" s="84"/>
      <c r="H649" s="84"/>
      <c r="I649" s="84"/>
      <c r="J649" s="84"/>
      <c r="K649" s="84"/>
      <c r="L649" s="84"/>
      <c r="M649" s="85"/>
    </row>
    <row r="650" spans="1:13" ht="14.25">
      <c r="A650" s="82"/>
      <c r="B650" s="84"/>
      <c r="C650" s="84"/>
      <c r="D650" s="84"/>
      <c r="E650" s="84"/>
      <c r="F650" s="84"/>
      <c r="G650" s="84"/>
      <c r="H650" s="84"/>
      <c r="I650" s="84"/>
      <c r="J650" s="84"/>
      <c r="K650" s="84"/>
      <c r="L650" s="84"/>
      <c r="M650" s="85"/>
    </row>
    <row r="651" spans="1:13" ht="14.25">
      <c r="A651" s="82"/>
      <c r="B651" s="84"/>
      <c r="C651" s="84"/>
      <c r="D651" s="84"/>
      <c r="E651" s="84"/>
      <c r="F651" s="84"/>
      <c r="G651" s="84"/>
      <c r="H651" s="84"/>
      <c r="I651" s="84"/>
      <c r="J651" s="84"/>
      <c r="K651" s="84"/>
      <c r="L651" s="84"/>
      <c r="M651" s="85"/>
    </row>
    <row r="652" spans="1:13" ht="14.25">
      <c r="A652" s="82"/>
      <c r="B652" s="84"/>
      <c r="C652" s="84"/>
      <c r="D652" s="84"/>
      <c r="E652" s="84"/>
      <c r="F652" s="84"/>
      <c r="G652" s="84"/>
      <c r="H652" s="84"/>
      <c r="I652" s="84"/>
      <c r="J652" s="84"/>
      <c r="K652" s="84"/>
      <c r="L652" s="84"/>
      <c r="M652" s="85"/>
    </row>
    <row r="653" spans="1:13" ht="14.25">
      <c r="A653" s="82"/>
      <c r="B653" s="84"/>
      <c r="C653" s="84"/>
      <c r="D653" s="84"/>
      <c r="E653" s="84"/>
      <c r="F653" s="84"/>
      <c r="G653" s="84"/>
      <c r="H653" s="84"/>
      <c r="I653" s="84"/>
      <c r="J653" s="84"/>
      <c r="K653" s="84"/>
      <c r="L653" s="84"/>
      <c r="M653" s="85"/>
    </row>
    <row r="654" spans="1:13" ht="14.25">
      <c r="A654" s="82"/>
      <c r="B654" s="84"/>
      <c r="C654" s="84"/>
      <c r="D654" s="84"/>
      <c r="E654" s="84"/>
      <c r="F654" s="84"/>
      <c r="G654" s="84"/>
      <c r="H654" s="84"/>
      <c r="I654" s="84"/>
      <c r="J654" s="84"/>
      <c r="K654" s="84"/>
      <c r="L654" s="84"/>
      <c r="M654" s="85"/>
    </row>
    <row r="655" spans="1:13" ht="14.25">
      <c r="A655" s="82"/>
      <c r="B655" s="84"/>
      <c r="C655" s="84"/>
      <c r="D655" s="84"/>
      <c r="E655" s="84"/>
      <c r="F655" s="84"/>
      <c r="G655" s="84"/>
      <c r="H655" s="84"/>
      <c r="I655" s="84"/>
      <c r="J655" s="84"/>
      <c r="K655" s="84"/>
      <c r="L655" s="84"/>
      <c r="M655" s="85"/>
    </row>
    <row r="656" spans="1:13" ht="14.25">
      <c r="A656" s="82"/>
      <c r="B656" s="84"/>
      <c r="C656" s="84"/>
      <c r="D656" s="84"/>
      <c r="E656" s="84"/>
      <c r="F656" s="84"/>
      <c r="G656" s="84"/>
      <c r="H656" s="84"/>
      <c r="I656" s="84"/>
      <c r="J656" s="84"/>
      <c r="K656" s="84"/>
      <c r="L656" s="84"/>
      <c r="M656" s="85"/>
    </row>
    <row r="657" spans="1:13" ht="14.25">
      <c r="A657" s="82"/>
      <c r="B657" s="84"/>
      <c r="C657" s="84"/>
      <c r="D657" s="84"/>
      <c r="E657" s="84"/>
      <c r="F657" s="84"/>
      <c r="G657" s="84"/>
      <c r="H657" s="84"/>
      <c r="I657" s="84"/>
      <c r="J657" s="84"/>
      <c r="K657" s="84"/>
      <c r="L657" s="84"/>
      <c r="M657" s="85"/>
    </row>
    <row r="658" spans="1:13" ht="14.25">
      <c r="A658" s="82"/>
      <c r="B658" s="84"/>
      <c r="C658" s="84"/>
      <c r="D658" s="84"/>
      <c r="E658" s="84"/>
      <c r="F658" s="84"/>
      <c r="G658" s="84"/>
      <c r="H658" s="84"/>
      <c r="I658" s="84"/>
      <c r="J658" s="84"/>
      <c r="K658" s="84"/>
      <c r="L658" s="84"/>
      <c r="M658" s="85"/>
    </row>
    <row r="659" spans="1:13" ht="14.25">
      <c r="A659" s="82"/>
      <c r="B659" s="84"/>
      <c r="C659" s="84"/>
      <c r="D659" s="84"/>
      <c r="E659" s="84"/>
      <c r="F659" s="84"/>
      <c r="G659" s="84"/>
      <c r="H659" s="84"/>
      <c r="I659" s="84"/>
      <c r="J659" s="84"/>
      <c r="K659" s="84"/>
      <c r="L659" s="84"/>
      <c r="M659" s="85"/>
    </row>
    <row r="660" spans="1:13" ht="14.25">
      <c r="A660" s="82"/>
      <c r="B660" s="84"/>
      <c r="C660" s="84"/>
      <c r="D660" s="84"/>
      <c r="E660" s="84"/>
      <c r="F660" s="84"/>
      <c r="G660" s="84"/>
      <c r="H660" s="84"/>
      <c r="I660" s="84"/>
      <c r="J660" s="84"/>
      <c r="K660" s="84"/>
      <c r="L660" s="84"/>
      <c r="M660" s="85"/>
    </row>
    <row r="661" spans="1:13" ht="14.25">
      <c r="A661" s="82"/>
      <c r="B661" s="84"/>
      <c r="C661" s="84"/>
      <c r="D661" s="84"/>
      <c r="E661" s="84"/>
      <c r="F661" s="84"/>
      <c r="G661" s="84"/>
      <c r="H661" s="84"/>
      <c r="I661" s="84"/>
      <c r="J661" s="84"/>
      <c r="K661" s="84"/>
      <c r="L661" s="84"/>
      <c r="M661" s="85"/>
    </row>
    <row r="662" spans="1:13" ht="14.25">
      <c r="A662" s="82"/>
      <c r="B662" s="84"/>
      <c r="C662" s="84"/>
      <c r="D662" s="84"/>
      <c r="E662" s="84"/>
      <c r="F662" s="84"/>
      <c r="G662" s="84"/>
      <c r="H662" s="84"/>
      <c r="I662" s="84"/>
      <c r="J662" s="84"/>
      <c r="K662" s="84"/>
      <c r="L662" s="84"/>
      <c r="M662" s="85"/>
    </row>
    <row r="663" spans="1:13" ht="14.25">
      <c r="A663" s="82"/>
      <c r="B663" s="84"/>
      <c r="C663" s="84"/>
      <c r="D663" s="84"/>
      <c r="E663" s="84"/>
      <c r="F663" s="84"/>
      <c r="G663" s="84"/>
      <c r="H663" s="84"/>
      <c r="I663" s="84"/>
      <c r="J663" s="84"/>
      <c r="K663" s="84"/>
      <c r="L663" s="84"/>
      <c r="M663" s="85"/>
    </row>
    <row r="664" spans="1:13" ht="14.25">
      <c r="A664" s="82"/>
      <c r="B664" s="84"/>
      <c r="C664" s="84"/>
      <c r="D664" s="84"/>
      <c r="E664" s="84"/>
      <c r="F664" s="84"/>
      <c r="G664" s="84"/>
      <c r="H664" s="84"/>
      <c r="I664" s="84"/>
      <c r="J664" s="84"/>
      <c r="K664" s="84"/>
      <c r="L664" s="84"/>
      <c r="M664" s="85"/>
    </row>
    <row r="665" spans="1:13" ht="14.25">
      <c r="A665" s="82"/>
      <c r="B665" s="84"/>
      <c r="C665" s="84"/>
      <c r="D665" s="84"/>
      <c r="E665" s="84"/>
      <c r="F665" s="84"/>
      <c r="G665" s="84"/>
      <c r="H665" s="84"/>
      <c r="I665" s="84"/>
      <c r="J665" s="84"/>
      <c r="K665" s="84"/>
      <c r="L665" s="84"/>
      <c r="M665" s="85"/>
    </row>
    <row r="666" spans="1:13" ht="14.25">
      <c r="A666" s="82"/>
      <c r="B666" s="84"/>
      <c r="C666" s="84"/>
      <c r="D666" s="84"/>
      <c r="E666" s="84"/>
      <c r="F666" s="84"/>
      <c r="G666" s="84"/>
      <c r="H666" s="84"/>
      <c r="I666" s="84"/>
      <c r="J666" s="84"/>
      <c r="K666" s="84"/>
      <c r="L666" s="84"/>
      <c r="M666" s="85"/>
    </row>
    <row r="667" spans="1:13" ht="14.25">
      <c r="A667" s="82"/>
      <c r="B667" s="84"/>
      <c r="C667" s="84"/>
      <c r="D667" s="84"/>
      <c r="E667" s="84"/>
      <c r="F667" s="84"/>
      <c r="G667" s="84"/>
      <c r="H667" s="84"/>
      <c r="I667" s="84"/>
      <c r="J667" s="84"/>
      <c r="K667" s="84"/>
      <c r="L667" s="84"/>
      <c r="M667" s="85"/>
    </row>
    <row r="668" spans="1:13" ht="14.25">
      <c r="A668" s="82"/>
      <c r="B668" s="84"/>
      <c r="C668" s="84"/>
      <c r="D668" s="84"/>
      <c r="E668" s="84"/>
      <c r="F668" s="84"/>
      <c r="G668" s="84"/>
      <c r="H668" s="84"/>
      <c r="I668" s="84"/>
      <c r="J668" s="84"/>
      <c r="K668" s="84"/>
      <c r="L668" s="84"/>
      <c r="M668" s="85"/>
    </row>
    <row r="669" spans="1:13" ht="14.25">
      <c r="A669" s="82"/>
      <c r="B669" s="84"/>
      <c r="C669" s="84"/>
      <c r="D669" s="84"/>
      <c r="E669" s="84"/>
      <c r="F669" s="84"/>
      <c r="G669" s="84"/>
      <c r="H669" s="84"/>
      <c r="I669" s="84"/>
      <c r="J669" s="84"/>
      <c r="K669" s="84"/>
      <c r="L669" s="84"/>
      <c r="M669" s="85"/>
    </row>
    <row r="670" spans="1:13" ht="14.25">
      <c r="A670" s="82"/>
      <c r="B670" s="84"/>
      <c r="C670" s="84"/>
      <c r="D670" s="84"/>
      <c r="E670" s="84"/>
      <c r="F670" s="84"/>
      <c r="G670" s="84"/>
      <c r="H670" s="84"/>
      <c r="I670" s="84"/>
      <c r="J670" s="84"/>
      <c r="K670" s="84"/>
      <c r="L670" s="84"/>
      <c r="M670" s="85"/>
    </row>
    <row r="671" spans="1:13" ht="14.25">
      <c r="A671" s="82"/>
      <c r="B671" s="84"/>
      <c r="C671" s="84"/>
      <c r="D671" s="84"/>
      <c r="E671" s="84"/>
      <c r="F671" s="84"/>
      <c r="G671" s="84"/>
      <c r="H671" s="84"/>
      <c r="I671" s="84"/>
      <c r="J671" s="84"/>
      <c r="K671" s="84"/>
      <c r="L671" s="84"/>
      <c r="M671" s="85"/>
    </row>
    <row r="672" spans="1:13" ht="14.25">
      <c r="A672" s="82"/>
      <c r="B672" s="84"/>
      <c r="C672" s="84"/>
      <c r="D672" s="84"/>
      <c r="E672" s="84"/>
      <c r="F672" s="84"/>
      <c r="G672" s="84"/>
      <c r="H672" s="84"/>
      <c r="I672" s="84"/>
      <c r="J672" s="84"/>
      <c r="K672" s="84"/>
      <c r="L672" s="84"/>
      <c r="M672" s="85"/>
    </row>
    <row r="673" spans="1:13" ht="14.25">
      <c r="A673" s="82"/>
      <c r="B673" s="84"/>
      <c r="C673" s="84"/>
      <c r="D673" s="84"/>
      <c r="E673" s="84"/>
      <c r="F673" s="84"/>
      <c r="G673" s="84"/>
      <c r="H673" s="84"/>
      <c r="I673" s="84"/>
      <c r="J673" s="84"/>
      <c r="K673" s="84"/>
      <c r="L673" s="84"/>
      <c r="M673" s="85"/>
    </row>
    <row r="674" spans="1:13" ht="14.25">
      <c r="A674" s="82"/>
      <c r="B674" s="84"/>
      <c r="C674" s="84"/>
      <c r="D674" s="84"/>
      <c r="E674" s="84"/>
      <c r="F674" s="84"/>
      <c r="G674" s="84"/>
      <c r="H674" s="84"/>
      <c r="I674" s="84"/>
      <c r="J674" s="84"/>
      <c r="K674" s="84"/>
      <c r="L674" s="84"/>
      <c r="M674" s="85"/>
    </row>
    <row r="675" spans="1:13" ht="14.25">
      <c r="A675" s="82"/>
      <c r="B675" s="84"/>
      <c r="C675" s="84"/>
      <c r="D675" s="84"/>
      <c r="E675" s="84"/>
      <c r="F675" s="84"/>
      <c r="G675" s="84"/>
      <c r="H675" s="84"/>
      <c r="I675" s="84"/>
      <c r="J675" s="84"/>
      <c r="K675" s="84"/>
      <c r="L675" s="84"/>
      <c r="M675" s="85"/>
    </row>
    <row r="676" spans="1:13" ht="14.25">
      <c r="A676" s="82"/>
      <c r="B676" s="84"/>
      <c r="C676" s="84"/>
      <c r="D676" s="84"/>
      <c r="E676" s="84"/>
      <c r="F676" s="84"/>
      <c r="G676" s="84"/>
      <c r="H676" s="84"/>
      <c r="I676" s="84"/>
      <c r="J676" s="84"/>
      <c r="K676" s="84"/>
      <c r="L676" s="84"/>
      <c r="M676" s="85"/>
    </row>
    <row r="677" spans="1:13" ht="14.25">
      <c r="A677" s="82"/>
      <c r="B677" s="84"/>
      <c r="C677" s="84"/>
      <c r="D677" s="84"/>
      <c r="E677" s="84"/>
      <c r="F677" s="84"/>
      <c r="G677" s="84"/>
      <c r="H677" s="84"/>
      <c r="I677" s="84"/>
      <c r="J677" s="84"/>
      <c r="K677" s="84"/>
      <c r="L677" s="84"/>
      <c r="M677" s="85"/>
    </row>
    <row r="678" spans="1:13" ht="14.25">
      <c r="A678" s="82"/>
      <c r="B678" s="84"/>
      <c r="C678" s="84"/>
      <c r="D678" s="84"/>
      <c r="E678" s="84"/>
      <c r="F678" s="84"/>
      <c r="G678" s="84"/>
      <c r="H678" s="84"/>
      <c r="I678" s="84"/>
      <c r="J678" s="84"/>
      <c r="K678" s="84"/>
      <c r="L678" s="84"/>
      <c r="M678" s="85"/>
    </row>
    <row r="679" spans="1:13" ht="14.25">
      <c r="A679" s="82"/>
      <c r="B679" s="84"/>
      <c r="C679" s="84"/>
      <c r="D679" s="84"/>
      <c r="E679" s="84"/>
      <c r="F679" s="84"/>
      <c r="G679" s="84"/>
      <c r="H679" s="84"/>
      <c r="I679" s="84"/>
      <c r="J679" s="84"/>
      <c r="K679" s="84"/>
      <c r="L679" s="84"/>
      <c r="M679" s="85"/>
    </row>
    <row r="680" spans="1:13" ht="14.25">
      <c r="A680" s="82"/>
      <c r="B680" s="84"/>
      <c r="C680" s="84"/>
      <c r="D680" s="84"/>
      <c r="E680" s="84"/>
      <c r="F680" s="84"/>
      <c r="G680" s="84"/>
      <c r="H680" s="84"/>
      <c r="I680" s="84"/>
      <c r="J680" s="84"/>
      <c r="K680" s="84"/>
      <c r="L680" s="84"/>
      <c r="M680" s="85"/>
    </row>
    <row r="681" spans="1:13" ht="14.25">
      <c r="A681" s="82"/>
      <c r="B681" s="84"/>
      <c r="C681" s="84"/>
      <c r="D681" s="84"/>
      <c r="E681" s="84"/>
      <c r="F681" s="84"/>
      <c r="G681" s="84"/>
      <c r="H681" s="84"/>
      <c r="I681" s="84"/>
      <c r="J681" s="84"/>
      <c r="K681" s="84"/>
      <c r="L681" s="84"/>
      <c r="M681" s="85"/>
    </row>
    <row r="682" spans="1:13" ht="14.25">
      <c r="A682" s="82"/>
      <c r="B682" s="84"/>
      <c r="C682" s="84"/>
      <c r="D682" s="84"/>
      <c r="E682" s="84"/>
      <c r="F682" s="84"/>
      <c r="G682" s="84"/>
      <c r="H682" s="84"/>
      <c r="I682" s="84"/>
      <c r="J682" s="84"/>
      <c r="K682" s="84"/>
      <c r="L682" s="84"/>
      <c r="M682" s="85"/>
    </row>
    <row r="683" spans="1:13" ht="14.25">
      <c r="A683" s="82"/>
      <c r="B683" s="84"/>
      <c r="C683" s="84"/>
      <c r="D683" s="84"/>
      <c r="E683" s="84"/>
      <c r="F683" s="84"/>
      <c r="G683" s="84"/>
      <c r="H683" s="84"/>
      <c r="I683" s="84"/>
      <c r="J683" s="84"/>
      <c r="K683" s="84"/>
      <c r="L683" s="84"/>
      <c r="M683" s="85"/>
    </row>
    <row r="684" spans="1:13" ht="14.25">
      <c r="A684" s="82"/>
      <c r="B684" s="84"/>
      <c r="C684" s="84"/>
      <c r="D684" s="84"/>
      <c r="E684" s="84"/>
      <c r="F684" s="84"/>
      <c r="G684" s="84"/>
      <c r="H684" s="84"/>
      <c r="I684" s="84"/>
      <c r="J684" s="84"/>
      <c r="K684" s="84"/>
      <c r="L684" s="84"/>
      <c r="M684" s="85"/>
    </row>
    <row r="685" spans="1:13" ht="14.25">
      <c r="A685" s="82"/>
      <c r="B685" s="84"/>
      <c r="C685" s="84"/>
      <c r="D685" s="84"/>
      <c r="E685" s="84"/>
      <c r="F685" s="84"/>
      <c r="G685" s="84"/>
      <c r="H685" s="84"/>
      <c r="I685" s="84"/>
      <c r="J685" s="84"/>
      <c r="K685" s="84"/>
      <c r="L685" s="84"/>
      <c r="M685" s="85"/>
    </row>
    <row r="686" spans="1:13" ht="14.25">
      <c r="A686" s="82"/>
      <c r="B686" s="84"/>
      <c r="C686" s="84"/>
      <c r="D686" s="84"/>
      <c r="E686" s="84"/>
      <c r="F686" s="84"/>
      <c r="G686" s="84"/>
      <c r="H686" s="84"/>
      <c r="I686" s="84"/>
      <c r="J686" s="84"/>
      <c r="K686" s="84"/>
      <c r="L686" s="84"/>
      <c r="M686" s="85"/>
    </row>
    <row r="687" spans="1:13" ht="14.25">
      <c r="A687" s="82"/>
      <c r="B687" s="84"/>
      <c r="C687" s="84"/>
      <c r="D687" s="84"/>
      <c r="E687" s="84"/>
      <c r="F687" s="84"/>
      <c r="G687" s="84"/>
      <c r="H687" s="84"/>
      <c r="I687" s="84"/>
      <c r="J687" s="84"/>
      <c r="K687" s="84"/>
      <c r="L687" s="84"/>
      <c r="M687" s="85"/>
    </row>
    <row r="688" spans="1:13" ht="14.25">
      <c r="A688" s="82"/>
      <c r="B688" s="84"/>
      <c r="C688" s="84"/>
      <c r="D688" s="84"/>
      <c r="E688" s="84"/>
      <c r="F688" s="84"/>
      <c r="G688" s="84"/>
      <c r="H688" s="84"/>
      <c r="I688" s="84"/>
      <c r="J688" s="84"/>
      <c r="K688" s="84"/>
      <c r="L688" s="84"/>
      <c r="M688" s="85"/>
    </row>
    <row r="689" spans="1:13" ht="14.25">
      <c r="A689" s="82"/>
      <c r="B689" s="84"/>
      <c r="C689" s="84"/>
      <c r="D689" s="84"/>
      <c r="E689" s="84"/>
      <c r="F689" s="84"/>
      <c r="G689" s="84"/>
      <c r="H689" s="84"/>
      <c r="I689" s="84"/>
      <c r="J689" s="84"/>
      <c r="K689" s="84"/>
      <c r="L689" s="84"/>
      <c r="M689" s="85"/>
    </row>
    <row r="690" spans="1:13" ht="14.25">
      <c r="A690" s="82"/>
      <c r="B690" s="84"/>
      <c r="C690" s="84"/>
      <c r="D690" s="84"/>
      <c r="E690" s="84"/>
      <c r="F690" s="84"/>
      <c r="G690" s="84"/>
      <c r="H690" s="84"/>
      <c r="I690" s="84"/>
      <c r="J690" s="84"/>
      <c r="K690" s="84"/>
      <c r="L690" s="84"/>
      <c r="M690" s="85"/>
    </row>
    <row r="691" spans="1:13" ht="14.25">
      <c r="A691" s="82"/>
      <c r="B691" s="84"/>
      <c r="C691" s="84"/>
      <c r="D691" s="84"/>
      <c r="E691" s="84"/>
      <c r="F691" s="84"/>
      <c r="G691" s="84"/>
      <c r="H691" s="84"/>
      <c r="I691" s="84"/>
      <c r="J691" s="84"/>
      <c r="K691" s="84"/>
      <c r="L691" s="84"/>
      <c r="M691" s="85"/>
    </row>
    <row r="692" spans="1:13" ht="14.25">
      <c r="A692" s="82"/>
      <c r="B692" s="84"/>
      <c r="C692" s="84"/>
      <c r="D692" s="84"/>
      <c r="E692" s="84"/>
      <c r="F692" s="84"/>
      <c r="G692" s="84"/>
      <c r="H692" s="84"/>
      <c r="I692" s="84"/>
      <c r="J692" s="84"/>
      <c r="K692" s="84"/>
      <c r="L692" s="84"/>
      <c r="M692" s="85"/>
    </row>
    <row r="693" spans="1:13" ht="14.25">
      <c r="A693" s="82"/>
      <c r="B693" s="84"/>
      <c r="C693" s="84"/>
      <c r="D693" s="84"/>
      <c r="E693" s="84"/>
      <c r="F693" s="84"/>
      <c r="G693" s="84"/>
      <c r="H693" s="84"/>
      <c r="I693" s="84"/>
      <c r="J693" s="84"/>
      <c r="K693" s="84"/>
      <c r="L693" s="84"/>
      <c r="M693" s="85"/>
    </row>
    <row r="694" spans="1:13" ht="14.25">
      <c r="A694" s="82"/>
      <c r="B694" s="84"/>
      <c r="C694" s="84"/>
      <c r="D694" s="84"/>
      <c r="E694" s="84"/>
      <c r="F694" s="84"/>
      <c r="G694" s="84"/>
      <c r="H694" s="84"/>
      <c r="I694" s="84"/>
      <c r="J694" s="84"/>
      <c r="K694" s="84"/>
      <c r="L694" s="84"/>
      <c r="M694" s="85"/>
    </row>
    <row r="695" spans="1:13" ht="14.25">
      <c r="A695" s="82"/>
      <c r="B695" s="84"/>
      <c r="C695" s="84"/>
      <c r="D695" s="84"/>
      <c r="E695" s="84"/>
      <c r="F695" s="84"/>
      <c r="G695" s="84"/>
      <c r="H695" s="84"/>
      <c r="I695" s="84"/>
      <c r="J695" s="84"/>
      <c r="K695" s="84"/>
      <c r="L695" s="84"/>
      <c r="M695" s="85"/>
    </row>
    <row r="696" spans="1:13" ht="14.25">
      <c r="A696" s="82"/>
      <c r="B696" s="84"/>
      <c r="C696" s="84"/>
      <c r="D696" s="84"/>
      <c r="E696" s="84"/>
      <c r="F696" s="84"/>
      <c r="G696" s="84"/>
      <c r="H696" s="84"/>
      <c r="I696" s="84"/>
      <c r="J696" s="84"/>
      <c r="K696" s="84"/>
      <c r="L696" s="84"/>
      <c r="M696" s="85"/>
    </row>
    <row r="697" spans="1:13" ht="14.25">
      <c r="A697" s="82"/>
      <c r="B697" s="84"/>
      <c r="C697" s="84"/>
      <c r="D697" s="84"/>
      <c r="E697" s="84"/>
      <c r="F697" s="84"/>
      <c r="G697" s="84"/>
      <c r="H697" s="84"/>
      <c r="I697" s="84"/>
      <c r="J697" s="84"/>
      <c r="K697" s="84"/>
      <c r="L697" s="84"/>
      <c r="M697" s="85"/>
    </row>
    <row r="698" spans="1:13" ht="14.25">
      <c r="A698" s="82"/>
      <c r="B698" s="84"/>
      <c r="C698" s="84"/>
      <c r="D698" s="84"/>
      <c r="E698" s="84"/>
      <c r="F698" s="84"/>
      <c r="G698" s="84"/>
      <c r="H698" s="84"/>
      <c r="I698" s="84"/>
      <c r="J698" s="84"/>
      <c r="K698" s="84"/>
      <c r="L698" s="84"/>
      <c r="M698" s="85"/>
    </row>
    <row r="699" spans="1:13" ht="14.25">
      <c r="A699" s="82"/>
      <c r="B699" s="84"/>
      <c r="C699" s="84"/>
      <c r="D699" s="84"/>
      <c r="E699" s="84"/>
      <c r="F699" s="84"/>
      <c r="G699" s="84"/>
      <c r="H699" s="84"/>
      <c r="I699" s="84"/>
      <c r="J699" s="84"/>
      <c r="K699" s="84"/>
      <c r="L699" s="84"/>
      <c r="M699" s="85"/>
    </row>
    <row r="700" spans="1:13" ht="14.25">
      <c r="A700" s="82"/>
      <c r="B700" s="84"/>
      <c r="C700" s="84"/>
      <c r="D700" s="84"/>
      <c r="E700" s="84"/>
      <c r="F700" s="84"/>
      <c r="G700" s="84"/>
      <c r="H700" s="84"/>
      <c r="I700" s="84"/>
      <c r="J700" s="84"/>
      <c r="K700" s="84"/>
      <c r="L700" s="84"/>
      <c r="M700" s="85"/>
    </row>
    <row r="701" spans="1:13" ht="14.25">
      <c r="A701" s="82"/>
      <c r="B701" s="84"/>
      <c r="C701" s="84"/>
      <c r="D701" s="84"/>
      <c r="E701" s="84"/>
      <c r="F701" s="84"/>
      <c r="G701" s="84"/>
      <c r="H701" s="84"/>
      <c r="I701" s="84"/>
      <c r="J701" s="84"/>
      <c r="K701" s="84"/>
      <c r="L701" s="84"/>
      <c r="M701" s="85"/>
    </row>
    <row r="702" spans="1:13" ht="14.25">
      <c r="A702" s="82"/>
      <c r="B702" s="84"/>
      <c r="C702" s="84"/>
      <c r="D702" s="84"/>
      <c r="E702" s="84"/>
      <c r="F702" s="84"/>
      <c r="G702" s="84"/>
      <c r="H702" s="84"/>
      <c r="I702" s="84"/>
      <c r="J702" s="84"/>
      <c r="K702" s="84"/>
      <c r="L702" s="84"/>
      <c r="M702" s="85"/>
    </row>
    <row r="703" spans="1:13" ht="14.25">
      <c r="A703" s="82"/>
      <c r="B703" s="84"/>
      <c r="C703" s="84"/>
      <c r="D703" s="84"/>
      <c r="E703" s="84"/>
      <c r="F703" s="84"/>
      <c r="G703" s="84"/>
      <c r="H703" s="84"/>
      <c r="I703" s="84"/>
      <c r="J703" s="84"/>
      <c r="K703" s="84"/>
      <c r="L703" s="84"/>
      <c r="M703" s="85"/>
    </row>
    <row r="704" spans="1:13" ht="14.25">
      <c r="A704" s="82"/>
      <c r="B704" s="84"/>
      <c r="C704" s="84"/>
      <c r="D704" s="84"/>
      <c r="E704" s="84"/>
      <c r="F704" s="84"/>
      <c r="G704" s="84"/>
      <c r="H704" s="84"/>
      <c r="I704" s="84"/>
      <c r="J704" s="84"/>
      <c r="K704" s="84"/>
      <c r="L704" s="84"/>
      <c r="M704" s="85"/>
    </row>
    <row r="705" spans="1:13" ht="14.25">
      <c r="A705" s="82"/>
      <c r="B705" s="84"/>
      <c r="C705" s="84"/>
      <c r="D705" s="84"/>
      <c r="E705" s="84"/>
      <c r="F705" s="84"/>
      <c r="G705" s="84"/>
      <c r="H705" s="84"/>
      <c r="I705" s="84"/>
      <c r="J705" s="84"/>
      <c r="K705" s="84"/>
      <c r="L705" s="84"/>
      <c r="M705" s="85"/>
    </row>
    <row r="706" spans="1:13" ht="14.25">
      <c r="A706" s="82"/>
      <c r="B706" s="84"/>
      <c r="C706" s="84"/>
      <c r="D706" s="84"/>
      <c r="E706" s="84"/>
      <c r="F706" s="84"/>
      <c r="G706" s="84"/>
      <c r="H706" s="84"/>
      <c r="I706" s="84"/>
      <c r="J706" s="84"/>
      <c r="K706" s="84"/>
      <c r="L706" s="84"/>
      <c r="M706" s="85"/>
    </row>
    <row r="707" spans="1:13" ht="14.25">
      <c r="A707" s="82"/>
      <c r="B707" s="84"/>
      <c r="C707" s="84"/>
      <c r="D707" s="84"/>
      <c r="E707" s="84"/>
      <c r="F707" s="84"/>
      <c r="G707" s="84"/>
      <c r="H707" s="84"/>
      <c r="I707" s="84"/>
      <c r="J707" s="84"/>
      <c r="K707" s="84"/>
      <c r="L707" s="84"/>
      <c r="M707" s="85"/>
    </row>
    <row r="708" spans="1:13" ht="14.25">
      <c r="A708" s="82"/>
      <c r="B708" s="84"/>
      <c r="C708" s="84"/>
      <c r="D708" s="84"/>
      <c r="E708" s="84"/>
      <c r="F708" s="84"/>
      <c r="G708" s="84"/>
      <c r="H708" s="84"/>
      <c r="I708" s="84"/>
      <c r="J708" s="84"/>
      <c r="K708" s="84"/>
      <c r="L708" s="84"/>
      <c r="M708" s="85"/>
    </row>
    <row r="709" spans="1:13" ht="14.25">
      <c r="A709" s="82"/>
      <c r="B709" s="84"/>
      <c r="C709" s="84"/>
      <c r="D709" s="84"/>
      <c r="E709" s="84"/>
      <c r="F709" s="84"/>
      <c r="G709" s="84"/>
      <c r="H709" s="84"/>
      <c r="I709" s="84"/>
      <c r="J709" s="84"/>
      <c r="K709" s="84"/>
      <c r="L709" s="84"/>
      <c r="M709" s="85"/>
    </row>
    <row r="710" spans="1:13" ht="14.25">
      <c r="A710" s="82"/>
      <c r="B710" s="84"/>
      <c r="C710" s="84"/>
      <c r="D710" s="84"/>
      <c r="E710" s="84"/>
      <c r="F710" s="84"/>
      <c r="G710" s="84"/>
      <c r="H710" s="84"/>
      <c r="I710" s="84"/>
      <c r="J710" s="84"/>
      <c r="K710" s="84"/>
      <c r="L710" s="84"/>
      <c r="M710" s="85"/>
    </row>
    <row r="711" spans="1:13" ht="14.25">
      <c r="A711" s="82"/>
      <c r="B711" s="84"/>
      <c r="C711" s="84"/>
      <c r="D711" s="84"/>
      <c r="E711" s="84"/>
      <c r="F711" s="84"/>
      <c r="G711" s="84"/>
      <c r="H711" s="84"/>
      <c r="I711" s="84"/>
      <c r="J711" s="84"/>
      <c r="K711" s="84"/>
      <c r="L711" s="84"/>
      <c r="M711" s="85"/>
    </row>
    <row r="712" spans="1:13" ht="14.25">
      <c r="A712" s="82"/>
      <c r="B712" s="84"/>
      <c r="C712" s="84"/>
      <c r="D712" s="84"/>
      <c r="E712" s="84"/>
      <c r="F712" s="84"/>
      <c r="G712" s="84"/>
      <c r="H712" s="84"/>
      <c r="I712" s="84"/>
      <c r="J712" s="84"/>
      <c r="K712" s="84"/>
      <c r="L712" s="84"/>
      <c r="M712" s="85"/>
    </row>
    <row r="713" spans="1:13" ht="14.25">
      <c r="A713" s="82"/>
      <c r="B713" s="84"/>
      <c r="C713" s="84"/>
      <c r="D713" s="84"/>
      <c r="E713" s="84"/>
      <c r="F713" s="84"/>
      <c r="G713" s="84"/>
      <c r="H713" s="84"/>
      <c r="I713" s="84"/>
      <c r="J713" s="84"/>
      <c r="K713" s="84"/>
      <c r="L713" s="84"/>
      <c r="M713" s="85"/>
    </row>
    <row r="714" spans="1:13" ht="14.25">
      <c r="A714" s="82"/>
      <c r="B714" s="84"/>
      <c r="C714" s="84"/>
      <c r="D714" s="84"/>
      <c r="E714" s="84"/>
      <c r="F714" s="84"/>
      <c r="G714" s="84"/>
      <c r="H714" s="84"/>
      <c r="I714" s="84"/>
      <c r="J714" s="84"/>
      <c r="K714" s="84"/>
      <c r="L714" s="84"/>
      <c r="M714" s="85"/>
    </row>
    <row r="715" spans="1:13" ht="14.25">
      <c r="A715" s="82"/>
      <c r="B715" s="84"/>
      <c r="C715" s="84"/>
      <c r="D715" s="84"/>
      <c r="E715" s="84"/>
      <c r="F715" s="84"/>
      <c r="G715" s="84"/>
      <c r="H715" s="84"/>
      <c r="I715" s="84"/>
      <c r="J715" s="84"/>
      <c r="K715" s="84"/>
      <c r="L715" s="84"/>
      <c r="M715" s="85"/>
    </row>
    <row r="716" spans="1:13" ht="14.25">
      <c r="A716" s="82"/>
      <c r="B716" s="84"/>
      <c r="C716" s="84"/>
      <c r="D716" s="84"/>
      <c r="E716" s="84"/>
      <c r="F716" s="84"/>
      <c r="G716" s="84"/>
      <c r="H716" s="84"/>
      <c r="I716" s="84"/>
      <c r="J716" s="84"/>
      <c r="K716" s="84"/>
      <c r="L716" s="84"/>
      <c r="M716" s="85"/>
    </row>
    <row r="717" spans="1:13" ht="14.25">
      <c r="A717" s="82"/>
      <c r="B717" s="84"/>
      <c r="C717" s="84"/>
      <c r="D717" s="84"/>
      <c r="E717" s="84"/>
      <c r="F717" s="84"/>
      <c r="G717" s="84"/>
      <c r="H717" s="84"/>
      <c r="I717" s="84"/>
      <c r="J717" s="84"/>
      <c r="K717" s="84"/>
      <c r="L717" s="84"/>
      <c r="M717" s="85"/>
    </row>
    <row r="718" spans="1:13" ht="14.25">
      <c r="A718" s="82"/>
      <c r="B718" s="84"/>
      <c r="C718" s="84"/>
      <c r="D718" s="84"/>
      <c r="E718" s="84"/>
      <c r="F718" s="84"/>
      <c r="G718" s="84"/>
      <c r="H718" s="84"/>
      <c r="I718" s="84"/>
      <c r="J718" s="84"/>
      <c r="K718" s="84"/>
      <c r="L718" s="84"/>
      <c r="M718" s="85"/>
    </row>
    <row r="719" spans="1:13" ht="14.25">
      <c r="A719" s="82"/>
      <c r="B719" s="84"/>
      <c r="C719" s="84"/>
      <c r="D719" s="84"/>
      <c r="E719" s="84"/>
      <c r="F719" s="84"/>
      <c r="G719" s="84"/>
      <c r="H719" s="84"/>
      <c r="I719" s="84"/>
      <c r="J719" s="84"/>
      <c r="K719" s="84"/>
      <c r="L719" s="84"/>
      <c r="M719" s="85"/>
    </row>
    <row r="720" spans="1:13" ht="14.25">
      <c r="A720" s="82"/>
      <c r="B720" s="84"/>
      <c r="C720" s="84"/>
      <c r="D720" s="84"/>
      <c r="E720" s="84"/>
      <c r="F720" s="84"/>
      <c r="G720" s="84"/>
      <c r="H720" s="84"/>
      <c r="I720" s="84"/>
      <c r="J720" s="84"/>
      <c r="K720" s="84"/>
      <c r="L720" s="84"/>
      <c r="M720" s="85"/>
    </row>
    <row r="721" spans="1:13" ht="14.25">
      <c r="A721" s="82"/>
      <c r="B721" s="84"/>
      <c r="C721" s="84"/>
      <c r="D721" s="84"/>
      <c r="E721" s="84"/>
      <c r="F721" s="84"/>
      <c r="G721" s="84"/>
      <c r="H721" s="84"/>
      <c r="I721" s="84"/>
      <c r="J721" s="84"/>
      <c r="K721" s="84"/>
      <c r="L721" s="84"/>
      <c r="M721" s="85"/>
    </row>
    <row r="722" spans="1:13" ht="14.25">
      <c r="A722" s="82"/>
      <c r="B722" s="84"/>
      <c r="C722" s="84"/>
      <c r="D722" s="84"/>
      <c r="E722" s="84"/>
      <c r="F722" s="84"/>
      <c r="G722" s="84"/>
      <c r="H722" s="84"/>
      <c r="I722" s="84"/>
      <c r="J722" s="84"/>
      <c r="K722" s="84"/>
      <c r="L722" s="84"/>
      <c r="M722" s="85"/>
    </row>
    <row r="723" spans="1:13" ht="14.25">
      <c r="A723" s="82"/>
      <c r="B723" s="84"/>
      <c r="C723" s="84"/>
      <c r="D723" s="84"/>
      <c r="E723" s="84"/>
      <c r="F723" s="84"/>
      <c r="G723" s="84"/>
      <c r="H723" s="84"/>
      <c r="I723" s="84"/>
      <c r="J723" s="84"/>
      <c r="K723" s="84"/>
      <c r="L723" s="84"/>
      <c r="M723" s="85"/>
    </row>
    <row r="724" spans="1:13" ht="14.25">
      <c r="A724" s="82"/>
      <c r="B724" s="84"/>
      <c r="C724" s="84"/>
      <c r="D724" s="84"/>
      <c r="E724" s="84"/>
      <c r="F724" s="84"/>
      <c r="G724" s="84"/>
      <c r="H724" s="84"/>
      <c r="I724" s="84"/>
      <c r="J724" s="84"/>
      <c r="K724" s="84"/>
      <c r="L724" s="84"/>
      <c r="M724" s="85"/>
    </row>
    <row r="725" spans="1:13" ht="14.25">
      <c r="A725" s="82"/>
      <c r="B725" s="84"/>
      <c r="C725" s="84"/>
      <c r="D725" s="84"/>
      <c r="E725" s="84"/>
      <c r="F725" s="84"/>
      <c r="G725" s="84"/>
      <c r="H725" s="84"/>
      <c r="I725" s="84"/>
      <c r="J725" s="84"/>
      <c r="K725" s="84"/>
      <c r="L725" s="84"/>
      <c r="M725" s="85"/>
    </row>
    <row r="726" spans="1:13" ht="14.25">
      <c r="A726" s="82"/>
      <c r="B726" s="84"/>
      <c r="C726" s="84"/>
      <c r="D726" s="84"/>
      <c r="E726" s="84"/>
      <c r="F726" s="84"/>
      <c r="G726" s="84"/>
      <c r="H726" s="84"/>
      <c r="I726" s="84"/>
      <c r="J726" s="84"/>
      <c r="K726" s="84"/>
      <c r="L726" s="84"/>
      <c r="M726" s="85"/>
    </row>
    <row r="727" spans="1:13" ht="14.25">
      <c r="A727" s="82"/>
      <c r="B727" s="84"/>
      <c r="C727" s="84"/>
      <c r="D727" s="84"/>
      <c r="E727" s="84"/>
      <c r="F727" s="84"/>
      <c r="G727" s="84"/>
      <c r="H727" s="84"/>
      <c r="I727" s="84"/>
      <c r="J727" s="84"/>
      <c r="K727" s="84"/>
      <c r="L727" s="84"/>
      <c r="M727" s="85"/>
    </row>
    <row r="728" spans="1:13" ht="14.25">
      <c r="A728" s="82"/>
      <c r="B728" s="84"/>
      <c r="C728" s="84"/>
      <c r="D728" s="84"/>
      <c r="E728" s="84"/>
      <c r="F728" s="84"/>
      <c r="G728" s="84"/>
      <c r="H728" s="84"/>
      <c r="I728" s="84"/>
      <c r="J728" s="84"/>
      <c r="K728" s="84"/>
      <c r="L728" s="84"/>
      <c r="M728" s="85"/>
    </row>
    <row r="729" spans="1:13" ht="14.25">
      <c r="A729" s="82"/>
      <c r="B729" s="84"/>
      <c r="C729" s="84"/>
      <c r="D729" s="84"/>
      <c r="E729" s="84"/>
      <c r="F729" s="84"/>
      <c r="G729" s="84"/>
      <c r="H729" s="84"/>
      <c r="I729" s="84"/>
      <c r="J729" s="84"/>
      <c r="K729" s="84"/>
      <c r="L729" s="84"/>
      <c r="M729" s="85"/>
    </row>
    <row r="730" spans="1:13" ht="14.25">
      <c r="A730" s="82"/>
      <c r="B730" s="84"/>
      <c r="C730" s="84"/>
      <c r="D730" s="84"/>
      <c r="E730" s="84"/>
      <c r="F730" s="84"/>
      <c r="G730" s="84"/>
      <c r="H730" s="84"/>
      <c r="I730" s="84"/>
      <c r="J730" s="84"/>
      <c r="K730" s="84"/>
      <c r="L730" s="84"/>
      <c r="M730" s="85"/>
    </row>
    <row r="731" spans="1:13" ht="14.25">
      <c r="A731" s="82"/>
      <c r="B731" s="84"/>
      <c r="C731" s="84"/>
      <c r="D731" s="84"/>
      <c r="E731" s="84"/>
      <c r="F731" s="84"/>
      <c r="G731" s="84"/>
      <c r="H731" s="84"/>
      <c r="I731" s="84"/>
      <c r="J731" s="84"/>
      <c r="K731" s="84"/>
      <c r="L731" s="84"/>
      <c r="M731" s="85"/>
    </row>
    <row r="732" spans="1:13" ht="14.25">
      <c r="A732" s="82"/>
      <c r="B732" s="84"/>
      <c r="C732" s="84"/>
      <c r="D732" s="84"/>
      <c r="E732" s="84"/>
      <c r="F732" s="84"/>
      <c r="G732" s="84"/>
      <c r="H732" s="84"/>
      <c r="I732" s="84"/>
      <c r="J732" s="84"/>
      <c r="K732" s="84"/>
      <c r="L732" s="84"/>
      <c r="M732" s="85"/>
    </row>
    <row r="733" spans="1:13" ht="14.25">
      <c r="A733" s="82"/>
      <c r="B733" s="84"/>
      <c r="C733" s="84"/>
      <c r="D733" s="84"/>
      <c r="E733" s="84"/>
      <c r="F733" s="84"/>
      <c r="G733" s="84"/>
      <c r="H733" s="84"/>
      <c r="I733" s="84"/>
      <c r="J733" s="84"/>
      <c r="K733" s="84"/>
      <c r="L733" s="84"/>
      <c r="M733" s="85"/>
    </row>
    <row r="734" spans="1:13" ht="14.25">
      <c r="A734" s="82"/>
      <c r="B734" s="84"/>
      <c r="C734" s="84"/>
      <c r="D734" s="84"/>
      <c r="E734" s="84"/>
      <c r="F734" s="84"/>
      <c r="G734" s="84"/>
      <c r="H734" s="84"/>
      <c r="I734" s="84"/>
      <c r="J734" s="84"/>
      <c r="K734" s="84"/>
      <c r="L734" s="84"/>
      <c r="M734" s="85"/>
    </row>
    <row r="735" spans="1:13" ht="14.25">
      <c r="A735" s="82"/>
      <c r="B735" s="84"/>
      <c r="C735" s="84"/>
      <c r="D735" s="84"/>
      <c r="E735" s="84"/>
      <c r="F735" s="84"/>
      <c r="G735" s="84"/>
      <c r="H735" s="84"/>
      <c r="I735" s="84"/>
      <c r="J735" s="84"/>
      <c r="K735" s="84"/>
      <c r="L735" s="84"/>
      <c r="M735" s="85"/>
    </row>
    <row r="736" spans="1:13" ht="14.25">
      <c r="A736" s="82"/>
      <c r="B736" s="84"/>
      <c r="C736" s="84"/>
      <c r="D736" s="84"/>
      <c r="E736" s="84"/>
      <c r="F736" s="84"/>
      <c r="G736" s="84"/>
      <c r="H736" s="84"/>
      <c r="I736" s="84"/>
      <c r="J736" s="84"/>
      <c r="K736" s="84"/>
      <c r="L736" s="84"/>
      <c r="M736" s="85"/>
    </row>
    <row r="737" spans="1:13" ht="14.25">
      <c r="A737" s="82"/>
      <c r="B737" s="84"/>
      <c r="C737" s="84"/>
      <c r="D737" s="84"/>
      <c r="E737" s="84"/>
      <c r="F737" s="84"/>
      <c r="G737" s="84"/>
      <c r="H737" s="84"/>
      <c r="I737" s="84"/>
      <c r="J737" s="84"/>
      <c r="K737" s="84"/>
      <c r="L737" s="84"/>
      <c r="M737" s="85"/>
    </row>
    <row r="738" spans="1:13" ht="14.25">
      <c r="A738" s="82"/>
      <c r="B738" s="84"/>
      <c r="C738" s="84"/>
      <c r="D738" s="84"/>
      <c r="E738" s="84"/>
      <c r="F738" s="84"/>
      <c r="G738" s="84"/>
      <c r="H738" s="84"/>
      <c r="I738" s="84"/>
      <c r="J738" s="84"/>
      <c r="K738" s="84"/>
      <c r="L738" s="84"/>
      <c r="M738" s="85"/>
    </row>
    <row r="739" spans="1:13" ht="14.25">
      <c r="A739" s="82"/>
      <c r="B739" s="84"/>
      <c r="C739" s="84"/>
      <c r="D739" s="84"/>
      <c r="E739" s="84"/>
      <c r="F739" s="84"/>
      <c r="G739" s="84"/>
      <c r="H739" s="84"/>
      <c r="I739" s="84"/>
      <c r="J739" s="84"/>
      <c r="K739" s="84"/>
      <c r="L739" s="84"/>
      <c r="M739" s="85"/>
    </row>
    <row r="740" spans="1:13" ht="14.25">
      <c r="A740" s="82"/>
      <c r="B740" s="84"/>
      <c r="C740" s="84"/>
      <c r="D740" s="84"/>
      <c r="E740" s="84"/>
      <c r="F740" s="84"/>
      <c r="G740" s="84"/>
      <c r="H740" s="84"/>
      <c r="I740" s="84"/>
      <c r="J740" s="84"/>
      <c r="K740" s="84"/>
      <c r="L740" s="84"/>
      <c r="M740" s="85"/>
    </row>
    <row r="741" spans="1:13" ht="14.25">
      <c r="A741" s="82"/>
      <c r="B741" s="84"/>
      <c r="C741" s="84"/>
      <c r="D741" s="84"/>
      <c r="E741" s="84"/>
      <c r="F741" s="84"/>
      <c r="G741" s="84"/>
      <c r="H741" s="84"/>
      <c r="I741" s="84"/>
      <c r="J741" s="84"/>
      <c r="K741" s="84"/>
      <c r="L741" s="84"/>
      <c r="M741" s="85"/>
    </row>
    <row r="742" spans="1:13" ht="14.25">
      <c r="A742" s="82"/>
      <c r="B742" s="84"/>
      <c r="C742" s="84"/>
      <c r="D742" s="84"/>
      <c r="E742" s="84"/>
      <c r="F742" s="84"/>
      <c r="G742" s="84"/>
      <c r="H742" s="84"/>
      <c r="I742" s="84"/>
      <c r="J742" s="84"/>
      <c r="K742" s="84"/>
      <c r="L742" s="84"/>
      <c r="M742" s="85"/>
    </row>
    <row r="743" spans="1:13" ht="14.25">
      <c r="A743" s="82"/>
      <c r="B743" s="84"/>
      <c r="C743" s="84"/>
      <c r="D743" s="84"/>
      <c r="E743" s="84"/>
      <c r="F743" s="84"/>
      <c r="G743" s="84"/>
      <c r="H743" s="84"/>
      <c r="I743" s="84"/>
      <c r="J743" s="84"/>
      <c r="K743" s="84"/>
      <c r="L743" s="84"/>
      <c r="M743" s="85"/>
    </row>
    <row r="744" spans="1:13" ht="14.25">
      <c r="A744" s="82"/>
      <c r="B744" s="84"/>
      <c r="C744" s="84"/>
      <c r="D744" s="84"/>
      <c r="E744" s="84"/>
      <c r="F744" s="84"/>
      <c r="G744" s="84"/>
      <c r="H744" s="84"/>
      <c r="I744" s="84"/>
      <c r="J744" s="84"/>
      <c r="K744" s="84"/>
      <c r="L744" s="84"/>
      <c r="M744" s="85"/>
    </row>
    <row r="745" spans="1:13" ht="14.25">
      <c r="A745" s="82"/>
      <c r="B745" s="84"/>
      <c r="C745" s="84"/>
      <c r="D745" s="84"/>
      <c r="E745" s="84"/>
      <c r="F745" s="84"/>
      <c r="G745" s="84"/>
      <c r="H745" s="84"/>
      <c r="I745" s="84"/>
      <c r="J745" s="84"/>
      <c r="K745" s="84"/>
      <c r="L745" s="84"/>
      <c r="M745" s="85"/>
    </row>
    <row r="746" spans="1:13" ht="14.25">
      <c r="A746" s="82"/>
      <c r="B746" s="84"/>
      <c r="C746" s="84"/>
      <c r="D746" s="84"/>
      <c r="E746" s="84"/>
      <c r="F746" s="84"/>
      <c r="G746" s="84"/>
      <c r="H746" s="84"/>
      <c r="I746" s="84"/>
      <c r="J746" s="84"/>
      <c r="K746" s="84"/>
      <c r="L746" s="84"/>
      <c r="M746" s="85"/>
    </row>
    <row r="747" spans="1:13" ht="14.25">
      <c r="A747" s="82"/>
      <c r="B747" s="84"/>
      <c r="C747" s="84"/>
      <c r="D747" s="84"/>
      <c r="E747" s="84"/>
      <c r="F747" s="84"/>
      <c r="G747" s="84"/>
      <c r="H747" s="84"/>
      <c r="I747" s="84"/>
      <c r="J747" s="84"/>
      <c r="K747" s="84"/>
      <c r="L747" s="84"/>
      <c r="M747" s="85"/>
    </row>
    <row r="748" spans="1:13" ht="14.25">
      <c r="A748" s="82"/>
      <c r="B748" s="84"/>
      <c r="C748" s="84"/>
      <c r="D748" s="84"/>
      <c r="E748" s="84"/>
      <c r="F748" s="84"/>
      <c r="G748" s="84"/>
      <c r="H748" s="84"/>
      <c r="I748" s="84"/>
      <c r="J748" s="84"/>
      <c r="K748" s="84"/>
      <c r="L748" s="84"/>
      <c r="M748" s="85"/>
    </row>
    <row r="749" spans="1:13" ht="14.25">
      <c r="A749" s="82"/>
      <c r="B749" s="84"/>
      <c r="C749" s="84"/>
      <c r="D749" s="84"/>
      <c r="E749" s="84"/>
      <c r="F749" s="84"/>
      <c r="G749" s="84"/>
      <c r="H749" s="84"/>
      <c r="I749" s="84"/>
      <c r="J749" s="84"/>
      <c r="K749" s="84"/>
      <c r="L749" s="84"/>
      <c r="M749" s="85"/>
    </row>
    <row r="750" spans="1:13" ht="14.25">
      <c r="A750" s="82"/>
      <c r="B750" s="84"/>
      <c r="C750" s="84"/>
      <c r="D750" s="84"/>
      <c r="E750" s="84"/>
      <c r="F750" s="84"/>
      <c r="G750" s="84"/>
      <c r="H750" s="84"/>
      <c r="I750" s="84"/>
      <c r="J750" s="84"/>
      <c r="K750" s="84"/>
      <c r="L750" s="84"/>
      <c r="M750" s="85"/>
    </row>
    <row r="751" spans="1:13" ht="14.25">
      <c r="A751" s="82"/>
      <c r="B751" s="84"/>
      <c r="C751" s="84"/>
      <c r="D751" s="84"/>
      <c r="E751" s="84"/>
      <c r="F751" s="84"/>
      <c r="G751" s="84"/>
      <c r="H751" s="84"/>
      <c r="I751" s="84"/>
      <c r="J751" s="84"/>
      <c r="K751" s="84"/>
      <c r="L751" s="84"/>
      <c r="M751" s="85"/>
    </row>
    <row r="752" spans="1:13" ht="14.25">
      <c r="A752" s="82"/>
      <c r="B752" s="84"/>
      <c r="C752" s="84"/>
      <c r="D752" s="84"/>
      <c r="E752" s="84"/>
      <c r="F752" s="84"/>
      <c r="G752" s="84"/>
      <c r="H752" s="84"/>
      <c r="I752" s="84"/>
      <c r="J752" s="84"/>
      <c r="K752" s="84"/>
      <c r="L752" s="84"/>
      <c r="M752" s="85"/>
    </row>
    <row r="753" spans="1:13" ht="14.25">
      <c r="A753" s="82"/>
      <c r="B753" s="84"/>
      <c r="C753" s="84"/>
      <c r="D753" s="84"/>
      <c r="E753" s="84"/>
      <c r="F753" s="84"/>
      <c r="G753" s="84"/>
      <c r="H753" s="84"/>
      <c r="I753" s="84"/>
      <c r="J753" s="84"/>
      <c r="K753" s="84"/>
      <c r="L753" s="84"/>
      <c r="M753" s="85"/>
    </row>
    <row r="754" spans="1:13" ht="14.25">
      <c r="A754" s="82"/>
      <c r="B754" s="84"/>
      <c r="C754" s="84"/>
      <c r="D754" s="84"/>
      <c r="E754" s="84"/>
      <c r="F754" s="84"/>
      <c r="G754" s="84"/>
      <c r="H754" s="84"/>
      <c r="I754" s="84"/>
      <c r="J754" s="84"/>
      <c r="K754" s="84"/>
      <c r="L754" s="84"/>
      <c r="M754" s="85"/>
    </row>
    <row r="755" spans="1:13" ht="14.25">
      <c r="A755" s="82"/>
      <c r="B755" s="84"/>
      <c r="C755" s="84"/>
      <c r="D755" s="84"/>
      <c r="E755" s="84"/>
      <c r="F755" s="84"/>
      <c r="G755" s="84"/>
      <c r="H755" s="84"/>
      <c r="I755" s="84"/>
      <c r="J755" s="84"/>
      <c r="K755" s="84"/>
      <c r="L755" s="84"/>
      <c r="M755" s="85"/>
    </row>
    <row r="756" spans="1:13" ht="14.25">
      <c r="A756" s="82"/>
      <c r="B756" s="84"/>
      <c r="C756" s="84"/>
      <c r="D756" s="84"/>
      <c r="E756" s="84"/>
      <c r="F756" s="84"/>
      <c r="G756" s="84"/>
      <c r="H756" s="84"/>
      <c r="I756" s="84"/>
      <c r="J756" s="84"/>
      <c r="K756" s="84"/>
      <c r="L756" s="84"/>
      <c r="M756" s="85"/>
    </row>
    <row r="757" spans="1:13" ht="14.25">
      <c r="A757" s="82"/>
      <c r="B757" s="84"/>
      <c r="C757" s="84"/>
      <c r="D757" s="84"/>
      <c r="E757" s="84"/>
      <c r="F757" s="84"/>
      <c r="G757" s="84"/>
      <c r="H757" s="84"/>
      <c r="I757" s="84"/>
      <c r="J757" s="84"/>
      <c r="K757" s="84"/>
      <c r="L757" s="84"/>
      <c r="M757" s="85"/>
    </row>
    <row r="758" spans="1:13" ht="14.25">
      <c r="A758" s="82"/>
      <c r="B758" s="84"/>
      <c r="C758" s="84"/>
      <c r="D758" s="84"/>
      <c r="E758" s="84"/>
      <c r="F758" s="84"/>
      <c r="G758" s="84"/>
      <c r="H758" s="84"/>
      <c r="I758" s="84"/>
      <c r="J758" s="84"/>
      <c r="K758" s="84"/>
      <c r="L758" s="84"/>
      <c r="M758" s="85"/>
    </row>
    <row r="759" spans="1:13" ht="14.25">
      <c r="A759" s="82"/>
      <c r="B759" s="84"/>
      <c r="C759" s="84"/>
      <c r="D759" s="84"/>
      <c r="E759" s="84"/>
      <c r="F759" s="84"/>
      <c r="G759" s="84"/>
      <c r="H759" s="84"/>
      <c r="I759" s="84"/>
      <c r="J759" s="84"/>
      <c r="K759" s="84"/>
      <c r="L759" s="84"/>
      <c r="M759" s="85"/>
    </row>
    <row r="760" spans="1:13" ht="14.25">
      <c r="A760" s="82"/>
      <c r="B760" s="84"/>
      <c r="C760" s="84"/>
      <c r="D760" s="84"/>
      <c r="E760" s="84"/>
      <c r="F760" s="84"/>
      <c r="G760" s="84"/>
      <c r="H760" s="84"/>
      <c r="I760" s="84"/>
      <c r="J760" s="84"/>
      <c r="K760" s="84"/>
      <c r="L760" s="84"/>
      <c r="M760" s="85"/>
    </row>
    <row r="761" spans="1:13" ht="14.25">
      <c r="A761" s="82"/>
      <c r="B761" s="84"/>
      <c r="C761" s="84"/>
      <c r="D761" s="84"/>
      <c r="E761" s="84"/>
      <c r="F761" s="84"/>
      <c r="G761" s="84"/>
      <c r="H761" s="84"/>
      <c r="I761" s="84"/>
      <c r="J761" s="84"/>
      <c r="K761" s="84"/>
      <c r="L761" s="84"/>
      <c r="M761" s="85"/>
    </row>
    <row r="762" spans="1:13" ht="14.25">
      <c r="A762" s="82"/>
      <c r="B762" s="84"/>
      <c r="C762" s="84"/>
      <c r="D762" s="84"/>
      <c r="E762" s="84"/>
      <c r="F762" s="84"/>
      <c r="G762" s="84"/>
      <c r="H762" s="84"/>
      <c r="I762" s="84"/>
      <c r="J762" s="84"/>
      <c r="K762" s="84"/>
      <c r="L762" s="84"/>
      <c r="M762" s="85"/>
    </row>
    <row r="763" spans="1:13" ht="14.25">
      <c r="A763" s="82"/>
      <c r="B763" s="84"/>
      <c r="C763" s="84"/>
      <c r="D763" s="84"/>
      <c r="E763" s="84"/>
      <c r="F763" s="84"/>
      <c r="G763" s="84"/>
      <c r="H763" s="84"/>
      <c r="I763" s="84"/>
      <c r="J763" s="84"/>
      <c r="K763" s="84"/>
      <c r="L763" s="84"/>
      <c r="M763" s="85"/>
    </row>
    <row r="764" spans="1:13" ht="14.25">
      <c r="A764" s="82"/>
      <c r="B764" s="84"/>
      <c r="C764" s="84"/>
      <c r="D764" s="84"/>
      <c r="E764" s="84"/>
      <c r="F764" s="84"/>
      <c r="G764" s="84"/>
      <c r="H764" s="84"/>
      <c r="I764" s="84"/>
      <c r="J764" s="84"/>
      <c r="K764" s="84"/>
      <c r="L764" s="84"/>
      <c r="M764" s="85"/>
    </row>
    <row r="765" spans="1:13" ht="14.25">
      <c r="A765" s="82"/>
      <c r="B765" s="84"/>
      <c r="C765" s="84"/>
      <c r="D765" s="84"/>
      <c r="E765" s="84"/>
      <c r="F765" s="84"/>
      <c r="G765" s="84"/>
      <c r="H765" s="84"/>
      <c r="I765" s="84"/>
      <c r="J765" s="84"/>
      <c r="K765" s="84"/>
      <c r="L765" s="84"/>
      <c r="M765" s="85"/>
    </row>
    <row r="766" spans="1:13" ht="14.25">
      <c r="A766" s="82"/>
      <c r="B766" s="84"/>
      <c r="C766" s="84"/>
      <c r="D766" s="84"/>
      <c r="E766" s="84"/>
      <c r="F766" s="84"/>
      <c r="G766" s="84"/>
      <c r="H766" s="84"/>
      <c r="I766" s="84"/>
      <c r="J766" s="84"/>
      <c r="K766" s="84"/>
      <c r="L766" s="84"/>
      <c r="M766" s="85"/>
    </row>
    <row r="767" spans="1:13" ht="14.25">
      <c r="A767" s="82"/>
      <c r="B767" s="84"/>
      <c r="C767" s="84"/>
      <c r="D767" s="84"/>
      <c r="E767" s="84"/>
      <c r="F767" s="84"/>
      <c r="G767" s="84"/>
      <c r="H767" s="84"/>
      <c r="I767" s="84"/>
      <c r="J767" s="84"/>
      <c r="K767" s="84"/>
      <c r="L767" s="84"/>
      <c r="M767" s="85"/>
    </row>
    <row r="768" spans="1:13" ht="14.25">
      <c r="A768" s="82"/>
      <c r="B768" s="84"/>
      <c r="C768" s="84"/>
      <c r="D768" s="84"/>
      <c r="E768" s="84"/>
      <c r="F768" s="84"/>
      <c r="G768" s="84"/>
      <c r="H768" s="84"/>
      <c r="I768" s="84"/>
      <c r="J768" s="84"/>
      <c r="K768" s="84"/>
      <c r="L768" s="84"/>
      <c r="M768" s="85"/>
    </row>
    <row r="769" spans="1:13" ht="14.25">
      <c r="A769" s="82"/>
      <c r="B769" s="84"/>
      <c r="C769" s="84"/>
      <c r="D769" s="84"/>
      <c r="E769" s="84"/>
      <c r="F769" s="84"/>
      <c r="G769" s="84"/>
      <c r="H769" s="84"/>
      <c r="I769" s="84"/>
      <c r="J769" s="84"/>
      <c r="K769" s="84"/>
      <c r="L769" s="84"/>
      <c r="M769" s="85"/>
    </row>
    <row r="770" spans="1:13" ht="14.25">
      <c r="A770" s="82"/>
      <c r="B770" s="84"/>
      <c r="C770" s="84"/>
      <c r="D770" s="84"/>
      <c r="E770" s="84"/>
      <c r="F770" s="84"/>
      <c r="G770" s="84"/>
      <c r="H770" s="84"/>
      <c r="I770" s="84"/>
      <c r="J770" s="84"/>
      <c r="K770" s="84"/>
      <c r="L770" s="84"/>
      <c r="M770" s="85"/>
    </row>
    <row r="771" spans="1:13" ht="14.25">
      <c r="A771" s="82"/>
      <c r="B771" s="84"/>
      <c r="C771" s="84"/>
      <c r="D771" s="84"/>
      <c r="E771" s="84"/>
      <c r="F771" s="84"/>
      <c r="G771" s="84"/>
      <c r="H771" s="84"/>
      <c r="I771" s="84"/>
      <c r="J771" s="84"/>
      <c r="K771" s="84"/>
      <c r="L771" s="84"/>
      <c r="M771" s="85"/>
    </row>
    <row r="772" spans="1:13" ht="14.25">
      <c r="A772" s="82"/>
      <c r="B772" s="84"/>
      <c r="C772" s="84"/>
      <c r="D772" s="84"/>
      <c r="E772" s="84"/>
      <c r="F772" s="84"/>
      <c r="G772" s="84"/>
      <c r="H772" s="84"/>
      <c r="I772" s="84"/>
      <c r="J772" s="84"/>
      <c r="K772" s="84"/>
      <c r="L772" s="84"/>
      <c r="M772" s="85"/>
    </row>
    <row r="773" spans="1:13" ht="14.25">
      <c r="A773" s="82"/>
      <c r="B773" s="84"/>
      <c r="C773" s="84"/>
      <c r="D773" s="84"/>
      <c r="E773" s="84"/>
      <c r="F773" s="84"/>
      <c r="G773" s="84"/>
      <c r="H773" s="84"/>
      <c r="I773" s="84"/>
      <c r="J773" s="84"/>
      <c r="K773" s="84"/>
      <c r="L773" s="84"/>
      <c r="M773" s="85"/>
    </row>
    <row r="774" spans="1:13" ht="14.25">
      <c r="A774" s="82"/>
      <c r="B774" s="84"/>
      <c r="C774" s="84"/>
      <c r="D774" s="84"/>
      <c r="E774" s="84"/>
      <c r="F774" s="84"/>
      <c r="G774" s="84"/>
      <c r="H774" s="84"/>
      <c r="I774" s="84"/>
      <c r="J774" s="84"/>
      <c r="K774" s="84"/>
      <c r="L774" s="84"/>
      <c r="M774" s="85"/>
    </row>
    <row r="775" spans="1:13" ht="14.25">
      <c r="A775" s="82"/>
      <c r="B775" s="84"/>
      <c r="C775" s="84"/>
      <c r="D775" s="84"/>
      <c r="E775" s="84"/>
      <c r="F775" s="84"/>
      <c r="G775" s="84"/>
      <c r="H775" s="84"/>
      <c r="I775" s="84"/>
      <c r="J775" s="84"/>
      <c r="K775" s="84"/>
      <c r="L775" s="84"/>
      <c r="M775" s="85"/>
    </row>
    <row r="776" spans="1:13" ht="14.25">
      <c r="A776" s="82"/>
      <c r="B776" s="84"/>
      <c r="C776" s="84"/>
      <c r="D776" s="84"/>
      <c r="E776" s="84"/>
      <c r="F776" s="84"/>
      <c r="G776" s="84"/>
      <c r="H776" s="84"/>
      <c r="I776" s="84"/>
      <c r="J776" s="84"/>
      <c r="K776" s="84"/>
      <c r="L776" s="84"/>
      <c r="M776" s="85"/>
    </row>
    <row r="777" spans="1:13" ht="14.25">
      <c r="A777" s="82"/>
      <c r="B777" s="84"/>
      <c r="C777" s="84"/>
      <c r="D777" s="84"/>
      <c r="E777" s="84"/>
      <c r="F777" s="84"/>
      <c r="G777" s="84"/>
      <c r="H777" s="84"/>
      <c r="I777" s="84"/>
      <c r="J777" s="84"/>
      <c r="K777" s="84"/>
      <c r="L777" s="84"/>
      <c r="M777" s="85"/>
    </row>
    <row r="778" spans="1:13" ht="14.25">
      <c r="A778" s="82"/>
      <c r="B778" s="84"/>
      <c r="C778" s="84"/>
      <c r="D778" s="84"/>
      <c r="E778" s="84"/>
      <c r="F778" s="84"/>
      <c r="G778" s="84"/>
      <c r="H778" s="84"/>
      <c r="I778" s="84"/>
      <c r="J778" s="84"/>
      <c r="K778" s="84"/>
      <c r="L778" s="84"/>
      <c r="M778" s="85"/>
    </row>
    <row r="779" spans="1:13" ht="14.25">
      <c r="A779" s="82"/>
      <c r="B779" s="84"/>
      <c r="C779" s="84"/>
      <c r="D779" s="84"/>
      <c r="E779" s="84"/>
      <c r="F779" s="84"/>
      <c r="G779" s="84"/>
      <c r="H779" s="84"/>
      <c r="I779" s="84"/>
      <c r="J779" s="84"/>
      <c r="K779" s="84"/>
      <c r="L779" s="84"/>
      <c r="M779" s="85"/>
    </row>
    <row r="780" spans="1:13" ht="14.25">
      <c r="A780" s="82"/>
      <c r="B780" s="84"/>
      <c r="C780" s="84"/>
      <c r="D780" s="84"/>
      <c r="E780" s="84"/>
      <c r="F780" s="84"/>
      <c r="G780" s="84"/>
      <c r="H780" s="84"/>
      <c r="I780" s="84"/>
      <c r="J780" s="84"/>
      <c r="K780" s="84"/>
      <c r="L780" s="84"/>
      <c r="M780" s="85"/>
    </row>
    <row r="781" spans="1:13" ht="14.25">
      <c r="A781" s="82"/>
      <c r="B781" s="84"/>
      <c r="C781" s="84"/>
      <c r="D781" s="84"/>
      <c r="E781" s="84"/>
      <c r="F781" s="84"/>
      <c r="G781" s="84"/>
      <c r="H781" s="84"/>
      <c r="I781" s="84"/>
      <c r="J781" s="84"/>
      <c r="K781" s="84"/>
      <c r="L781" s="84"/>
      <c r="M781" s="85"/>
    </row>
    <row r="782" spans="1:13" ht="14.25">
      <c r="A782" s="82"/>
      <c r="B782" s="84"/>
      <c r="C782" s="84"/>
      <c r="D782" s="84"/>
      <c r="E782" s="84"/>
      <c r="F782" s="84"/>
      <c r="G782" s="84"/>
      <c r="H782" s="84"/>
      <c r="I782" s="84"/>
      <c r="J782" s="84"/>
      <c r="K782" s="84"/>
      <c r="L782" s="84"/>
      <c r="M782" s="85"/>
    </row>
    <row r="783" spans="1:13" ht="14.25">
      <c r="A783" s="82"/>
      <c r="B783" s="84"/>
      <c r="C783" s="84"/>
      <c r="D783" s="84"/>
      <c r="E783" s="84"/>
      <c r="F783" s="84"/>
      <c r="G783" s="84"/>
      <c r="H783" s="84"/>
      <c r="I783" s="84"/>
      <c r="J783" s="84"/>
      <c r="K783" s="84"/>
      <c r="L783" s="84"/>
      <c r="M783" s="85"/>
    </row>
    <row r="784" spans="1:13" ht="14.25">
      <c r="A784" s="82"/>
      <c r="B784" s="84"/>
      <c r="C784" s="84"/>
      <c r="D784" s="84"/>
      <c r="E784" s="84"/>
      <c r="F784" s="84"/>
      <c r="G784" s="84"/>
      <c r="H784" s="84"/>
      <c r="I784" s="84"/>
      <c r="J784" s="84"/>
      <c r="K784" s="84"/>
      <c r="L784" s="84"/>
      <c r="M784" s="85"/>
    </row>
    <row r="785" spans="1:13" ht="14.25">
      <c r="A785" s="82"/>
      <c r="B785" s="84"/>
      <c r="C785" s="84"/>
      <c r="D785" s="84"/>
      <c r="E785" s="84"/>
      <c r="F785" s="84"/>
      <c r="G785" s="84"/>
      <c r="H785" s="84"/>
      <c r="I785" s="84"/>
      <c r="J785" s="84"/>
      <c r="K785" s="84"/>
      <c r="L785" s="84"/>
      <c r="M785" s="85"/>
    </row>
    <row r="786" spans="1:13" ht="14.25">
      <c r="A786" s="82"/>
      <c r="B786" s="84"/>
      <c r="C786" s="84"/>
      <c r="D786" s="84"/>
      <c r="E786" s="84"/>
      <c r="F786" s="84"/>
      <c r="G786" s="84"/>
      <c r="H786" s="84"/>
      <c r="I786" s="84"/>
      <c r="J786" s="84"/>
      <c r="K786" s="84"/>
      <c r="L786" s="84"/>
      <c r="M786" s="85"/>
    </row>
    <row r="787" spans="1:13" ht="14.25">
      <c r="A787" s="82"/>
      <c r="B787" s="84"/>
      <c r="C787" s="84"/>
      <c r="D787" s="84"/>
      <c r="E787" s="84"/>
      <c r="F787" s="84"/>
      <c r="G787" s="84"/>
      <c r="H787" s="84"/>
      <c r="I787" s="84"/>
      <c r="J787" s="84"/>
      <c r="K787" s="84"/>
      <c r="L787" s="84"/>
      <c r="M787" s="85"/>
    </row>
    <row r="788" spans="1:13" ht="14.25">
      <c r="A788" s="82"/>
      <c r="B788" s="84"/>
      <c r="C788" s="84"/>
      <c r="D788" s="84"/>
      <c r="E788" s="84"/>
      <c r="F788" s="84"/>
      <c r="G788" s="84"/>
      <c r="H788" s="84"/>
      <c r="I788" s="84"/>
      <c r="J788" s="84"/>
      <c r="K788" s="84"/>
      <c r="L788" s="84"/>
      <c r="M788" s="85"/>
    </row>
    <row r="789" spans="1:13" ht="14.25">
      <c r="A789" s="82"/>
      <c r="B789" s="84"/>
      <c r="C789" s="84"/>
      <c r="D789" s="84"/>
      <c r="E789" s="84"/>
      <c r="F789" s="84"/>
      <c r="G789" s="84"/>
      <c r="H789" s="84"/>
      <c r="I789" s="84"/>
      <c r="J789" s="84"/>
      <c r="K789" s="84"/>
      <c r="L789" s="84"/>
      <c r="M789" s="85"/>
    </row>
    <row r="790" spans="1:13" ht="14.25">
      <c r="A790" s="82"/>
      <c r="B790" s="84"/>
      <c r="C790" s="84"/>
      <c r="D790" s="84"/>
      <c r="E790" s="84"/>
      <c r="F790" s="84"/>
      <c r="G790" s="84"/>
      <c r="H790" s="84"/>
      <c r="I790" s="84"/>
      <c r="J790" s="84"/>
      <c r="K790" s="84"/>
      <c r="L790" s="84"/>
      <c r="M790" s="85"/>
    </row>
    <row r="791" spans="1:13" ht="14.25">
      <c r="A791" s="82"/>
      <c r="B791" s="84"/>
      <c r="C791" s="84"/>
      <c r="D791" s="84"/>
      <c r="E791" s="84"/>
      <c r="F791" s="84"/>
      <c r="G791" s="84"/>
      <c r="H791" s="84"/>
      <c r="I791" s="84"/>
      <c r="J791" s="84"/>
      <c r="K791" s="84"/>
      <c r="L791" s="84"/>
      <c r="M791" s="85"/>
    </row>
    <row r="792" spans="1:13" ht="14.25">
      <c r="A792" s="82"/>
      <c r="B792" s="84"/>
      <c r="C792" s="84"/>
      <c r="D792" s="84"/>
      <c r="E792" s="84"/>
      <c r="F792" s="84"/>
      <c r="G792" s="84"/>
      <c r="H792" s="84"/>
      <c r="I792" s="84"/>
      <c r="J792" s="84"/>
      <c r="K792" s="84"/>
      <c r="L792" s="84"/>
      <c r="M792" s="85"/>
    </row>
    <row r="793" spans="1:13" ht="14.25">
      <c r="A793" s="82"/>
      <c r="B793" s="84"/>
      <c r="C793" s="84"/>
      <c r="D793" s="84"/>
      <c r="E793" s="84"/>
      <c r="F793" s="84"/>
      <c r="G793" s="84"/>
      <c r="H793" s="84"/>
      <c r="I793" s="84"/>
      <c r="J793" s="84"/>
      <c r="K793" s="84"/>
      <c r="L793" s="84"/>
      <c r="M793" s="85"/>
    </row>
    <row r="794" spans="1:13" ht="14.25">
      <c r="A794" s="82"/>
      <c r="B794" s="84"/>
      <c r="C794" s="84"/>
      <c r="D794" s="84"/>
      <c r="E794" s="84"/>
      <c r="F794" s="84"/>
      <c r="G794" s="84"/>
      <c r="H794" s="84"/>
      <c r="I794" s="84"/>
      <c r="J794" s="84"/>
      <c r="K794" s="84"/>
      <c r="L794" s="84"/>
      <c r="M794" s="85"/>
    </row>
    <row r="795" spans="1:13" ht="14.25">
      <c r="A795" s="82"/>
      <c r="B795" s="84"/>
      <c r="C795" s="84"/>
      <c r="D795" s="84"/>
      <c r="E795" s="84"/>
      <c r="F795" s="84"/>
      <c r="G795" s="84"/>
      <c r="H795" s="84"/>
      <c r="I795" s="84"/>
      <c r="J795" s="84"/>
      <c r="K795" s="84"/>
      <c r="L795" s="84"/>
      <c r="M795" s="85"/>
    </row>
    <row r="796" spans="1:13" ht="14.25">
      <c r="A796" s="82"/>
      <c r="B796" s="84"/>
      <c r="C796" s="84"/>
      <c r="D796" s="84"/>
      <c r="E796" s="84"/>
      <c r="F796" s="84"/>
      <c r="G796" s="84"/>
      <c r="H796" s="84"/>
      <c r="I796" s="84"/>
      <c r="J796" s="84"/>
      <c r="K796" s="84"/>
      <c r="L796" s="84"/>
      <c r="M796" s="85"/>
    </row>
    <row r="797" spans="1:13" ht="14.25">
      <c r="A797" s="82"/>
      <c r="B797" s="84"/>
      <c r="C797" s="84"/>
      <c r="D797" s="84"/>
      <c r="E797" s="84"/>
      <c r="F797" s="84"/>
      <c r="G797" s="84"/>
      <c r="H797" s="84"/>
      <c r="I797" s="84"/>
      <c r="J797" s="84"/>
      <c r="K797" s="84"/>
      <c r="L797" s="84"/>
      <c r="M797" s="85"/>
    </row>
    <row r="798" spans="1:13" ht="14.25">
      <c r="A798" s="82"/>
      <c r="B798" s="84"/>
      <c r="C798" s="84"/>
      <c r="D798" s="84"/>
      <c r="E798" s="84"/>
      <c r="F798" s="84"/>
      <c r="G798" s="84"/>
      <c r="H798" s="84"/>
      <c r="I798" s="84"/>
      <c r="J798" s="84"/>
      <c r="K798" s="84"/>
      <c r="L798" s="84"/>
      <c r="M798" s="85"/>
    </row>
    <row r="799" spans="1:13" ht="14.25">
      <c r="A799" s="82"/>
      <c r="B799" s="84"/>
      <c r="C799" s="84"/>
      <c r="D799" s="84"/>
      <c r="E799" s="84"/>
      <c r="F799" s="84"/>
      <c r="G799" s="84"/>
      <c r="H799" s="84"/>
      <c r="I799" s="84"/>
      <c r="J799" s="84"/>
      <c r="K799" s="84"/>
      <c r="L799" s="84"/>
      <c r="M799" s="85"/>
    </row>
    <row r="800" spans="1:13" ht="14.25">
      <c r="A800" s="82"/>
      <c r="B800" s="84"/>
      <c r="C800" s="84"/>
      <c r="D800" s="84"/>
      <c r="E800" s="84"/>
      <c r="F800" s="84"/>
      <c r="G800" s="84"/>
      <c r="H800" s="84"/>
      <c r="I800" s="84"/>
      <c r="J800" s="84"/>
      <c r="K800" s="84"/>
      <c r="L800" s="84"/>
      <c r="M800" s="85"/>
    </row>
    <row r="801" spans="1:13" ht="14.25">
      <c r="A801" s="82"/>
      <c r="B801" s="84"/>
      <c r="C801" s="84"/>
      <c r="D801" s="84"/>
      <c r="E801" s="84"/>
      <c r="F801" s="84"/>
      <c r="G801" s="84"/>
      <c r="H801" s="84"/>
      <c r="I801" s="84"/>
      <c r="J801" s="84"/>
      <c r="K801" s="84"/>
      <c r="L801" s="84"/>
      <c r="M801" s="85"/>
    </row>
    <row r="802" spans="1:13" ht="14.25">
      <c r="A802" s="82"/>
      <c r="B802" s="84"/>
      <c r="C802" s="84"/>
      <c r="D802" s="84"/>
      <c r="E802" s="84"/>
      <c r="F802" s="84"/>
      <c r="G802" s="84"/>
      <c r="H802" s="84"/>
      <c r="I802" s="84"/>
      <c r="J802" s="84"/>
      <c r="K802" s="84"/>
      <c r="L802" s="84"/>
      <c r="M802" s="85"/>
    </row>
    <row r="803" spans="1:13" ht="14.25">
      <c r="A803" s="82"/>
      <c r="B803" s="84"/>
      <c r="C803" s="84"/>
      <c r="D803" s="84"/>
      <c r="E803" s="84"/>
      <c r="F803" s="84"/>
      <c r="G803" s="84"/>
      <c r="H803" s="84"/>
      <c r="I803" s="84"/>
      <c r="J803" s="84"/>
      <c r="K803" s="84"/>
      <c r="L803" s="84"/>
      <c r="M803" s="85"/>
    </row>
    <row r="804" spans="1:13" ht="14.25">
      <c r="A804" s="82"/>
      <c r="B804" s="84"/>
      <c r="C804" s="84"/>
      <c r="D804" s="84"/>
      <c r="E804" s="84"/>
      <c r="F804" s="84"/>
      <c r="G804" s="84"/>
      <c r="H804" s="84"/>
      <c r="I804" s="84"/>
      <c r="J804" s="84"/>
      <c r="K804" s="84"/>
      <c r="L804" s="84"/>
      <c r="M804" s="85"/>
    </row>
    <row r="805" spans="1:13" ht="14.25">
      <c r="A805" s="82"/>
      <c r="B805" s="84"/>
      <c r="C805" s="84"/>
      <c r="D805" s="84"/>
      <c r="E805" s="84"/>
      <c r="F805" s="84"/>
      <c r="G805" s="84"/>
      <c r="H805" s="84"/>
      <c r="I805" s="84"/>
      <c r="J805" s="84"/>
      <c r="K805" s="84"/>
      <c r="L805" s="84"/>
      <c r="M805" s="85"/>
    </row>
    <row r="806" spans="1:13" ht="14.25">
      <c r="A806" s="82"/>
      <c r="B806" s="84"/>
      <c r="C806" s="84"/>
      <c r="D806" s="84"/>
      <c r="E806" s="84"/>
      <c r="F806" s="84"/>
      <c r="G806" s="84"/>
      <c r="H806" s="84"/>
      <c r="I806" s="84"/>
      <c r="J806" s="84"/>
      <c r="K806" s="84"/>
      <c r="L806" s="84"/>
      <c r="M806" s="85"/>
    </row>
    <row r="807" spans="1:13" ht="14.25">
      <c r="A807" s="82"/>
      <c r="B807" s="84"/>
      <c r="C807" s="84"/>
      <c r="D807" s="84"/>
      <c r="E807" s="84"/>
      <c r="F807" s="84"/>
      <c r="G807" s="84"/>
      <c r="H807" s="84"/>
      <c r="I807" s="84"/>
      <c r="J807" s="84"/>
      <c r="K807" s="84"/>
      <c r="L807" s="84"/>
      <c r="M807" s="85"/>
    </row>
    <row r="808" spans="1:13" ht="14.25">
      <c r="A808" s="82"/>
      <c r="B808" s="84"/>
      <c r="C808" s="84"/>
      <c r="D808" s="84"/>
      <c r="E808" s="84"/>
      <c r="F808" s="84"/>
      <c r="G808" s="84"/>
      <c r="H808" s="84"/>
      <c r="I808" s="84"/>
      <c r="J808" s="84"/>
      <c r="K808" s="84"/>
      <c r="L808" s="84"/>
      <c r="M808" s="85"/>
    </row>
    <row r="809" spans="1:13" ht="14.25">
      <c r="A809" s="82"/>
      <c r="B809" s="84"/>
      <c r="C809" s="84"/>
      <c r="D809" s="84"/>
      <c r="E809" s="84"/>
      <c r="F809" s="84"/>
      <c r="G809" s="84"/>
      <c r="H809" s="84"/>
      <c r="I809" s="84"/>
      <c r="J809" s="84"/>
      <c r="K809" s="84"/>
      <c r="L809" s="84"/>
      <c r="M809" s="85"/>
    </row>
    <row r="810" spans="1:13" ht="14.25">
      <c r="A810" s="82"/>
      <c r="B810" s="84"/>
      <c r="C810" s="84"/>
      <c r="D810" s="84"/>
      <c r="E810" s="84"/>
      <c r="F810" s="84"/>
      <c r="G810" s="84"/>
      <c r="H810" s="84"/>
      <c r="I810" s="84"/>
      <c r="J810" s="84"/>
      <c r="K810" s="84"/>
      <c r="L810" s="84"/>
      <c r="M810" s="85"/>
    </row>
    <row r="811" spans="1:13" ht="14.25">
      <c r="A811" s="82"/>
      <c r="B811" s="84"/>
      <c r="C811" s="84"/>
      <c r="D811" s="84"/>
      <c r="E811" s="84"/>
      <c r="F811" s="84"/>
      <c r="G811" s="84"/>
      <c r="H811" s="84"/>
      <c r="I811" s="84"/>
      <c r="J811" s="84"/>
      <c r="K811" s="84"/>
      <c r="L811" s="84"/>
      <c r="M811" s="85"/>
    </row>
    <row r="812" spans="1:13" ht="14.25">
      <c r="A812" s="82"/>
      <c r="B812" s="84"/>
      <c r="C812" s="84"/>
      <c r="D812" s="84"/>
      <c r="E812" s="84"/>
      <c r="F812" s="84"/>
      <c r="G812" s="84"/>
      <c r="H812" s="84"/>
      <c r="I812" s="84"/>
      <c r="J812" s="84"/>
      <c r="K812" s="84"/>
      <c r="L812" s="84"/>
      <c r="M812" s="85"/>
    </row>
    <row r="813" spans="1:13" ht="14.25">
      <c r="A813" s="82"/>
      <c r="B813" s="84"/>
      <c r="C813" s="84"/>
      <c r="D813" s="84"/>
      <c r="E813" s="84"/>
      <c r="F813" s="84"/>
      <c r="G813" s="84"/>
      <c r="H813" s="84"/>
      <c r="I813" s="84"/>
      <c r="J813" s="84"/>
      <c r="K813" s="84"/>
      <c r="L813" s="84"/>
      <c r="M813" s="85"/>
    </row>
    <row r="814" spans="1:13" ht="14.25">
      <c r="A814" s="82"/>
      <c r="B814" s="84"/>
      <c r="C814" s="84"/>
      <c r="D814" s="84"/>
      <c r="E814" s="84"/>
      <c r="F814" s="84"/>
      <c r="G814" s="84"/>
      <c r="H814" s="84"/>
      <c r="I814" s="84"/>
      <c r="J814" s="84"/>
      <c r="K814" s="84"/>
      <c r="L814" s="84"/>
      <c r="M814" s="85"/>
    </row>
    <row r="815" spans="1:13" ht="14.25">
      <c r="A815" s="82"/>
      <c r="B815" s="84"/>
      <c r="C815" s="84"/>
      <c r="D815" s="84"/>
      <c r="E815" s="84"/>
      <c r="F815" s="84"/>
      <c r="G815" s="84"/>
      <c r="H815" s="84"/>
      <c r="I815" s="84"/>
      <c r="J815" s="84"/>
      <c r="K815" s="84"/>
      <c r="L815" s="84"/>
      <c r="M815" s="85"/>
    </row>
    <row r="816" spans="1:13" ht="14.25">
      <c r="A816" s="82"/>
      <c r="B816" s="84"/>
      <c r="C816" s="84"/>
      <c r="D816" s="84"/>
      <c r="E816" s="84"/>
      <c r="F816" s="84"/>
      <c r="G816" s="84"/>
      <c r="H816" s="84"/>
      <c r="I816" s="84"/>
      <c r="J816" s="84"/>
      <c r="K816" s="84"/>
      <c r="L816" s="84"/>
      <c r="M816" s="85"/>
    </row>
    <row r="817" spans="1:13" ht="14.25">
      <c r="A817" s="82"/>
      <c r="B817" s="84"/>
      <c r="C817" s="84"/>
      <c r="D817" s="84"/>
      <c r="E817" s="84"/>
      <c r="F817" s="84"/>
      <c r="G817" s="84"/>
      <c r="H817" s="84"/>
      <c r="I817" s="84"/>
      <c r="J817" s="84"/>
      <c r="K817" s="84"/>
      <c r="L817" s="84"/>
      <c r="M817" s="85"/>
    </row>
    <row r="818" spans="1:13" ht="14.25">
      <c r="A818" s="82"/>
      <c r="B818" s="84"/>
      <c r="C818" s="84"/>
      <c r="D818" s="84"/>
      <c r="E818" s="84"/>
      <c r="F818" s="84"/>
      <c r="G818" s="84"/>
      <c r="H818" s="84"/>
      <c r="I818" s="84"/>
      <c r="J818" s="84"/>
      <c r="K818" s="84"/>
      <c r="L818" s="84"/>
      <c r="M818" s="85"/>
    </row>
    <row r="819" spans="1:13" ht="14.25">
      <c r="A819" s="82"/>
      <c r="B819" s="84"/>
      <c r="C819" s="84"/>
      <c r="D819" s="84"/>
      <c r="E819" s="84"/>
      <c r="F819" s="84"/>
      <c r="G819" s="84"/>
      <c r="H819" s="84"/>
      <c r="I819" s="84"/>
      <c r="J819" s="84"/>
      <c r="K819" s="84"/>
      <c r="L819" s="84"/>
      <c r="M819" s="85"/>
    </row>
    <row r="820" spans="1:13" ht="14.25">
      <c r="A820" s="82"/>
      <c r="B820" s="84"/>
      <c r="C820" s="84"/>
      <c r="D820" s="84"/>
      <c r="E820" s="84"/>
      <c r="F820" s="84"/>
      <c r="G820" s="84"/>
      <c r="H820" s="84"/>
      <c r="I820" s="84"/>
      <c r="J820" s="84"/>
      <c r="K820" s="84"/>
      <c r="L820" s="84"/>
      <c r="M820" s="85"/>
    </row>
    <row r="821" spans="1:13" ht="14.25">
      <c r="A821" s="82"/>
      <c r="B821" s="84"/>
      <c r="C821" s="84"/>
      <c r="D821" s="84"/>
      <c r="E821" s="84"/>
      <c r="F821" s="84"/>
      <c r="G821" s="84"/>
      <c r="H821" s="84"/>
      <c r="I821" s="84"/>
      <c r="J821" s="84"/>
      <c r="K821" s="84"/>
      <c r="L821" s="84"/>
      <c r="M821" s="85"/>
    </row>
    <row r="822" spans="1:13" ht="14.25">
      <c r="A822" s="82"/>
      <c r="B822" s="84"/>
      <c r="C822" s="84"/>
      <c r="D822" s="84"/>
      <c r="E822" s="84"/>
      <c r="F822" s="84"/>
      <c r="G822" s="84"/>
      <c r="H822" s="84"/>
      <c r="I822" s="84"/>
      <c r="J822" s="84"/>
      <c r="K822" s="84"/>
      <c r="L822" s="84"/>
      <c r="M822" s="85"/>
    </row>
    <row r="823" spans="1:13" ht="14.25">
      <c r="A823" s="82"/>
      <c r="B823" s="84"/>
      <c r="C823" s="84"/>
      <c r="D823" s="84"/>
      <c r="E823" s="84"/>
      <c r="F823" s="84"/>
      <c r="G823" s="84"/>
      <c r="H823" s="84"/>
      <c r="I823" s="84"/>
      <c r="J823" s="84"/>
      <c r="K823" s="84"/>
      <c r="L823" s="84"/>
      <c r="M823" s="85"/>
    </row>
    <row r="824" spans="1:13" ht="14.25">
      <c r="A824" s="82"/>
      <c r="B824" s="84"/>
      <c r="C824" s="84"/>
      <c r="D824" s="84"/>
      <c r="E824" s="84"/>
      <c r="F824" s="84"/>
      <c r="G824" s="84"/>
      <c r="H824" s="84"/>
      <c r="I824" s="84"/>
      <c r="J824" s="84"/>
      <c r="K824" s="84"/>
      <c r="L824" s="84"/>
      <c r="M824" s="85"/>
    </row>
    <row r="825" spans="1:13" ht="14.25">
      <c r="A825" s="82"/>
      <c r="B825" s="84"/>
      <c r="C825" s="84"/>
      <c r="D825" s="84"/>
      <c r="E825" s="84"/>
      <c r="F825" s="84"/>
      <c r="G825" s="84"/>
      <c r="H825" s="84"/>
      <c r="I825" s="84"/>
      <c r="J825" s="84"/>
      <c r="K825" s="84"/>
      <c r="L825" s="84"/>
      <c r="M825" s="85"/>
    </row>
    <row r="826" spans="1:13" ht="14.25">
      <c r="A826" s="82"/>
      <c r="B826" s="84"/>
      <c r="C826" s="84"/>
      <c r="D826" s="84"/>
      <c r="E826" s="84"/>
      <c r="F826" s="84"/>
      <c r="G826" s="84"/>
      <c r="H826" s="84"/>
      <c r="I826" s="84"/>
      <c r="J826" s="84"/>
      <c r="K826" s="84"/>
      <c r="L826" s="84"/>
      <c r="M826" s="85"/>
    </row>
    <row r="827" spans="1:13" ht="14.25">
      <c r="A827" s="82"/>
      <c r="B827" s="84"/>
      <c r="C827" s="84"/>
      <c r="D827" s="84"/>
      <c r="E827" s="84"/>
      <c r="F827" s="84"/>
      <c r="G827" s="84"/>
      <c r="H827" s="84"/>
      <c r="I827" s="84"/>
      <c r="J827" s="84"/>
      <c r="K827" s="84"/>
      <c r="L827" s="84"/>
      <c r="M827" s="85"/>
    </row>
    <row r="828" spans="1:13" ht="14.25">
      <c r="A828" s="82"/>
      <c r="B828" s="84"/>
      <c r="C828" s="84"/>
      <c r="D828" s="84"/>
      <c r="E828" s="84"/>
      <c r="F828" s="84"/>
      <c r="G828" s="84"/>
      <c r="H828" s="84"/>
      <c r="I828" s="84"/>
      <c r="J828" s="84"/>
      <c r="K828" s="84"/>
      <c r="L828" s="84"/>
      <c r="M828" s="85"/>
    </row>
    <row r="829" spans="1:13" ht="14.25">
      <c r="A829" s="82"/>
      <c r="B829" s="84"/>
      <c r="C829" s="84"/>
      <c r="D829" s="84"/>
      <c r="E829" s="84"/>
      <c r="F829" s="84"/>
      <c r="G829" s="84"/>
      <c r="H829" s="84"/>
      <c r="I829" s="84"/>
      <c r="J829" s="84"/>
      <c r="K829" s="84"/>
      <c r="L829" s="84"/>
      <c r="M829" s="85"/>
    </row>
    <row r="830" spans="1:13" ht="14.25">
      <c r="A830" s="82"/>
      <c r="B830" s="84"/>
      <c r="C830" s="84"/>
      <c r="D830" s="84"/>
      <c r="E830" s="84"/>
      <c r="F830" s="84"/>
      <c r="G830" s="84"/>
      <c r="H830" s="84"/>
      <c r="I830" s="84"/>
      <c r="J830" s="84"/>
      <c r="K830" s="84"/>
      <c r="L830" s="84"/>
      <c r="M830" s="85"/>
    </row>
    <row r="831" spans="1:13" ht="14.25">
      <c r="A831" s="82"/>
      <c r="B831" s="84"/>
      <c r="C831" s="84"/>
      <c r="D831" s="84"/>
      <c r="E831" s="84"/>
      <c r="F831" s="84"/>
      <c r="G831" s="84"/>
      <c r="H831" s="84"/>
      <c r="I831" s="84"/>
      <c r="J831" s="84"/>
      <c r="K831" s="84"/>
      <c r="L831" s="84"/>
      <c r="M831" s="85"/>
    </row>
    <row r="832" spans="1:13" ht="14.25">
      <c r="A832" s="82"/>
      <c r="B832" s="84"/>
      <c r="C832" s="84"/>
      <c r="D832" s="84"/>
      <c r="E832" s="84"/>
      <c r="F832" s="84"/>
      <c r="G832" s="84"/>
      <c r="H832" s="84"/>
      <c r="I832" s="84"/>
      <c r="J832" s="84"/>
      <c r="K832" s="84"/>
      <c r="L832" s="84"/>
      <c r="M832" s="85"/>
    </row>
    <row r="833" spans="1:13" ht="14.25">
      <c r="A833" s="82"/>
      <c r="B833" s="84"/>
      <c r="C833" s="84"/>
      <c r="D833" s="84"/>
      <c r="E833" s="84"/>
      <c r="F833" s="84"/>
      <c r="G833" s="84"/>
      <c r="H833" s="84"/>
      <c r="I833" s="84"/>
      <c r="J833" s="84"/>
      <c r="K833" s="84"/>
      <c r="L833" s="84"/>
      <c r="M833" s="85"/>
    </row>
    <row r="834" spans="1:13" ht="14.25">
      <c r="A834" s="82"/>
      <c r="B834" s="84"/>
      <c r="C834" s="84"/>
      <c r="D834" s="84"/>
      <c r="E834" s="84"/>
      <c r="F834" s="84"/>
      <c r="G834" s="84"/>
      <c r="H834" s="84"/>
      <c r="I834" s="84"/>
      <c r="J834" s="84"/>
      <c r="K834" s="84"/>
      <c r="L834" s="84"/>
      <c r="M834" s="85"/>
    </row>
    <row r="835" spans="1:13" ht="14.25">
      <c r="A835" s="82"/>
      <c r="B835" s="84"/>
      <c r="C835" s="84"/>
      <c r="D835" s="84"/>
      <c r="E835" s="84"/>
      <c r="F835" s="84"/>
      <c r="G835" s="84"/>
      <c r="H835" s="84"/>
      <c r="I835" s="84"/>
      <c r="J835" s="84"/>
      <c r="K835" s="84"/>
      <c r="L835" s="84"/>
      <c r="M835" s="85"/>
    </row>
    <row r="836" spans="1:13" ht="14.25">
      <c r="A836" s="82"/>
      <c r="B836" s="84"/>
      <c r="C836" s="84"/>
      <c r="D836" s="84"/>
      <c r="E836" s="84"/>
      <c r="F836" s="84"/>
      <c r="G836" s="84"/>
      <c r="H836" s="84"/>
      <c r="I836" s="84"/>
      <c r="J836" s="84"/>
      <c r="K836" s="84"/>
      <c r="L836" s="84"/>
      <c r="M836" s="85"/>
    </row>
  </sheetData>
  <mergeCells count="12">
    <mergeCell ref="B47:H47"/>
    <mergeCell ref="J47:P47"/>
    <mergeCell ref="B48:D48"/>
    <mergeCell ref="F48:H48"/>
    <mergeCell ref="J48:L48"/>
    <mergeCell ref="N48:P48"/>
    <mergeCell ref="B9:H9"/>
    <mergeCell ref="J9:P9"/>
    <mergeCell ref="B10:D10"/>
    <mergeCell ref="F10:H10"/>
    <mergeCell ref="J10:L10"/>
    <mergeCell ref="N10:P10"/>
  </mergeCells>
  <printOptions horizontalCentered="1" verticalCentered="1" gridLinesSet="0"/>
  <pageMargins left="3.937007874015748E-2" right="3.937007874015748E-2" top="0.39370078740157483" bottom="0.39370078740157483" header="0.39370078740157483" footer="0.15748031496062992"/>
  <pageSetup paperSize="9" scale="70" fitToHeight="0" orientation="landscape" horizontalDpi="4294967293" verticalDpi="4294967293" r:id="rId1"/>
  <headerFooter alignWithMargins="0"/>
  <rowBreaks count="1" manualBreakCount="1">
    <brk id="45" max="15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Job Details</vt:lpstr>
      <vt:lpstr>Site Plan</vt:lpstr>
      <vt:lpstr>Site 6</vt:lpstr>
      <vt:lpstr>Peds&amp;Cycles</vt:lpstr>
      <vt:lpstr>'Peds&amp;Cycles'!Print_Area</vt:lpstr>
      <vt:lpstr>'Peds&amp;Cycles'!Print_Titles</vt:lpstr>
      <vt:lpstr>'Site 6'!Print_Titles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Sky High-Count On Us</dc:creator>
  <cp:lastModifiedBy>Jack Gilbertson</cp:lastModifiedBy>
  <cp:lastPrinted>2013-10-02T14:22:55Z</cp:lastPrinted>
  <dcterms:created xsi:type="dcterms:W3CDTF">2001-07-30T13:44:17Z</dcterms:created>
  <dcterms:modified xsi:type="dcterms:W3CDTF">2015-10-20T14:31:18Z</dcterms:modified>
</cp:coreProperties>
</file>