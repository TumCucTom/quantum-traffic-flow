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TADCASTER-DPM\Extraction\GF1 New\WAL Jobs\Wal - 2527 Fishponds Road\5 - Post Survey\Client Data\"/>
    </mc:Choice>
  </mc:AlternateContent>
  <bookViews>
    <workbookView xWindow="0" yWindow="0" windowWidth="18690" windowHeight="8490"/>
  </bookViews>
  <sheets>
    <sheet name="Job Details" sheetId="14" r:id="rId1"/>
    <sheet name="Site Plan" sheetId="15" r:id="rId2"/>
    <sheet name="CTC" sheetId="16" r:id="rId3"/>
    <sheet name="Peds" sheetId="17" r:id="rId4"/>
    <sheet name="Queue" sheetId="18" r:id="rId5"/>
  </sheets>
  <definedNames>
    <definedName name="_xlnm.Print_Titles" localSheetId="2">CTC!$1:$7</definedName>
    <definedName name="_xlnm.Print_Titles" localSheetId="3">Peds!$1:$7</definedName>
  </definedNames>
  <calcPr calcId="152511"/>
</workbook>
</file>

<file path=xl/calcChain.xml><?xml version="1.0" encoding="utf-8"?>
<calcChain xmlns="http://schemas.openxmlformats.org/spreadsheetml/2006/main">
  <c r="C172" i="16" l="1"/>
  <c r="C171" i="16"/>
  <c r="C170" i="16"/>
  <c r="B172" i="16"/>
  <c r="B171" i="16"/>
  <c r="B170" i="16"/>
  <c r="AA167" i="16"/>
  <c r="R167" i="16"/>
  <c r="I167" i="16"/>
  <c r="AC167" i="16" s="1"/>
  <c r="AA135" i="16"/>
  <c r="R135" i="16"/>
  <c r="I135" i="16"/>
  <c r="AC135" i="16" s="1"/>
  <c r="AA103" i="16"/>
  <c r="R103" i="16"/>
  <c r="I103" i="16"/>
  <c r="AC103" i="16" s="1"/>
  <c r="AA71" i="16"/>
  <c r="R71" i="16"/>
  <c r="I71" i="16"/>
  <c r="AC71" i="16" s="1"/>
  <c r="AC39" i="16"/>
  <c r="AA39" i="16"/>
  <c r="R39" i="16"/>
  <c r="I39" i="16"/>
  <c r="R72" i="18" l="1"/>
  <c r="Q72" i="18"/>
  <c r="O72" i="18"/>
  <c r="N72" i="18"/>
  <c r="L72" i="18"/>
  <c r="K72" i="18"/>
  <c r="I72" i="18"/>
  <c r="H72" i="18"/>
  <c r="F72" i="18"/>
  <c r="E72" i="18"/>
  <c r="C72" i="18"/>
  <c r="B72" i="18"/>
  <c r="H4" i="18"/>
  <c r="K4" i="17"/>
  <c r="N4" i="16"/>
  <c r="J36" i="17" l="1"/>
  <c r="J31" i="17"/>
  <c r="J26" i="17"/>
  <c r="J21" i="17"/>
  <c r="J16" i="17"/>
  <c r="L36" i="17"/>
  <c r="L31" i="17"/>
  <c r="L26" i="17"/>
  <c r="L21" i="17"/>
  <c r="L16" i="17"/>
  <c r="R26" i="16" l="1"/>
  <c r="Q26" i="16"/>
  <c r="P26" i="16"/>
  <c r="O26" i="16"/>
  <c r="N26" i="16"/>
  <c r="M26" i="16"/>
  <c r="L26" i="16"/>
  <c r="K26" i="16"/>
  <c r="H5" i="18" l="1"/>
  <c r="H3" i="18"/>
  <c r="H2" i="18"/>
  <c r="K5" i="17"/>
  <c r="K3" i="17"/>
  <c r="K2" i="17"/>
  <c r="A12" i="18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0" i="18" s="1"/>
  <c r="A31" i="18" s="1"/>
  <c r="A32" i="18" s="1"/>
  <c r="A33" i="18" s="1"/>
  <c r="A34" i="18" s="1"/>
  <c r="A35" i="18" s="1"/>
  <c r="A36" i="18" s="1"/>
  <c r="A37" i="18" s="1"/>
  <c r="A38" i="18" s="1"/>
  <c r="A39" i="18" s="1"/>
  <c r="A40" i="18" s="1"/>
  <c r="A41" i="18" s="1"/>
  <c r="A42" i="18" s="1"/>
  <c r="A43" i="18" s="1"/>
  <c r="A44" i="18" s="1"/>
  <c r="A45" i="18" s="1"/>
  <c r="A46" i="18" s="1"/>
  <c r="A47" i="18" s="1"/>
  <c r="A48" i="18" s="1"/>
  <c r="A49" i="18" s="1"/>
  <c r="A50" i="18" s="1"/>
  <c r="A51" i="18" s="1"/>
  <c r="A52" i="18" s="1"/>
  <c r="A53" i="18" s="1"/>
  <c r="A54" i="18" s="1"/>
  <c r="A55" i="18" s="1"/>
  <c r="A56" i="18" s="1"/>
  <c r="A57" i="18" s="1"/>
  <c r="A58" i="18" s="1"/>
  <c r="A59" i="18" s="1"/>
  <c r="A60" i="18" s="1"/>
  <c r="A61" i="18" s="1"/>
  <c r="A62" i="18" s="1"/>
  <c r="A63" i="18" s="1"/>
  <c r="A64" i="18" s="1"/>
  <c r="A65" i="18" s="1"/>
  <c r="A66" i="18" s="1"/>
  <c r="A67" i="18" s="1"/>
  <c r="A68" i="18" s="1"/>
  <c r="A69" i="18" s="1"/>
  <c r="A70" i="18" s="1"/>
  <c r="H36" i="17"/>
  <c r="F36" i="17"/>
  <c r="D36" i="17"/>
  <c r="B36" i="17"/>
  <c r="H31" i="17"/>
  <c r="F31" i="17"/>
  <c r="D31" i="17"/>
  <c r="B31" i="17"/>
  <c r="H26" i="17"/>
  <c r="F26" i="17"/>
  <c r="D26" i="17"/>
  <c r="B26" i="17"/>
  <c r="H21" i="17"/>
  <c r="F21" i="17"/>
  <c r="D21" i="17"/>
  <c r="B21" i="17"/>
  <c r="H16" i="17"/>
  <c r="F16" i="17"/>
  <c r="D16" i="17"/>
  <c r="B16" i="17"/>
  <c r="L10" i="17"/>
  <c r="H10" i="17"/>
  <c r="D10" i="17"/>
  <c r="F38" i="17" l="1"/>
  <c r="D38" i="17"/>
  <c r="L38" i="17"/>
  <c r="B38" i="17"/>
  <c r="J38" i="17"/>
  <c r="H38" i="17"/>
  <c r="Z163" i="16"/>
  <c r="Y163" i="16"/>
  <c r="X163" i="16"/>
  <c r="W163" i="16"/>
  <c r="V163" i="16"/>
  <c r="U163" i="16"/>
  <c r="T163" i="16"/>
  <c r="Q163" i="16"/>
  <c r="P163" i="16"/>
  <c r="O163" i="16"/>
  <c r="N163" i="16"/>
  <c r="M163" i="16"/>
  <c r="L163" i="16"/>
  <c r="K163" i="16"/>
  <c r="H163" i="16"/>
  <c r="G163" i="16"/>
  <c r="F163" i="16"/>
  <c r="E163" i="16"/>
  <c r="D163" i="16"/>
  <c r="C163" i="16"/>
  <c r="B163" i="16"/>
  <c r="Z162" i="16"/>
  <c r="Y162" i="16"/>
  <c r="X162" i="16"/>
  <c r="W162" i="16"/>
  <c r="V162" i="16"/>
  <c r="U162" i="16"/>
  <c r="T162" i="16"/>
  <c r="Q162" i="16"/>
  <c r="P162" i="16"/>
  <c r="O162" i="16"/>
  <c r="N162" i="16"/>
  <c r="M162" i="16"/>
  <c r="L162" i="16"/>
  <c r="K162" i="16"/>
  <c r="H162" i="16"/>
  <c r="G162" i="16"/>
  <c r="F162" i="16"/>
  <c r="E162" i="16"/>
  <c r="D162" i="16"/>
  <c r="C162" i="16"/>
  <c r="B162" i="16"/>
  <c r="Z161" i="16"/>
  <c r="Y161" i="16"/>
  <c r="X161" i="16"/>
  <c r="W161" i="16"/>
  <c r="V161" i="16"/>
  <c r="U161" i="16"/>
  <c r="T161" i="16"/>
  <c r="Q161" i="16"/>
  <c r="P161" i="16"/>
  <c r="O161" i="16"/>
  <c r="N161" i="16"/>
  <c r="M161" i="16"/>
  <c r="L161" i="16"/>
  <c r="K161" i="16"/>
  <c r="H161" i="16"/>
  <c r="G161" i="16"/>
  <c r="F161" i="16"/>
  <c r="E161" i="16"/>
  <c r="D161" i="16"/>
  <c r="C161" i="16"/>
  <c r="B161" i="16"/>
  <c r="Z160" i="16"/>
  <c r="Y160" i="16"/>
  <c r="X160" i="16"/>
  <c r="W160" i="16"/>
  <c r="V160" i="16"/>
  <c r="U160" i="16"/>
  <c r="T160" i="16"/>
  <c r="Q160" i="16"/>
  <c r="P160" i="16"/>
  <c r="O160" i="16"/>
  <c r="O164" i="16" s="1"/>
  <c r="N160" i="16"/>
  <c r="M160" i="16"/>
  <c r="L160" i="16"/>
  <c r="K160" i="16"/>
  <c r="H160" i="16"/>
  <c r="G160" i="16"/>
  <c r="F160" i="16"/>
  <c r="E160" i="16"/>
  <c r="E164" i="16" s="1"/>
  <c r="D160" i="16"/>
  <c r="C160" i="16"/>
  <c r="B160" i="16"/>
  <c r="Z158" i="16"/>
  <c r="Y158" i="16"/>
  <c r="X158" i="16"/>
  <c r="W158" i="16"/>
  <c r="V158" i="16"/>
  <c r="U158" i="16"/>
  <c r="T158" i="16"/>
  <c r="Q158" i="16"/>
  <c r="P158" i="16"/>
  <c r="O158" i="16"/>
  <c r="N158" i="16"/>
  <c r="M158" i="16"/>
  <c r="L158" i="16"/>
  <c r="K158" i="16"/>
  <c r="H158" i="16"/>
  <c r="G158" i="16"/>
  <c r="F158" i="16"/>
  <c r="E158" i="16"/>
  <c r="D158" i="16"/>
  <c r="C158" i="16"/>
  <c r="B158" i="16"/>
  <c r="Z157" i="16"/>
  <c r="Y157" i="16"/>
  <c r="X157" i="16"/>
  <c r="W157" i="16"/>
  <c r="V157" i="16"/>
  <c r="U157" i="16"/>
  <c r="T157" i="16"/>
  <c r="Q157" i="16"/>
  <c r="P157" i="16"/>
  <c r="O157" i="16"/>
  <c r="N157" i="16"/>
  <c r="M157" i="16"/>
  <c r="L157" i="16"/>
  <c r="K157" i="16"/>
  <c r="H157" i="16"/>
  <c r="G157" i="16"/>
  <c r="F157" i="16"/>
  <c r="E157" i="16"/>
  <c r="D157" i="16"/>
  <c r="C157" i="16"/>
  <c r="B157" i="16"/>
  <c r="Z156" i="16"/>
  <c r="Y156" i="16"/>
  <c r="X156" i="16"/>
  <c r="W156" i="16"/>
  <c r="V156" i="16"/>
  <c r="U156" i="16"/>
  <c r="T156" i="16"/>
  <c r="Q156" i="16"/>
  <c r="P156" i="16"/>
  <c r="O156" i="16"/>
  <c r="N156" i="16"/>
  <c r="M156" i="16"/>
  <c r="L156" i="16"/>
  <c r="K156" i="16"/>
  <c r="H156" i="16"/>
  <c r="G156" i="16"/>
  <c r="F156" i="16"/>
  <c r="E156" i="16"/>
  <c r="D156" i="16"/>
  <c r="C156" i="16"/>
  <c r="B156" i="16"/>
  <c r="Z155" i="16"/>
  <c r="Y155" i="16"/>
  <c r="Y159" i="16" s="1"/>
  <c r="X155" i="16"/>
  <c r="W155" i="16"/>
  <c r="V155" i="16"/>
  <c r="U155" i="16"/>
  <c r="U159" i="16" s="1"/>
  <c r="T155" i="16"/>
  <c r="Q155" i="16"/>
  <c r="P155" i="16"/>
  <c r="O155" i="16"/>
  <c r="O159" i="16" s="1"/>
  <c r="N155" i="16"/>
  <c r="M155" i="16"/>
  <c r="L155" i="16"/>
  <c r="K155" i="16"/>
  <c r="H155" i="16"/>
  <c r="G155" i="16"/>
  <c r="F155" i="16"/>
  <c r="E155" i="16"/>
  <c r="E159" i="16" s="1"/>
  <c r="D155" i="16"/>
  <c r="C155" i="16"/>
  <c r="B155" i="16"/>
  <c r="Z153" i="16"/>
  <c r="Y153" i="16"/>
  <c r="X153" i="16"/>
  <c r="W153" i="16"/>
  <c r="V153" i="16"/>
  <c r="U153" i="16"/>
  <c r="T153" i="16"/>
  <c r="Q153" i="16"/>
  <c r="P153" i="16"/>
  <c r="O153" i="16"/>
  <c r="N153" i="16"/>
  <c r="M153" i="16"/>
  <c r="L153" i="16"/>
  <c r="K153" i="16"/>
  <c r="H153" i="16"/>
  <c r="G153" i="16"/>
  <c r="F153" i="16"/>
  <c r="E153" i="16"/>
  <c r="D153" i="16"/>
  <c r="C153" i="16"/>
  <c r="B153" i="16"/>
  <c r="Z152" i="16"/>
  <c r="Y152" i="16"/>
  <c r="X152" i="16"/>
  <c r="W152" i="16"/>
  <c r="V152" i="16"/>
  <c r="U152" i="16"/>
  <c r="T152" i="16"/>
  <c r="Q152" i="16"/>
  <c r="P152" i="16"/>
  <c r="O152" i="16"/>
  <c r="N152" i="16"/>
  <c r="M152" i="16"/>
  <c r="L152" i="16"/>
  <c r="K152" i="16"/>
  <c r="H152" i="16"/>
  <c r="G152" i="16"/>
  <c r="F152" i="16"/>
  <c r="E152" i="16"/>
  <c r="D152" i="16"/>
  <c r="C152" i="16"/>
  <c r="B152" i="16"/>
  <c r="Z151" i="16"/>
  <c r="Y151" i="16"/>
  <c r="X151" i="16"/>
  <c r="W151" i="16"/>
  <c r="V151" i="16"/>
  <c r="U151" i="16"/>
  <c r="T151" i="16"/>
  <c r="Q151" i="16"/>
  <c r="P151" i="16"/>
  <c r="O151" i="16"/>
  <c r="N151" i="16"/>
  <c r="M151" i="16"/>
  <c r="L151" i="16"/>
  <c r="K151" i="16"/>
  <c r="H151" i="16"/>
  <c r="G151" i="16"/>
  <c r="F151" i="16"/>
  <c r="E151" i="16"/>
  <c r="D151" i="16"/>
  <c r="C151" i="16"/>
  <c r="B151" i="16"/>
  <c r="Z150" i="16"/>
  <c r="Y150" i="16"/>
  <c r="X150" i="16"/>
  <c r="W150" i="16"/>
  <c r="V150" i="16"/>
  <c r="U150" i="16"/>
  <c r="T150" i="16"/>
  <c r="Q150" i="16"/>
  <c r="P150" i="16"/>
  <c r="O150" i="16"/>
  <c r="O154" i="16" s="1"/>
  <c r="N150" i="16"/>
  <c r="M150" i="16"/>
  <c r="L150" i="16"/>
  <c r="K150" i="16"/>
  <c r="H150" i="16"/>
  <c r="G150" i="16"/>
  <c r="F150" i="16"/>
  <c r="E150" i="16"/>
  <c r="E154" i="16" s="1"/>
  <c r="D150" i="16"/>
  <c r="C150" i="16"/>
  <c r="B150" i="16"/>
  <c r="Z148" i="16"/>
  <c r="Y148" i="16"/>
  <c r="X148" i="16"/>
  <c r="W148" i="16"/>
  <c r="V148" i="16"/>
  <c r="U148" i="16"/>
  <c r="T148" i="16"/>
  <c r="Q148" i="16"/>
  <c r="P148" i="16"/>
  <c r="O148" i="16"/>
  <c r="N148" i="16"/>
  <c r="M148" i="16"/>
  <c r="L148" i="16"/>
  <c r="K148" i="16"/>
  <c r="H148" i="16"/>
  <c r="G148" i="16"/>
  <c r="F148" i="16"/>
  <c r="E148" i="16"/>
  <c r="D148" i="16"/>
  <c r="C148" i="16"/>
  <c r="B148" i="16"/>
  <c r="Z147" i="16"/>
  <c r="Y147" i="16"/>
  <c r="X147" i="16"/>
  <c r="W147" i="16"/>
  <c r="V147" i="16"/>
  <c r="U147" i="16"/>
  <c r="T147" i="16"/>
  <c r="Q147" i="16"/>
  <c r="P147" i="16"/>
  <c r="O147" i="16"/>
  <c r="N147" i="16"/>
  <c r="M147" i="16"/>
  <c r="L147" i="16"/>
  <c r="K147" i="16"/>
  <c r="H147" i="16"/>
  <c r="G147" i="16"/>
  <c r="F147" i="16"/>
  <c r="E147" i="16"/>
  <c r="D147" i="16"/>
  <c r="C147" i="16"/>
  <c r="B147" i="16"/>
  <c r="Z146" i="16"/>
  <c r="Y146" i="16"/>
  <c r="X146" i="16"/>
  <c r="W146" i="16"/>
  <c r="V146" i="16"/>
  <c r="U146" i="16"/>
  <c r="T146" i="16"/>
  <c r="Q146" i="16"/>
  <c r="P146" i="16"/>
  <c r="O146" i="16"/>
  <c r="N146" i="16"/>
  <c r="M146" i="16"/>
  <c r="L146" i="16"/>
  <c r="K146" i="16"/>
  <c r="H146" i="16"/>
  <c r="G146" i="16"/>
  <c r="F146" i="16"/>
  <c r="E146" i="16"/>
  <c r="D146" i="16"/>
  <c r="C146" i="16"/>
  <c r="B146" i="16"/>
  <c r="Z145" i="16"/>
  <c r="Y145" i="16"/>
  <c r="X145" i="16"/>
  <c r="W145" i="16"/>
  <c r="V145" i="16"/>
  <c r="U145" i="16"/>
  <c r="T145" i="16"/>
  <c r="Q145" i="16"/>
  <c r="P145" i="16"/>
  <c r="O145" i="16"/>
  <c r="O149" i="16" s="1"/>
  <c r="N145" i="16"/>
  <c r="M145" i="16"/>
  <c r="L145" i="16"/>
  <c r="K145" i="16"/>
  <c r="H145" i="16"/>
  <c r="G145" i="16"/>
  <c r="F145" i="16"/>
  <c r="E145" i="16"/>
  <c r="E149" i="16" s="1"/>
  <c r="D145" i="16"/>
  <c r="C145" i="16"/>
  <c r="B145" i="16"/>
  <c r="Z143" i="16"/>
  <c r="Y143" i="16"/>
  <c r="X143" i="16"/>
  <c r="W143" i="16"/>
  <c r="V143" i="16"/>
  <c r="U143" i="16"/>
  <c r="T143" i="16"/>
  <c r="Q143" i="16"/>
  <c r="P143" i="16"/>
  <c r="O143" i="16"/>
  <c r="N143" i="16"/>
  <c r="M143" i="16"/>
  <c r="L143" i="16"/>
  <c r="K143" i="16"/>
  <c r="H143" i="16"/>
  <c r="G143" i="16"/>
  <c r="F143" i="16"/>
  <c r="E143" i="16"/>
  <c r="D143" i="16"/>
  <c r="C143" i="16"/>
  <c r="B143" i="16"/>
  <c r="Z142" i="16"/>
  <c r="Y142" i="16"/>
  <c r="X142" i="16"/>
  <c r="W142" i="16"/>
  <c r="V142" i="16"/>
  <c r="U142" i="16"/>
  <c r="T142" i="16"/>
  <c r="Q142" i="16"/>
  <c r="P142" i="16"/>
  <c r="O142" i="16"/>
  <c r="N142" i="16"/>
  <c r="M142" i="16"/>
  <c r="L142" i="16"/>
  <c r="K142" i="16"/>
  <c r="H142" i="16"/>
  <c r="G142" i="16"/>
  <c r="F142" i="16"/>
  <c r="E142" i="16"/>
  <c r="D142" i="16"/>
  <c r="C142" i="16"/>
  <c r="B142" i="16"/>
  <c r="Z141" i="16"/>
  <c r="Y141" i="16"/>
  <c r="X141" i="16"/>
  <c r="W141" i="16"/>
  <c r="V141" i="16"/>
  <c r="U141" i="16"/>
  <c r="T141" i="16"/>
  <c r="Q141" i="16"/>
  <c r="P141" i="16"/>
  <c r="O141" i="16"/>
  <c r="N141" i="16"/>
  <c r="M141" i="16"/>
  <c r="L141" i="16"/>
  <c r="K141" i="16"/>
  <c r="H141" i="16"/>
  <c r="G141" i="16"/>
  <c r="F141" i="16"/>
  <c r="E141" i="16"/>
  <c r="D141" i="16"/>
  <c r="C141" i="16"/>
  <c r="B141" i="16"/>
  <c r="Z140" i="16"/>
  <c r="Y140" i="16"/>
  <c r="X140" i="16"/>
  <c r="W140" i="16"/>
  <c r="V140" i="16"/>
  <c r="U140" i="16"/>
  <c r="T140" i="16"/>
  <c r="Q140" i="16"/>
  <c r="P140" i="16"/>
  <c r="O140" i="16"/>
  <c r="O144" i="16" s="1"/>
  <c r="N140" i="16"/>
  <c r="M140" i="16"/>
  <c r="L140" i="16"/>
  <c r="K140" i="16"/>
  <c r="H140" i="16"/>
  <c r="G140" i="16"/>
  <c r="F140" i="16"/>
  <c r="E140" i="16"/>
  <c r="E144" i="16" s="1"/>
  <c r="D140" i="16"/>
  <c r="C140" i="16"/>
  <c r="B140" i="16"/>
  <c r="Z138" i="16"/>
  <c r="Y138" i="16"/>
  <c r="X138" i="16"/>
  <c r="W138" i="16"/>
  <c r="V138" i="16"/>
  <c r="U138" i="16"/>
  <c r="T138" i="16"/>
  <c r="V137" i="16"/>
  <c r="Q138" i="16"/>
  <c r="P138" i="16"/>
  <c r="O138" i="16"/>
  <c r="N138" i="16"/>
  <c r="M138" i="16"/>
  <c r="L138" i="16"/>
  <c r="K138" i="16"/>
  <c r="M137" i="16"/>
  <c r="H138" i="16"/>
  <c r="G138" i="16"/>
  <c r="F138" i="16"/>
  <c r="E138" i="16"/>
  <c r="D138" i="16"/>
  <c r="C138" i="16"/>
  <c r="B138" i="16"/>
  <c r="D137" i="16"/>
  <c r="Z131" i="16"/>
  <c r="Y131" i="16"/>
  <c r="X131" i="16"/>
  <c r="W131" i="16"/>
  <c r="V131" i="16"/>
  <c r="U131" i="16"/>
  <c r="T131" i="16"/>
  <c r="Q131" i="16"/>
  <c r="P131" i="16"/>
  <c r="O131" i="16"/>
  <c r="N131" i="16"/>
  <c r="M131" i="16"/>
  <c r="L131" i="16"/>
  <c r="K131" i="16"/>
  <c r="H131" i="16"/>
  <c r="G131" i="16"/>
  <c r="F131" i="16"/>
  <c r="E131" i="16"/>
  <c r="D131" i="16"/>
  <c r="C131" i="16"/>
  <c r="B131" i="16"/>
  <c r="Z130" i="16"/>
  <c r="Y130" i="16"/>
  <c r="X130" i="16"/>
  <c r="W130" i="16"/>
  <c r="V130" i="16"/>
  <c r="U130" i="16"/>
  <c r="T130" i="16"/>
  <c r="Q130" i="16"/>
  <c r="P130" i="16"/>
  <c r="O130" i="16"/>
  <c r="N130" i="16"/>
  <c r="M130" i="16"/>
  <c r="L130" i="16"/>
  <c r="K130" i="16"/>
  <c r="H130" i="16"/>
  <c r="G130" i="16"/>
  <c r="F130" i="16"/>
  <c r="E130" i="16"/>
  <c r="D130" i="16"/>
  <c r="C130" i="16"/>
  <c r="B130" i="16"/>
  <c r="Z129" i="16"/>
  <c r="Y129" i="16"/>
  <c r="X129" i="16"/>
  <c r="W129" i="16"/>
  <c r="V129" i="16"/>
  <c r="U129" i="16"/>
  <c r="T129" i="16"/>
  <c r="Q129" i="16"/>
  <c r="P129" i="16"/>
  <c r="O129" i="16"/>
  <c r="O132" i="16" s="1"/>
  <c r="N129" i="16"/>
  <c r="M129" i="16"/>
  <c r="L129" i="16"/>
  <c r="K129" i="16"/>
  <c r="H129" i="16"/>
  <c r="G129" i="16"/>
  <c r="F129" i="16"/>
  <c r="E129" i="16"/>
  <c r="D129" i="16"/>
  <c r="C129" i="16"/>
  <c r="B129" i="16"/>
  <c r="Z128" i="16"/>
  <c r="Y128" i="16"/>
  <c r="X128" i="16"/>
  <c r="W128" i="16"/>
  <c r="V128" i="16"/>
  <c r="U128" i="16"/>
  <c r="T128" i="16"/>
  <c r="Q128" i="16"/>
  <c r="P128" i="16"/>
  <c r="P132" i="16" s="1"/>
  <c r="O128" i="16"/>
  <c r="N128" i="16"/>
  <c r="M128" i="16"/>
  <c r="L128" i="16"/>
  <c r="L132" i="16" s="1"/>
  <c r="K128" i="16"/>
  <c r="H128" i="16"/>
  <c r="G128" i="16"/>
  <c r="F128" i="16"/>
  <c r="E128" i="16"/>
  <c r="D128" i="16"/>
  <c r="C128" i="16"/>
  <c r="B128" i="16"/>
  <c r="Z126" i="16"/>
  <c r="Y126" i="16"/>
  <c r="X126" i="16"/>
  <c r="W126" i="16"/>
  <c r="V126" i="16"/>
  <c r="U126" i="16"/>
  <c r="T126" i="16"/>
  <c r="Q126" i="16"/>
  <c r="P126" i="16"/>
  <c r="O126" i="16"/>
  <c r="N126" i="16"/>
  <c r="M126" i="16"/>
  <c r="L126" i="16"/>
  <c r="K126" i="16"/>
  <c r="H126" i="16"/>
  <c r="G126" i="16"/>
  <c r="F126" i="16"/>
  <c r="E126" i="16"/>
  <c r="D126" i="16"/>
  <c r="C126" i="16"/>
  <c r="B126" i="16"/>
  <c r="Z125" i="16"/>
  <c r="Y125" i="16"/>
  <c r="X125" i="16"/>
  <c r="W125" i="16"/>
  <c r="V125" i="16"/>
  <c r="U125" i="16"/>
  <c r="T125" i="16"/>
  <c r="Q125" i="16"/>
  <c r="P125" i="16"/>
  <c r="O125" i="16"/>
  <c r="N125" i="16"/>
  <c r="M125" i="16"/>
  <c r="L125" i="16"/>
  <c r="K125" i="16"/>
  <c r="H125" i="16"/>
  <c r="G125" i="16"/>
  <c r="F125" i="16"/>
  <c r="E125" i="16"/>
  <c r="D125" i="16"/>
  <c r="C125" i="16"/>
  <c r="B125" i="16"/>
  <c r="Z124" i="16"/>
  <c r="Y124" i="16"/>
  <c r="X124" i="16"/>
  <c r="W124" i="16"/>
  <c r="V124" i="16"/>
  <c r="U124" i="16"/>
  <c r="T124" i="16"/>
  <c r="Q124" i="16"/>
  <c r="P124" i="16"/>
  <c r="O124" i="16"/>
  <c r="N124" i="16"/>
  <c r="M124" i="16"/>
  <c r="L124" i="16"/>
  <c r="K124" i="16"/>
  <c r="H124" i="16"/>
  <c r="G124" i="16"/>
  <c r="F124" i="16"/>
  <c r="E124" i="16"/>
  <c r="D124" i="16"/>
  <c r="C124" i="16"/>
  <c r="B124" i="16"/>
  <c r="Z123" i="16"/>
  <c r="Z127" i="16" s="1"/>
  <c r="Y123" i="16"/>
  <c r="X123" i="16"/>
  <c r="W123" i="16"/>
  <c r="V123" i="16"/>
  <c r="V127" i="16" s="1"/>
  <c r="U123" i="16"/>
  <c r="T123" i="16"/>
  <c r="Q123" i="16"/>
  <c r="P123" i="16"/>
  <c r="P127" i="16" s="1"/>
  <c r="O123" i="16"/>
  <c r="N123" i="16"/>
  <c r="M123" i="16"/>
  <c r="L123" i="16"/>
  <c r="L127" i="16" s="1"/>
  <c r="K123" i="16"/>
  <c r="H123" i="16"/>
  <c r="G123" i="16"/>
  <c r="F123" i="16"/>
  <c r="E123" i="16"/>
  <c r="D123" i="16"/>
  <c r="C123" i="16"/>
  <c r="B123" i="16"/>
  <c r="Z121" i="16"/>
  <c r="Y121" i="16"/>
  <c r="X121" i="16"/>
  <c r="W121" i="16"/>
  <c r="V121" i="16"/>
  <c r="U121" i="16"/>
  <c r="T121" i="16"/>
  <c r="Q121" i="16"/>
  <c r="P121" i="16"/>
  <c r="O121" i="16"/>
  <c r="N121" i="16"/>
  <c r="M121" i="16"/>
  <c r="L121" i="16"/>
  <c r="K121" i="16"/>
  <c r="H121" i="16"/>
  <c r="G121" i="16"/>
  <c r="F121" i="16"/>
  <c r="E121" i="16"/>
  <c r="D121" i="16"/>
  <c r="C121" i="16"/>
  <c r="B121" i="16"/>
  <c r="Z120" i="16"/>
  <c r="Y120" i="16"/>
  <c r="X120" i="16"/>
  <c r="W120" i="16"/>
  <c r="V120" i="16"/>
  <c r="U120" i="16"/>
  <c r="T120" i="16"/>
  <c r="Q120" i="16"/>
  <c r="P120" i="16"/>
  <c r="O120" i="16"/>
  <c r="N120" i="16"/>
  <c r="M120" i="16"/>
  <c r="L120" i="16"/>
  <c r="K120" i="16"/>
  <c r="H120" i="16"/>
  <c r="G120" i="16"/>
  <c r="F120" i="16"/>
  <c r="E120" i="16"/>
  <c r="D120" i="16"/>
  <c r="C120" i="16"/>
  <c r="B120" i="16"/>
  <c r="Z119" i="16"/>
  <c r="Y119" i="16"/>
  <c r="X119" i="16"/>
  <c r="W119" i="16"/>
  <c r="V119" i="16"/>
  <c r="U119" i="16"/>
  <c r="T119" i="16"/>
  <c r="Q119" i="16"/>
  <c r="P119" i="16"/>
  <c r="O119" i="16"/>
  <c r="N119" i="16"/>
  <c r="M119" i="16"/>
  <c r="L119" i="16"/>
  <c r="K119" i="16"/>
  <c r="R119" i="16" s="1"/>
  <c r="H119" i="16"/>
  <c r="G119" i="16"/>
  <c r="F119" i="16"/>
  <c r="E119" i="16"/>
  <c r="D119" i="16"/>
  <c r="C119" i="16"/>
  <c r="B119" i="16"/>
  <c r="Z118" i="16"/>
  <c r="Z122" i="16" s="1"/>
  <c r="Y118" i="16"/>
  <c r="X118" i="16"/>
  <c r="W118" i="16"/>
  <c r="V118" i="16"/>
  <c r="V122" i="16" s="1"/>
  <c r="U118" i="16"/>
  <c r="T118" i="16"/>
  <c r="Q118" i="16"/>
  <c r="P118" i="16"/>
  <c r="P122" i="16" s="1"/>
  <c r="O118" i="16"/>
  <c r="N118" i="16"/>
  <c r="M118" i="16"/>
  <c r="L118" i="16"/>
  <c r="L122" i="16" s="1"/>
  <c r="K118" i="16"/>
  <c r="H118" i="16"/>
  <c r="G118" i="16"/>
  <c r="F118" i="16"/>
  <c r="E118" i="16"/>
  <c r="D118" i="16"/>
  <c r="C118" i="16"/>
  <c r="B118" i="16"/>
  <c r="Z116" i="16"/>
  <c r="Y116" i="16"/>
  <c r="X116" i="16"/>
  <c r="W116" i="16"/>
  <c r="V116" i="16"/>
  <c r="U116" i="16"/>
  <c r="T116" i="16"/>
  <c r="Q116" i="16"/>
  <c r="P116" i="16"/>
  <c r="O116" i="16"/>
  <c r="N116" i="16"/>
  <c r="M116" i="16"/>
  <c r="L116" i="16"/>
  <c r="K116" i="16"/>
  <c r="H116" i="16"/>
  <c r="G116" i="16"/>
  <c r="F116" i="16"/>
  <c r="E116" i="16"/>
  <c r="D116" i="16"/>
  <c r="C116" i="16"/>
  <c r="B116" i="16"/>
  <c r="Z115" i="16"/>
  <c r="Y115" i="16"/>
  <c r="X115" i="16"/>
  <c r="W115" i="16"/>
  <c r="V115" i="16"/>
  <c r="U115" i="16"/>
  <c r="T115" i="16"/>
  <c r="Q115" i="16"/>
  <c r="P115" i="16"/>
  <c r="O115" i="16"/>
  <c r="N115" i="16"/>
  <c r="M115" i="16"/>
  <c r="L115" i="16"/>
  <c r="K115" i="16"/>
  <c r="H115" i="16"/>
  <c r="G115" i="16"/>
  <c r="F115" i="16"/>
  <c r="E115" i="16"/>
  <c r="D115" i="16"/>
  <c r="C115" i="16"/>
  <c r="B115" i="16"/>
  <c r="Z114" i="16"/>
  <c r="Y114" i="16"/>
  <c r="X114" i="16"/>
  <c r="W114" i="16"/>
  <c r="V114" i="16"/>
  <c r="U114" i="16"/>
  <c r="T114" i="16"/>
  <c r="Q114" i="16"/>
  <c r="P114" i="16"/>
  <c r="O114" i="16"/>
  <c r="N114" i="16"/>
  <c r="M114" i="16"/>
  <c r="L114" i="16"/>
  <c r="K114" i="16"/>
  <c r="H114" i="16"/>
  <c r="G114" i="16"/>
  <c r="F114" i="16"/>
  <c r="E114" i="16"/>
  <c r="D114" i="16"/>
  <c r="C114" i="16"/>
  <c r="B114" i="16"/>
  <c r="Z113" i="16"/>
  <c r="Z117" i="16" s="1"/>
  <c r="Y113" i="16"/>
  <c r="X113" i="16"/>
  <c r="W113" i="16"/>
  <c r="V113" i="16"/>
  <c r="V117" i="16" s="1"/>
  <c r="U113" i="16"/>
  <c r="T113" i="16"/>
  <c r="Q113" i="16"/>
  <c r="P113" i="16"/>
  <c r="P117" i="16" s="1"/>
  <c r="O113" i="16"/>
  <c r="N113" i="16"/>
  <c r="M113" i="16"/>
  <c r="L113" i="16"/>
  <c r="K113" i="16"/>
  <c r="H113" i="16"/>
  <c r="G113" i="16"/>
  <c r="F113" i="16"/>
  <c r="E113" i="16"/>
  <c r="D113" i="16"/>
  <c r="C113" i="16"/>
  <c r="B113" i="16"/>
  <c r="Z111" i="16"/>
  <c r="Y111" i="16"/>
  <c r="X111" i="16"/>
  <c r="W111" i="16"/>
  <c r="V111" i="16"/>
  <c r="U111" i="16"/>
  <c r="T111" i="16"/>
  <c r="Q111" i="16"/>
  <c r="P111" i="16"/>
  <c r="O111" i="16"/>
  <c r="N111" i="16"/>
  <c r="M111" i="16"/>
  <c r="L111" i="16"/>
  <c r="K111" i="16"/>
  <c r="H111" i="16"/>
  <c r="G111" i="16"/>
  <c r="F111" i="16"/>
  <c r="E111" i="16"/>
  <c r="D111" i="16"/>
  <c r="C111" i="16"/>
  <c r="B111" i="16"/>
  <c r="Z110" i="16"/>
  <c r="Y110" i="16"/>
  <c r="X110" i="16"/>
  <c r="W110" i="16"/>
  <c r="V110" i="16"/>
  <c r="U110" i="16"/>
  <c r="T110" i="16"/>
  <c r="Q110" i="16"/>
  <c r="P110" i="16"/>
  <c r="O110" i="16"/>
  <c r="N110" i="16"/>
  <c r="M110" i="16"/>
  <c r="L110" i="16"/>
  <c r="K110" i="16"/>
  <c r="H110" i="16"/>
  <c r="G110" i="16"/>
  <c r="F110" i="16"/>
  <c r="E110" i="16"/>
  <c r="D110" i="16"/>
  <c r="C110" i="16"/>
  <c r="B110" i="16"/>
  <c r="Z109" i="16"/>
  <c r="Y109" i="16"/>
  <c r="X109" i="16"/>
  <c r="W109" i="16"/>
  <c r="V109" i="16"/>
  <c r="U109" i="16"/>
  <c r="T109" i="16"/>
  <c r="Q109" i="16"/>
  <c r="P109" i="16"/>
  <c r="O109" i="16"/>
  <c r="N109" i="16"/>
  <c r="M109" i="16"/>
  <c r="L109" i="16"/>
  <c r="K109" i="16"/>
  <c r="R109" i="16" s="1"/>
  <c r="H109" i="16"/>
  <c r="G109" i="16"/>
  <c r="F109" i="16"/>
  <c r="E109" i="16"/>
  <c r="D109" i="16"/>
  <c r="C109" i="16"/>
  <c r="B109" i="16"/>
  <c r="Z108" i="16"/>
  <c r="Y108" i="16"/>
  <c r="X108" i="16"/>
  <c r="W108" i="16"/>
  <c r="V108" i="16"/>
  <c r="V112" i="16" s="1"/>
  <c r="U108" i="16"/>
  <c r="T108" i="16"/>
  <c r="Q108" i="16"/>
  <c r="P108" i="16"/>
  <c r="P112" i="16" s="1"/>
  <c r="O108" i="16"/>
  <c r="N108" i="16"/>
  <c r="M108" i="16"/>
  <c r="L108" i="16"/>
  <c r="K108" i="16"/>
  <c r="H108" i="16"/>
  <c r="G108" i="16"/>
  <c r="F108" i="16"/>
  <c r="E108" i="16"/>
  <c r="D108" i="16"/>
  <c r="C108" i="16"/>
  <c r="B108" i="16"/>
  <c r="Z106" i="16"/>
  <c r="Y106" i="16"/>
  <c r="X106" i="16"/>
  <c r="W106" i="16"/>
  <c r="V106" i="16"/>
  <c r="U106" i="16"/>
  <c r="T106" i="16"/>
  <c r="V105" i="16"/>
  <c r="Q106" i="16"/>
  <c r="P106" i="16"/>
  <c r="O106" i="16"/>
  <c r="N106" i="16"/>
  <c r="M106" i="16"/>
  <c r="L106" i="16"/>
  <c r="K106" i="16"/>
  <c r="M105" i="16"/>
  <c r="H106" i="16"/>
  <c r="G106" i="16"/>
  <c r="F106" i="16"/>
  <c r="E106" i="16"/>
  <c r="D106" i="16"/>
  <c r="C106" i="16"/>
  <c r="B106" i="16"/>
  <c r="D105" i="16"/>
  <c r="Z100" i="16"/>
  <c r="Y100" i="16"/>
  <c r="X100" i="16"/>
  <c r="W100" i="16"/>
  <c r="V100" i="16"/>
  <c r="U100" i="16"/>
  <c r="T100" i="16"/>
  <c r="Q100" i="16"/>
  <c r="P100" i="16"/>
  <c r="O100" i="16"/>
  <c r="N100" i="16"/>
  <c r="M100" i="16"/>
  <c r="L100" i="16"/>
  <c r="K100" i="16"/>
  <c r="H100" i="16"/>
  <c r="G100" i="16"/>
  <c r="F100" i="16"/>
  <c r="E100" i="16"/>
  <c r="D100" i="16"/>
  <c r="C100" i="16"/>
  <c r="B100" i="16"/>
  <c r="AA99" i="16"/>
  <c r="R99" i="16"/>
  <c r="I99" i="16"/>
  <c r="AA98" i="16"/>
  <c r="R98" i="16"/>
  <c r="I98" i="16"/>
  <c r="AA97" i="16"/>
  <c r="R97" i="16"/>
  <c r="I97" i="16"/>
  <c r="AC97" i="16" s="1"/>
  <c r="AA96" i="16"/>
  <c r="AA100" i="16" s="1"/>
  <c r="R96" i="16"/>
  <c r="I96" i="16"/>
  <c r="Z95" i="16"/>
  <c r="Y95" i="16"/>
  <c r="X95" i="16"/>
  <c r="W95" i="16"/>
  <c r="V95" i="16"/>
  <c r="U95" i="16"/>
  <c r="T95" i="16"/>
  <c r="Q95" i="16"/>
  <c r="P95" i="16"/>
  <c r="O95" i="16"/>
  <c r="O102" i="16" s="1"/>
  <c r="N95" i="16"/>
  <c r="M95" i="16"/>
  <c r="L95" i="16"/>
  <c r="K95" i="16"/>
  <c r="H95" i="16"/>
  <c r="G95" i="16"/>
  <c r="F95" i="16"/>
  <c r="E95" i="16"/>
  <c r="D95" i="16"/>
  <c r="C95" i="16"/>
  <c r="B95" i="16"/>
  <c r="AA94" i="16"/>
  <c r="R94" i="16"/>
  <c r="I94" i="16"/>
  <c r="AA93" i="16"/>
  <c r="R93" i="16"/>
  <c r="I93" i="16"/>
  <c r="AA92" i="16"/>
  <c r="R92" i="16"/>
  <c r="I92" i="16"/>
  <c r="AC92" i="16" s="1"/>
  <c r="AA91" i="16"/>
  <c r="R91" i="16"/>
  <c r="I91" i="16"/>
  <c r="Z90" i="16"/>
  <c r="Y90" i="16"/>
  <c r="X90" i="16"/>
  <c r="W90" i="16"/>
  <c r="V90" i="16"/>
  <c r="U90" i="16"/>
  <c r="T90" i="16"/>
  <c r="Q90" i="16"/>
  <c r="P90" i="16"/>
  <c r="O90" i="16"/>
  <c r="N90" i="16"/>
  <c r="M90" i="16"/>
  <c r="L90" i="16"/>
  <c r="K90" i="16"/>
  <c r="H90" i="16"/>
  <c r="G90" i="16"/>
  <c r="F90" i="16"/>
  <c r="E90" i="16"/>
  <c r="D90" i="16"/>
  <c r="C90" i="16"/>
  <c r="B90" i="16"/>
  <c r="AA89" i="16"/>
  <c r="R89" i="16"/>
  <c r="I89" i="16"/>
  <c r="AA88" i="16"/>
  <c r="R88" i="16"/>
  <c r="I88" i="16"/>
  <c r="AA87" i="16"/>
  <c r="AA90" i="16" s="1"/>
  <c r="R87" i="16"/>
  <c r="I87" i="16"/>
  <c r="AA86" i="16"/>
  <c r="R86" i="16"/>
  <c r="I86" i="16"/>
  <c r="Z85" i="16"/>
  <c r="Y85" i="16"/>
  <c r="X85" i="16"/>
  <c r="W85" i="16"/>
  <c r="V85" i="16"/>
  <c r="U85" i="16"/>
  <c r="T85" i="16"/>
  <c r="Q85" i="16"/>
  <c r="P85" i="16"/>
  <c r="O85" i="16"/>
  <c r="N85" i="16"/>
  <c r="M85" i="16"/>
  <c r="L85" i="16"/>
  <c r="K85" i="16"/>
  <c r="H85" i="16"/>
  <c r="G85" i="16"/>
  <c r="F85" i="16"/>
  <c r="E85" i="16"/>
  <c r="D85" i="16"/>
  <c r="C85" i="16"/>
  <c r="B85" i="16"/>
  <c r="AA84" i="16"/>
  <c r="R84" i="16"/>
  <c r="I84" i="16"/>
  <c r="AA83" i="16"/>
  <c r="R83" i="16"/>
  <c r="I83" i="16"/>
  <c r="AC83" i="16" s="1"/>
  <c r="AA82" i="16"/>
  <c r="R82" i="16"/>
  <c r="I82" i="16"/>
  <c r="AA81" i="16"/>
  <c r="AA85" i="16" s="1"/>
  <c r="R81" i="16"/>
  <c r="I81" i="16"/>
  <c r="Z80" i="16"/>
  <c r="Y80" i="16"/>
  <c r="X80" i="16"/>
  <c r="W80" i="16"/>
  <c r="V80" i="16"/>
  <c r="U80" i="16"/>
  <c r="T80" i="16"/>
  <c r="Q80" i="16"/>
  <c r="P80" i="16"/>
  <c r="O80" i="16"/>
  <c r="N80" i="16"/>
  <c r="M80" i="16"/>
  <c r="L80" i="16"/>
  <c r="K80" i="16"/>
  <c r="H80" i="16"/>
  <c r="G80" i="16"/>
  <c r="F80" i="16"/>
  <c r="E80" i="16"/>
  <c r="D80" i="16"/>
  <c r="C80" i="16"/>
  <c r="B80" i="16"/>
  <c r="AA79" i="16"/>
  <c r="R79" i="16"/>
  <c r="I79" i="16"/>
  <c r="AA78" i="16"/>
  <c r="R78" i="16"/>
  <c r="I78" i="16"/>
  <c r="AA77" i="16"/>
  <c r="AA80" i="16" s="1"/>
  <c r="R77" i="16"/>
  <c r="I77" i="16"/>
  <c r="AA76" i="16"/>
  <c r="R76" i="16"/>
  <c r="I76" i="16"/>
  <c r="Z74" i="16"/>
  <c r="Y74" i="16"/>
  <c r="X74" i="16"/>
  <c r="W74" i="16"/>
  <c r="V74" i="16"/>
  <c r="U74" i="16"/>
  <c r="T74" i="16"/>
  <c r="V73" i="16"/>
  <c r="Q74" i="16"/>
  <c r="P74" i="16"/>
  <c r="O74" i="16"/>
  <c r="N74" i="16"/>
  <c r="M74" i="16"/>
  <c r="L74" i="16"/>
  <c r="K74" i="16"/>
  <c r="M73" i="16"/>
  <c r="H74" i="16"/>
  <c r="G74" i="16"/>
  <c r="F74" i="16"/>
  <c r="E74" i="16"/>
  <c r="D74" i="16"/>
  <c r="C74" i="16"/>
  <c r="B74" i="16"/>
  <c r="D73" i="16"/>
  <c r="B72" i="16"/>
  <c r="Z68" i="16"/>
  <c r="Y68" i="16"/>
  <c r="X68" i="16"/>
  <c r="W68" i="16"/>
  <c r="V68" i="16"/>
  <c r="U68" i="16"/>
  <c r="T68" i="16"/>
  <c r="Q68" i="16"/>
  <c r="P68" i="16"/>
  <c r="O68" i="16"/>
  <c r="O70" i="16" s="1"/>
  <c r="N68" i="16"/>
  <c r="M68" i="16"/>
  <c r="L68" i="16"/>
  <c r="K68" i="16"/>
  <c r="K70" i="16" s="1"/>
  <c r="H68" i="16"/>
  <c r="G68" i="16"/>
  <c r="F68" i="16"/>
  <c r="E68" i="16"/>
  <c r="D68" i="16"/>
  <c r="C68" i="16"/>
  <c r="B68" i="16"/>
  <c r="AA67" i="16"/>
  <c r="R67" i="16"/>
  <c r="I67" i="16"/>
  <c r="AA66" i="16"/>
  <c r="R66" i="16"/>
  <c r="I66" i="16"/>
  <c r="AA65" i="16"/>
  <c r="R65" i="16"/>
  <c r="R68" i="16" s="1"/>
  <c r="I65" i="16"/>
  <c r="AA64" i="16"/>
  <c r="R64" i="16"/>
  <c r="I64" i="16"/>
  <c r="Z63" i="16"/>
  <c r="Y63" i="16"/>
  <c r="X63" i="16"/>
  <c r="W63" i="16"/>
  <c r="V63" i="16"/>
  <c r="U63" i="16"/>
  <c r="T63" i="16"/>
  <c r="Q63" i="16"/>
  <c r="P63" i="16"/>
  <c r="O63" i="16"/>
  <c r="N63" i="16"/>
  <c r="M63" i="16"/>
  <c r="L63" i="16"/>
  <c r="K63" i="16"/>
  <c r="H63" i="16"/>
  <c r="G63" i="16"/>
  <c r="F63" i="16"/>
  <c r="E63" i="16"/>
  <c r="D63" i="16"/>
  <c r="C63" i="16"/>
  <c r="B63" i="16"/>
  <c r="AA62" i="16"/>
  <c r="R62" i="16"/>
  <c r="I62" i="16"/>
  <c r="AA61" i="16"/>
  <c r="R61" i="16"/>
  <c r="I61" i="16"/>
  <c r="AA60" i="16"/>
  <c r="R60" i="16"/>
  <c r="I60" i="16"/>
  <c r="AA59" i="16"/>
  <c r="R59" i="16"/>
  <c r="I59" i="16"/>
  <c r="Z58" i="16"/>
  <c r="Y58" i="16"/>
  <c r="X58" i="16"/>
  <c r="W58" i="16"/>
  <c r="V58" i="16"/>
  <c r="U58" i="16"/>
  <c r="T58" i="16"/>
  <c r="Q58" i="16"/>
  <c r="P58" i="16"/>
  <c r="O58" i="16"/>
  <c r="N58" i="16"/>
  <c r="M58" i="16"/>
  <c r="L58" i="16"/>
  <c r="K58" i="16"/>
  <c r="H58" i="16"/>
  <c r="G58" i="16"/>
  <c r="F58" i="16"/>
  <c r="E58" i="16"/>
  <c r="D58" i="16"/>
  <c r="C58" i="16"/>
  <c r="B58" i="16"/>
  <c r="AA57" i="16"/>
  <c r="R57" i="16"/>
  <c r="I57" i="16"/>
  <c r="AA56" i="16"/>
  <c r="R56" i="16"/>
  <c r="I56" i="16"/>
  <c r="AC56" i="16" s="1"/>
  <c r="AA55" i="16"/>
  <c r="R55" i="16"/>
  <c r="I55" i="16"/>
  <c r="AA54" i="16"/>
  <c r="R54" i="16"/>
  <c r="R58" i="16" s="1"/>
  <c r="I54" i="16"/>
  <c r="Z53" i="16"/>
  <c r="Y53" i="16"/>
  <c r="X53" i="16"/>
  <c r="W53" i="16"/>
  <c r="V53" i="16"/>
  <c r="U53" i="16"/>
  <c r="T53" i="16"/>
  <c r="Q53" i="16"/>
  <c r="P53" i="16"/>
  <c r="O53" i="16"/>
  <c r="N53" i="16"/>
  <c r="M53" i="16"/>
  <c r="L53" i="16"/>
  <c r="K53" i="16"/>
  <c r="H53" i="16"/>
  <c r="G53" i="16"/>
  <c r="F53" i="16"/>
  <c r="E53" i="16"/>
  <c r="D53" i="16"/>
  <c r="C53" i="16"/>
  <c r="B53" i="16"/>
  <c r="AA52" i="16"/>
  <c r="R52" i="16"/>
  <c r="I52" i="16"/>
  <c r="AA51" i="16"/>
  <c r="R51" i="16"/>
  <c r="I51" i="16"/>
  <c r="AA50" i="16"/>
  <c r="R50" i="16"/>
  <c r="I50" i="16"/>
  <c r="AA49" i="16"/>
  <c r="R49" i="16"/>
  <c r="I49" i="16"/>
  <c r="Z48" i="16"/>
  <c r="Y48" i="16"/>
  <c r="X48" i="16"/>
  <c r="W48" i="16"/>
  <c r="V48" i="16"/>
  <c r="U48" i="16"/>
  <c r="T48" i="16"/>
  <c r="Q48" i="16"/>
  <c r="P48" i="16"/>
  <c r="O48" i="16"/>
  <c r="N48" i="16"/>
  <c r="M48" i="16"/>
  <c r="L48" i="16"/>
  <c r="K48" i="16"/>
  <c r="H48" i="16"/>
  <c r="G48" i="16"/>
  <c r="F48" i="16"/>
  <c r="E48" i="16"/>
  <c r="D48" i="16"/>
  <c r="C48" i="16"/>
  <c r="B48" i="16"/>
  <c r="AA47" i="16"/>
  <c r="R47" i="16"/>
  <c r="I47" i="16"/>
  <c r="AA46" i="16"/>
  <c r="R46" i="16"/>
  <c r="I46" i="16"/>
  <c r="AA45" i="16"/>
  <c r="R45" i="16"/>
  <c r="I45" i="16"/>
  <c r="AA44" i="16"/>
  <c r="R44" i="16"/>
  <c r="R48" i="16" s="1"/>
  <c r="I44" i="16"/>
  <c r="Z42" i="16"/>
  <c r="Y42" i="16"/>
  <c r="X42" i="16"/>
  <c r="W42" i="16"/>
  <c r="V42" i="16"/>
  <c r="U42" i="16"/>
  <c r="T42" i="16"/>
  <c r="V41" i="16"/>
  <c r="Q42" i="16"/>
  <c r="P42" i="16"/>
  <c r="O42" i="16"/>
  <c r="N42" i="16"/>
  <c r="M42" i="16"/>
  <c r="L42" i="16"/>
  <c r="K42" i="16"/>
  <c r="M41" i="16"/>
  <c r="H42" i="16"/>
  <c r="G42" i="16"/>
  <c r="F42" i="16"/>
  <c r="E42" i="16"/>
  <c r="D42" i="16"/>
  <c r="C42" i="16"/>
  <c r="B42" i="16"/>
  <c r="D41" i="16"/>
  <c r="B40" i="16"/>
  <c r="Z36" i="16"/>
  <c r="Y36" i="16"/>
  <c r="X36" i="16"/>
  <c r="W36" i="16"/>
  <c r="V36" i="16"/>
  <c r="U36" i="16"/>
  <c r="T36" i="16"/>
  <c r="Q36" i="16"/>
  <c r="P36" i="16"/>
  <c r="O36" i="16"/>
  <c r="N36" i="16"/>
  <c r="M36" i="16"/>
  <c r="L36" i="16"/>
  <c r="K36" i="16"/>
  <c r="H36" i="16"/>
  <c r="G36" i="16"/>
  <c r="F36" i="16"/>
  <c r="E36" i="16"/>
  <c r="E38" i="16" s="1"/>
  <c r="D36" i="16"/>
  <c r="C36" i="16"/>
  <c r="B36" i="16"/>
  <c r="AA35" i="16"/>
  <c r="R35" i="16"/>
  <c r="I35" i="16"/>
  <c r="AA34" i="16"/>
  <c r="R34" i="16"/>
  <c r="I34" i="16"/>
  <c r="AA33" i="16"/>
  <c r="R33" i="16"/>
  <c r="I33" i="16"/>
  <c r="I36" i="16" s="1"/>
  <c r="AA32" i="16"/>
  <c r="R32" i="16"/>
  <c r="I32" i="16"/>
  <c r="Z31" i="16"/>
  <c r="Y31" i="16"/>
  <c r="X31" i="16"/>
  <c r="W31" i="16"/>
  <c r="V31" i="16"/>
  <c r="U31" i="16"/>
  <c r="T31" i="16"/>
  <c r="Q31" i="16"/>
  <c r="P31" i="16"/>
  <c r="O31" i="16"/>
  <c r="N31" i="16"/>
  <c r="M31" i="16"/>
  <c r="L31" i="16"/>
  <c r="K31" i="16"/>
  <c r="H31" i="16"/>
  <c r="G31" i="16"/>
  <c r="F31" i="16"/>
  <c r="E31" i="16"/>
  <c r="D31" i="16"/>
  <c r="C31" i="16"/>
  <c r="B31" i="16"/>
  <c r="AA30" i="16"/>
  <c r="R30" i="16"/>
  <c r="I30" i="16"/>
  <c r="AA29" i="16"/>
  <c r="R29" i="16"/>
  <c r="I29" i="16"/>
  <c r="AA28" i="16"/>
  <c r="R28" i="16"/>
  <c r="I28" i="16"/>
  <c r="AA27" i="16"/>
  <c r="R27" i="16"/>
  <c r="I27" i="16"/>
  <c r="I31" i="16" s="1"/>
  <c r="Z26" i="16"/>
  <c r="Y26" i="16"/>
  <c r="X26" i="16"/>
  <c r="W26" i="16"/>
  <c r="V26" i="16"/>
  <c r="U26" i="16"/>
  <c r="T26" i="16"/>
  <c r="H26" i="16"/>
  <c r="G26" i="16"/>
  <c r="F26" i="16"/>
  <c r="E26" i="16"/>
  <c r="D26" i="16"/>
  <c r="C26" i="16"/>
  <c r="B26" i="16"/>
  <c r="AA25" i="16"/>
  <c r="R25" i="16"/>
  <c r="I25" i="16"/>
  <c r="AA24" i="16"/>
  <c r="R24" i="16"/>
  <c r="I24" i="16"/>
  <c r="AA23" i="16"/>
  <c r="R23" i="16"/>
  <c r="I23" i="16"/>
  <c r="AA22" i="16"/>
  <c r="R22" i="16"/>
  <c r="I22" i="16"/>
  <c r="I26" i="16" s="1"/>
  <c r="Z21" i="16"/>
  <c r="Y21" i="16"/>
  <c r="X21" i="16"/>
  <c r="W21" i="16"/>
  <c r="V21" i="16"/>
  <c r="U21" i="16"/>
  <c r="T21" i="16"/>
  <c r="Q21" i="16"/>
  <c r="P21" i="16"/>
  <c r="O21" i="16"/>
  <c r="N21" i="16"/>
  <c r="M21" i="16"/>
  <c r="L21" i="16"/>
  <c r="K21" i="16"/>
  <c r="H21" i="16"/>
  <c r="G21" i="16"/>
  <c r="F21" i="16"/>
  <c r="E21" i="16"/>
  <c r="D21" i="16"/>
  <c r="C21" i="16"/>
  <c r="B21" i="16"/>
  <c r="AA20" i="16"/>
  <c r="R20" i="16"/>
  <c r="I20" i="16"/>
  <c r="AA19" i="16"/>
  <c r="R19" i="16"/>
  <c r="I19" i="16"/>
  <c r="AA18" i="16"/>
  <c r="R18" i="16"/>
  <c r="I18" i="16"/>
  <c r="AA17" i="16"/>
  <c r="R17" i="16"/>
  <c r="I17" i="16"/>
  <c r="Z16" i="16"/>
  <c r="Y16" i="16"/>
  <c r="X16" i="16"/>
  <c r="W16" i="16"/>
  <c r="V16" i="16"/>
  <c r="U16" i="16"/>
  <c r="T16" i="16"/>
  <c r="Q16" i="16"/>
  <c r="P16" i="16"/>
  <c r="O16" i="16"/>
  <c r="N16" i="16"/>
  <c r="M16" i="16"/>
  <c r="L16" i="16"/>
  <c r="K16" i="16"/>
  <c r="H16" i="16"/>
  <c r="G16" i="16"/>
  <c r="F16" i="16"/>
  <c r="E16" i="16"/>
  <c r="D16" i="16"/>
  <c r="C16" i="16"/>
  <c r="B16" i="16"/>
  <c r="AA15" i="16"/>
  <c r="R15" i="16"/>
  <c r="I15" i="16"/>
  <c r="AA14" i="16"/>
  <c r="R14" i="16"/>
  <c r="I14" i="16"/>
  <c r="AA13" i="16"/>
  <c r="R13" i="16"/>
  <c r="I13" i="16"/>
  <c r="AA12" i="16"/>
  <c r="R12" i="16"/>
  <c r="I12" i="16"/>
  <c r="I16" i="16" s="1"/>
  <c r="Z10" i="16"/>
  <c r="Y10" i="16"/>
  <c r="X10" i="16"/>
  <c r="W10" i="16"/>
  <c r="V10" i="16"/>
  <c r="U10" i="16"/>
  <c r="T10" i="16"/>
  <c r="Q10" i="16"/>
  <c r="P10" i="16"/>
  <c r="O10" i="16"/>
  <c r="N10" i="16"/>
  <c r="M10" i="16"/>
  <c r="L10" i="16"/>
  <c r="K10" i="16"/>
  <c r="B8" i="16"/>
  <c r="N5" i="16"/>
  <c r="N3" i="16"/>
  <c r="N2" i="16"/>
  <c r="I5" i="15"/>
  <c r="C5" i="15"/>
  <c r="I4" i="15"/>
  <c r="C4" i="15"/>
  <c r="L70" i="16" l="1"/>
  <c r="X70" i="16"/>
  <c r="N102" i="16"/>
  <c r="AC24" i="16"/>
  <c r="R53" i="16"/>
  <c r="E70" i="16"/>
  <c r="Y70" i="16"/>
  <c r="H70" i="16"/>
  <c r="AC77" i="16"/>
  <c r="AA95" i="16"/>
  <c r="AA102" i="16" s="1"/>
  <c r="T102" i="16"/>
  <c r="X102" i="16"/>
  <c r="W102" i="16"/>
  <c r="O112" i="16"/>
  <c r="Y112" i="16"/>
  <c r="O117" i="16"/>
  <c r="E122" i="16"/>
  <c r="O122" i="16"/>
  <c r="Y122" i="16"/>
  <c r="E127" i="16"/>
  <c r="O127" i="16"/>
  <c r="O134" i="16" s="1"/>
  <c r="Y127" i="16"/>
  <c r="Y132" i="16"/>
  <c r="N144" i="16"/>
  <c r="D149" i="16"/>
  <c r="N149" i="16"/>
  <c r="R148" i="16"/>
  <c r="H154" i="16"/>
  <c r="N154" i="16"/>
  <c r="N166" i="16" s="1"/>
  <c r="N159" i="16"/>
  <c r="D164" i="16"/>
  <c r="N164" i="16"/>
  <c r="N38" i="16"/>
  <c r="O38" i="16"/>
  <c r="R63" i="16"/>
  <c r="W70" i="16"/>
  <c r="F70" i="16"/>
  <c r="V102" i="16"/>
  <c r="Z102" i="16"/>
  <c r="U102" i="16"/>
  <c r="Y102" i="16"/>
  <c r="M112" i="16"/>
  <c r="Q112" i="16"/>
  <c r="W112" i="16"/>
  <c r="M117" i="16"/>
  <c r="Q117" i="16"/>
  <c r="W117" i="16"/>
  <c r="M122" i="16"/>
  <c r="Q122" i="16"/>
  <c r="W122" i="16"/>
  <c r="G127" i="16"/>
  <c r="M127" i="16"/>
  <c r="Q127" i="16"/>
  <c r="Q134" i="16" s="1"/>
  <c r="W127" i="16"/>
  <c r="M132" i="16"/>
  <c r="Q132" i="16"/>
  <c r="W132" i="16"/>
  <c r="P144" i="16"/>
  <c r="P149" i="16"/>
  <c r="L154" i="16"/>
  <c r="P154" i="16"/>
  <c r="P159" i="16"/>
  <c r="R156" i="16"/>
  <c r="L164" i="16"/>
  <c r="P164" i="16"/>
  <c r="P166" i="16" s="1"/>
  <c r="V164" i="16"/>
  <c r="Z164" i="16"/>
  <c r="P70" i="16"/>
  <c r="G70" i="16"/>
  <c r="I21" i="16"/>
  <c r="I38" i="16" s="1"/>
  <c r="B38" i="16"/>
  <c r="F38" i="16"/>
  <c r="D38" i="16"/>
  <c r="H38" i="16"/>
  <c r="C38" i="16"/>
  <c r="G38" i="16"/>
  <c r="P38" i="16"/>
  <c r="AC46" i="16"/>
  <c r="I53" i="16"/>
  <c r="AA63" i="16"/>
  <c r="N70" i="16"/>
  <c r="M70" i="16"/>
  <c r="Q70" i="16"/>
  <c r="V70" i="16"/>
  <c r="Z70" i="16"/>
  <c r="M102" i="16"/>
  <c r="Q102" i="16"/>
  <c r="P102" i="16"/>
  <c r="N112" i="16"/>
  <c r="R111" i="16"/>
  <c r="H117" i="16"/>
  <c r="N117" i="16"/>
  <c r="T117" i="16"/>
  <c r="D122" i="16"/>
  <c r="N122" i="16"/>
  <c r="X122" i="16"/>
  <c r="R121" i="16"/>
  <c r="H127" i="16"/>
  <c r="N127" i="16"/>
  <c r="T127" i="16"/>
  <c r="N132" i="16"/>
  <c r="N134" i="16" s="1"/>
  <c r="Q144" i="16"/>
  <c r="M149" i="16"/>
  <c r="Q149" i="16"/>
  <c r="M154" i="16"/>
  <c r="Q154" i="16"/>
  <c r="W154" i="16"/>
  <c r="R152" i="16"/>
  <c r="M159" i="16"/>
  <c r="Q159" i="16"/>
  <c r="W159" i="16"/>
  <c r="G164" i="16"/>
  <c r="M164" i="16"/>
  <c r="Q164" i="16"/>
  <c r="AC67" i="16"/>
  <c r="AC66" i="16"/>
  <c r="AC65" i="16"/>
  <c r="AA68" i="16"/>
  <c r="R125" i="16"/>
  <c r="AC61" i="16"/>
  <c r="AC62" i="16"/>
  <c r="AC59" i="16"/>
  <c r="AC57" i="16"/>
  <c r="AC55" i="16"/>
  <c r="AA58" i="16"/>
  <c r="T154" i="16"/>
  <c r="L117" i="16"/>
  <c r="AA53" i="16"/>
  <c r="U70" i="16"/>
  <c r="AC47" i="16"/>
  <c r="AC45" i="16"/>
  <c r="AA48" i="16"/>
  <c r="T70" i="16"/>
  <c r="I68" i="16"/>
  <c r="R131" i="16"/>
  <c r="R129" i="16"/>
  <c r="K132" i="16"/>
  <c r="R126" i="16"/>
  <c r="I63" i="16"/>
  <c r="AC60" i="16"/>
  <c r="R124" i="16"/>
  <c r="K127" i="16"/>
  <c r="R120" i="16"/>
  <c r="I58" i="16"/>
  <c r="B154" i="16"/>
  <c r="K122" i="16"/>
  <c r="R115" i="16"/>
  <c r="AC50" i="16"/>
  <c r="AC52" i="16"/>
  <c r="R116" i="16"/>
  <c r="K117" i="16"/>
  <c r="AC51" i="16"/>
  <c r="R114" i="16"/>
  <c r="D70" i="16"/>
  <c r="C70" i="16"/>
  <c r="R110" i="16"/>
  <c r="I48" i="16"/>
  <c r="K112" i="16"/>
  <c r="B70" i="16"/>
  <c r="R108" i="16"/>
  <c r="AC99" i="16"/>
  <c r="AC98" i="16"/>
  <c r="R100" i="16"/>
  <c r="AC94" i="16"/>
  <c r="AC93" i="16"/>
  <c r="AA124" i="16"/>
  <c r="R95" i="16"/>
  <c r="R90" i="16"/>
  <c r="AC84" i="16"/>
  <c r="AA116" i="16"/>
  <c r="AC82" i="16"/>
  <c r="R85" i="16"/>
  <c r="L144" i="16"/>
  <c r="L166" i="16" s="1"/>
  <c r="R142" i="16"/>
  <c r="L102" i="16"/>
  <c r="AC79" i="16"/>
  <c r="AC78" i="16"/>
  <c r="R80" i="16"/>
  <c r="K102" i="16"/>
  <c r="H164" i="16"/>
  <c r="F164" i="16"/>
  <c r="I162" i="16"/>
  <c r="C164" i="16"/>
  <c r="U132" i="16"/>
  <c r="I163" i="16"/>
  <c r="AA131" i="16"/>
  <c r="B164" i="16"/>
  <c r="AA129" i="16"/>
  <c r="I100" i="16"/>
  <c r="I161" i="16"/>
  <c r="AC96" i="16"/>
  <c r="H159" i="16"/>
  <c r="G159" i="16"/>
  <c r="F159" i="16"/>
  <c r="X127" i="16"/>
  <c r="AA125" i="16"/>
  <c r="D159" i="16"/>
  <c r="AA126" i="16"/>
  <c r="I158" i="16"/>
  <c r="C159" i="16"/>
  <c r="U127" i="16"/>
  <c r="I156" i="16"/>
  <c r="B159" i="16"/>
  <c r="I157" i="16"/>
  <c r="I95" i="16"/>
  <c r="G154" i="16"/>
  <c r="F154" i="16"/>
  <c r="AA121" i="16"/>
  <c r="D154" i="16"/>
  <c r="I152" i="16"/>
  <c r="I90" i="16"/>
  <c r="U122" i="16"/>
  <c r="AA119" i="16"/>
  <c r="AC119" i="16" s="1"/>
  <c r="AC87" i="16"/>
  <c r="C154" i="16"/>
  <c r="I153" i="16"/>
  <c r="AC89" i="16"/>
  <c r="AC88" i="16"/>
  <c r="AA120" i="16"/>
  <c r="I151" i="16"/>
  <c r="T122" i="16"/>
  <c r="H149" i="16"/>
  <c r="G149" i="16"/>
  <c r="Y117" i="16"/>
  <c r="Y134" i="16" s="1"/>
  <c r="I146" i="16"/>
  <c r="F149" i="16"/>
  <c r="X117" i="16"/>
  <c r="AA114" i="16"/>
  <c r="I148" i="16"/>
  <c r="AA115" i="16"/>
  <c r="C149" i="16"/>
  <c r="I85" i="16"/>
  <c r="U117" i="16"/>
  <c r="I147" i="16"/>
  <c r="B149" i="16"/>
  <c r="Z112" i="16"/>
  <c r="H144" i="16"/>
  <c r="H166" i="16" s="1"/>
  <c r="H102" i="16"/>
  <c r="AA110" i="16"/>
  <c r="G144" i="16"/>
  <c r="G102" i="16"/>
  <c r="F144" i="16"/>
  <c r="F102" i="16"/>
  <c r="X112" i="16"/>
  <c r="E102" i="16"/>
  <c r="D144" i="16"/>
  <c r="D102" i="16"/>
  <c r="AA111" i="16"/>
  <c r="I142" i="16"/>
  <c r="AA109" i="16"/>
  <c r="C144" i="16"/>
  <c r="C102" i="16"/>
  <c r="I143" i="16"/>
  <c r="T112" i="16"/>
  <c r="B144" i="16"/>
  <c r="I141" i="16"/>
  <c r="I80" i="16"/>
  <c r="B102" i="16"/>
  <c r="AC76" i="16"/>
  <c r="AA108" i="16"/>
  <c r="Q38" i="16"/>
  <c r="R162" i="16"/>
  <c r="R163" i="16"/>
  <c r="K164" i="16"/>
  <c r="R36" i="16"/>
  <c r="R161" i="16"/>
  <c r="L159" i="16"/>
  <c r="R158" i="16"/>
  <c r="R157" i="16"/>
  <c r="R31" i="16"/>
  <c r="K159" i="16"/>
  <c r="AC25" i="16"/>
  <c r="R153" i="16"/>
  <c r="K154" i="16"/>
  <c r="R151" i="16"/>
  <c r="AC23" i="16"/>
  <c r="L149" i="16"/>
  <c r="R146" i="16"/>
  <c r="R147" i="16"/>
  <c r="K149" i="16"/>
  <c r="R21" i="16"/>
  <c r="M38" i="16"/>
  <c r="M144" i="16"/>
  <c r="L38" i="16"/>
  <c r="R143" i="16"/>
  <c r="B112" i="16"/>
  <c r="K144" i="16"/>
  <c r="R141" i="16"/>
  <c r="K38" i="16"/>
  <c r="I130" i="16"/>
  <c r="G132" i="16"/>
  <c r="Y164" i="16"/>
  <c r="X164" i="16"/>
  <c r="F132" i="16"/>
  <c r="E132" i="16"/>
  <c r="I129" i="16"/>
  <c r="W164" i="16"/>
  <c r="C132" i="16"/>
  <c r="AA162" i="16"/>
  <c r="AC162" i="16" s="1"/>
  <c r="AC34" i="16"/>
  <c r="U164" i="16"/>
  <c r="AA163" i="16"/>
  <c r="I131" i="16"/>
  <c r="AA36" i="16"/>
  <c r="AC35" i="16"/>
  <c r="T164" i="16"/>
  <c r="B132" i="16"/>
  <c r="AC33" i="16"/>
  <c r="AA161" i="16"/>
  <c r="AC161" i="16" s="1"/>
  <c r="Z159" i="16"/>
  <c r="F127" i="16"/>
  <c r="X159" i="16"/>
  <c r="D127" i="16"/>
  <c r="I125" i="16"/>
  <c r="AA157" i="16"/>
  <c r="V159" i="16"/>
  <c r="V166" i="16" s="1"/>
  <c r="I126" i="16"/>
  <c r="AC126" i="16" s="1"/>
  <c r="AA158" i="16"/>
  <c r="AC28" i="16"/>
  <c r="C127" i="16"/>
  <c r="AA156" i="16"/>
  <c r="AC156" i="16" s="1"/>
  <c r="AC30" i="16"/>
  <c r="B127" i="16"/>
  <c r="AC29" i="16"/>
  <c r="AA31" i="16"/>
  <c r="T159" i="16"/>
  <c r="I124" i="16"/>
  <c r="I121" i="16"/>
  <c r="H122" i="16"/>
  <c r="Z154" i="16"/>
  <c r="G122" i="16"/>
  <c r="Y154" i="16"/>
  <c r="Y166" i="16" s="1"/>
  <c r="F122" i="16"/>
  <c r="X154" i="16"/>
  <c r="V154" i="16"/>
  <c r="AA26" i="16"/>
  <c r="AA152" i="16"/>
  <c r="C122" i="16"/>
  <c r="I119" i="16"/>
  <c r="U154" i="16"/>
  <c r="AC22" i="16"/>
  <c r="AA153" i="16"/>
  <c r="I120" i="16"/>
  <c r="B122" i="16"/>
  <c r="AA151" i="16"/>
  <c r="I115" i="16"/>
  <c r="Z149" i="16"/>
  <c r="AC19" i="16"/>
  <c r="G117" i="16"/>
  <c r="Y149" i="16"/>
  <c r="F117" i="16"/>
  <c r="X149" i="16"/>
  <c r="E117" i="16"/>
  <c r="W149" i="16"/>
  <c r="V149" i="16"/>
  <c r="D117" i="16"/>
  <c r="AC20" i="16"/>
  <c r="AA148" i="16"/>
  <c r="U149" i="16"/>
  <c r="C117" i="16"/>
  <c r="I114" i="16"/>
  <c r="AA146" i="16"/>
  <c r="I116" i="16"/>
  <c r="B117" i="16"/>
  <c r="AA147" i="16"/>
  <c r="AC147" i="16" s="1"/>
  <c r="AC18" i="16"/>
  <c r="AA21" i="16"/>
  <c r="T149" i="16"/>
  <c r="Z144" i="16"/>
  <c r="Z38" i="16"/>
  <c r="H112" i="16"/>
  <c r="G112" i="16"/>
  <c r="Y144" i="16"/>
  <c r="Y38" i="16"/>
  <c r="F112" i="16"/>
  <c r="X38" i="16"/>
  <c r="X144" i="16"/>
  <c r="E112" i="16"/>
  <c r="W144" i="16"/>
  <c r="W38" i="16"/>
  <c r="V144" i="16"/>
  <c r="D112" i="16"/>
  <c r="V38" i="16"/>
  <c r="I111" i="16"/>
  <c r="AC111" i="16" s="1"/>
  <c r="I110" i="16"/>
  <c r="AA142" i="16"/>
  <c r="AC14" i="16"/>
  <c r="I109" i="16"/>
  <c r="AC109" i="16" s="1"/>
  <c r="U144" i="16"/>
  <c r="AC12" i="16"/>
  <c r="U38" i="16"/>
  <c r="AC15" i="16"/>
  <c r="AA143" i="16"/>
  <c r="AA16" i="16"/>
  <c r="AA141" i="16"/>
  <c r="AC13" i="16"/>
  <c r="T38" i="16"/>
  <c r="T144" i="16"/>
  <c r="I108" i="16"/>
  <c r="R70" i="16"/>
  <c r="R112" i="16"/>
  <c r="R16" i="16"/>
  <c r="AC32" i="16"/>
  <c r="AC17" i="16"/>
  <c r="AC54" i="16"/>
  <c r="AC58" i="16" s="1"/>
  <c r="AC91" i="16"/>
  <c r="AC95" i="16" s="1"/>
  <c r="I113" i="16"/>
  <c r="R113" i="16"/>
  <c r="AA113" i="16"/>
  <c r="T132" i="16"/>
  <c r="X132" i="16"/>
  <c r="X134" i="16" s="1"/>
  <c r="R130" i="16"/>
  <c r="AC151" i="16"/>
  <c r="F166" i="16"/>
  <c r="Z166" i="16"/>
  <c r="C112" i="16"/>
  <c r="L112" i="16"/>
  <c r="L134" i="16" s="1"/>
  <c r="U112" i="16"/>
  <c r="I118" i="16"/>
  <c r="R118" i="16"/>
  <c r="AA118" i="16"/>
  <c r="P134" i="16"/>
  <c r="G166" i="16"/>
  <c r="Q166" i="16"/>
  <c r="W166" i="16"/>
  <c r="AC27" i="16"/>
  <c r="AC44" i="16"/>
  <c r="AC48" i="16" s="1"/>
  <c r="AC64" i="16"/>
  <c r="AC81" i="16"/>
  <c r="I123" i="16"/>
  <c r="R123" i="16"/>
  <c r="AA123" i="16"/>
  <c r="AA127" i="16" s="1"/>
  <c r="D132" i="16"/>
  <c r="H132" i="16"/>
  <c r="M134" i="16"/>
  <c r="V132" i="16"/>
  <c r="V134" i="16" s="1"/>
  <c r="Z132" i="16"/>
  <c r="Z134" i="16" s="1"/>
  <c r="AC152" i="16"/>
  <c r="AC49" i="16"/>
  <c r="AC86" i="16"/>
  <c r="E134" i="16"/>
  <c r="I128" i="16"/>
  <c r="R128" i="16"/>
  <c r="W134" i="16"/>
  <c r="AA128" i="16"/>
  <c r="AA130" i="16"/>
  <c r="AC130" i="16" s="1"/>
  <c r="AC157" i="16"/>
  <c r="E166" i="16"/>
  <c r="O166" i="16"/>
  <c r="I140" i="16"/>
  <c r="R140" i="16"/>
  <c r="R144" i="16" s="1"/>
  <c r="AA140" i="16"/>
  <c r="I160" i="16"/>
  <c r="R160" i="16"/>
  <c r="R164" i="16" s="1"/>
  <c r="AA160" i="16"/>
  <c r="I145" i="16"/>
  <c r="R145" i="16"/>
  <c r="AA145" i="16"/>
  <c r="I150" i="16"/>
  <c r="R150" i="16"/>
  <c r="AA150" i="16"/>
  <c r="AA154" i="16" s="1"/>
  <c r="I155" i="16"/>
  <c r="R155" i="16"/>
  <c r="R159" i="16" s="1"/>
  <c r="AA155" i="16"/>
  <c r="R154" i="16" l="1"/>
  <c r="AC68" i="16"/>
  <c r="R122" i="16"/>
  <c r="C134" i="16"/>
  <c r="U166" i="16"/>
  <c r="G134" i="16"/>
  <c r="AC26" i="16"/>
  <c r="AC116" i="16"/>
  <c r="AC141" i="16"/>
  <c r="AC124" i="16"/>
  <c r="B134" i="16"/>
  <c r="M166" i="16"/>
  <c r="AC63" i="16"/>
  <c r="D166" i="16"/>
  <c r="AC53" i="16"/>
  <c r="AC70" i="16" s="1"/>
  <c r="D134" i="16"/>
  <c r="AC85" i="16"/>
  <c r="R117" i="16"/>
  <c r="AC146" i="16"/>
  <c r="AC148" i="16"/>
  <c r="AC163" i="16"/>
  <c r="F134" i="16"/>
  <c r="AC80" i="16"/>
  <c r="B166" i="16"/>
  <c r="AC100" i="16"/>
  <c r="C166" i="16"/>
  <c r="R132" i="16"/>
  <c r="R134" i="16" s="1"/>
  <c r="AC129" i="16"/>
  <c r="R127" i="16"/>
  <c r="AC158" i="16"/>
  <c r="T166" i="16"/>
  <c r="AA70" i="16"/>
  <c r="AC143" i="16"/>
  <c r="AC131" i="16"/>
  <c r="K134" i="16"/>
  <c r="I70" i="16"/>
  <c r="AC114" i="16"/>
  <c r="AC125" i="16"/>
  <c r="R149" i="16"/>
  <c r="R166" i="16" s="1"/>
  <c r="R102" i="16"/>
  <c r="AC142" i="16"/>
  <c r="U134" i="16"/>
  <c r="AC153" i="16"/>
  <c r="AA122" i="16"/>
  <c r="AC121" i="16"/>
  <c r="AC90" i="16"/>
  <c r="I102" i="16"/>
  <c r="AC120" i="16"/>
  <c r="T134" i="16"/>
  <c r="AC115" i="16"/>
  <c r="AA117" i="16"/>
  <c r="AA112" i="16"/>
  <c r="AC110" i="16"/>
  <c r="AC36" i="16"/>
  <c r="R38" i="16"/>
  <c r="K166" i="16"/>
  <c r="AA164" i="16"/>
  <c r="AA159" i="16"/>
  <c r="AC31" i="16"/>
  <c r="H134" i="16"/>
  <c r="X166" i="16"/>
  <c r="AA149" i="16"/>
  <c r="AC21" i="16"/>
  <c r="AA38" i="16"/>
  <c r="I112" i="16"/>
  <c r="AA144" i="16"/>
  <c r="AC108" i="16"/>
  <c r="AC16" i="16"/>
  <c r="AC118" i="16"/>
  <c r="I122" i="16"/>
  <c r="I159" i="16"/>
  <c r="AC155" i="16"/>
  <c r="AC159" i="16" s="1"/>
  <c r="AA132" i="16"/>
  <c r="I132" i="16"/>
  <c r="AC128" i="16"/>
  <c r="AC123" i="16"/>
  <c r="AC127" i="16" s="1"/>
  <c r="I127" i="16"/>
  <c r="AC140" i="16"/>
  <c r="AC144" i="16" s="1"/>
  <c r="I144" i="16"/>
  <c r="AC113" i="16"/>
  <c r="I117" i="16"/>
  <c r="AC150" i="16"/>
  <c r="AC154" i="16" s="1"/>
  <c r="I154" i="16"/>
  <c r="AC145" i="16"/>
  <c r="I149" i="16"/>
  <c r="AC160" i="16"/>
  <c r="AC164" i="16" s="1"/>
  <c r="I164" i="16"/>
  <c r="AC102" i="16" l="1"/>
  <c r="AC149" i="16"/>
  <c r="AC132" i="16"/>
  <c r="AC117" i="16"/>
  <c r="AC112" i="16"/>
  <c r="AC122" i="16"/>
  <c r="AA134" i="16"/>
  <c r="I166" i="16"/>
  <c r="AA166" i="16"/>
  <c r="AC38" i="16"/>
  <c r="AC166" i="16"/>
  <c r="I134" i="16"/>
  <c r="AC134" i="16" l="1"/>
</calcChain>
</file>

<file path=xl/sharedStrings.xml><?xml version="1.0" encoding="utf-8"?>
<sst xmlns="http://schemas.openxmlformats.org/spreadsheetml/2006/main" count="155" uniqueCount="62">
  <si>
    <t>Client:</t>
  </si>
  <si>
    <t>Project:</t>
  </si>
  <si>
    <t>Sites:</t>
  </si>
  <si>
    <t>Survey Date:</t>
  </si>
  <si>
    <t>Survey Period:</t>
  </si>
  <si>
    <t>Method:</t>
  </si>
  <si>
    <t>Incidents / Observations:</t>
  </si>
  <si>
    <t>Client :</t>
  </si>
  <si>
    <t>Site plan for :</t>
  </si>
  <si>
    <t>Project :</t>
  </si>
  <si>
    <t>Date :</t>
  </si>
  <si>
    <t>Site:</t>
  </si>
  <si>
    <t>Date:</t>
  </si>
  <si>
    <t>Entry :</t>
  </si>
  <si>
    <t>Destination :</t>
  </si>
  <si>
    <t>CAR</t>
  </si>
  <si>
    <t>LGV</t>
  </si>
  <si>
    <t>OGV1</t>
  </si>
  <si>
    <t>OGV2</t>
  </si>
  <si>
    <t>PSV</t>
  </si>
  <si>
    <t>MC</t>
  </si>
  <si>
    <t>PC</t>
  </si>
  <si>
    <t>Total</t>
  </si>
  <si>
    <t>Arm Totals</t>
  </si>
  <si>
    <t>1 Hr</t>
  </si>
  <si>
    <t>ORIGIN SUMMARY</t>
  </si>
  <si>
    <t>Origin :</t>
  </si>
  <si>
    <t>Origin Totals</t>
  </si>
  <si>
    <t>DESTINATION SUMMARY</t>
  </si>
  <si>
    <t>Dest Totals</t>
  </si>
  <si>
    <t>Wal 2527 Fishponds Road</t>
  </si>
  <si>
    <t>7:00-19:00</t>
  </si>
  <si>
    <t>Pedestrian Crossing Movements</t>
  </si>
  <si>
    <t>Peds</t>
  </si>
  <si>
    <t>Zone A Eastbound</t>
  </si>
  <si>
    <t>Zone B Eastbound</t>
  </si>
  <si>
    <t>Zone C Eastbound</t>
  </si>
  <si>
    <t>Stopped</t>
  </si>
  <si>
    <t>Slow Moving</t>
  </si>
  <si>
    <t>Zone A Westbound</t>
  </si>
  <si>
    <t>Zone B Westbound</t>
  </si>
  <si>
    <t>Zone C Westbound</t>
  </si>
  <si>
    <t>Zone A Northbound</t>
  </si>
  <si>
    <t>Zone A Southbound</t>
  </si>
  <si>
    <t>Zone B Northbound</t>
  </si>
  <si>
    <t>Zone C Northbound</t>
  </si>
  <si>
    <t>Zone B Southbound</t>
  </si>
  <si>
    <t>Zone C Southbound</t>
  </si>
  <si>
    <t>Bristol City Council</t>
  </si>
  <si>
    <t>1 - Fishponds Road</t>
  </si>
  <si>
    <t>Video Analysis</t>
  </si>
  <si>
    <t>There were no incidents reported throughout the survey period.</t>
  </si>
  <si>
    <t>Saturday 14th November 2015</t>
  </si>
  <si>
    <t>A - Fishponds Road (E)</t>
  </si>
  <si>
    <t>B - Drummond Road</t>
  </si>
  <si>
    <t>C - Fishponds Road (W)</t>
  </si>
  <si>
    <t>Checks</t>
  </si>
  <si>
    <t>Arms</t>
  </si>
  <si>
    <t>Orign</t>
  </si>
  <si>
    <t>Dest</t>
  </si>
  <si>
    <t>Max Queues in 5 Hrs</t>
  </si>
  <si>
    <t>Max Queues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</si>
</sst>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>
    <font>
      <sz val="10"/>
      <name val="Arial"/>
    </font>
    <font>
      <sz val="10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name val="Arial"/>
      <family val="2"/>
    </font>
    <font>
      <b/>
      <u/>
      <sz val="12"/>
      <name val="Arial"/>
      <family val="2"/>
    </font>
    <font>
      <sz val="8"/>
      <name val="Arial"/>
      <family val="2"/>
    </font>
    <font>
      <sz val="11"/>
      <name val="Arial MT"/>
    </font>
    <font>
      <sz val="6"/>
      <name val="Arial"/>
      <family val="2"/>
    </font>
    <font>
      <sz val="11"/>
      <color indexed="12"/>
      <name val="Arial MT"/>
    </font>
    <font>
      <b/>
      <sz val="11"/>
      <name val="Arial MT"/>
    </font>
    <font>
      <b/>
      <u/>
      <sz val="1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141B4D"/>
        <bgColor indexed="64"/>
      </patternFill>
    </fill>
    <fill>
      <patternFill patternType="solid">
        <fgColor rgb="FF63666A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hair">
        <color indexed="8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21">
    <xf numFmtId="0" fontId="0" fillId="0" borderId="0" xfId="0"/>
    <xf numFmtId="0" fontId="0" fillId="2" borderId="0" xfId="0" applyFill="1"/>
    <xf numFmtId="0" fontId="2" fillId="2" borderId="0" xfId="0" applyFont="1" applyFill="1" applyAlignment="1">
      <alignment vertical="center"/>
    </xf>
    <xf numFmtId="0" fontId="2" fillId="2" borderId="0" xfId="0" quotePrefix="1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2" fillId="2" borderId="3" xfId="0" applyFont="1" applyFill="1" applyBorder="1" applyAlignment="1">
      <alignment vertical="center"/>
    </xf>
    <xf numFmtId="0" fontId="2" fillId="2" borderId="4" xfId="0" applyFont="1" applyFill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3" fillId="2" borderId="9" xfId="0" applyFont="1" applyFill="1" applyBorder="1" applyAlignment="1">
      <alignment vertical="center"/>
    </xf>
    <xf numFmtId="14" fontId="3" fillId="2" borderId="9" xfId="0" applyNumberFormat="1" applyFont="1" applyFill="1" applyBorder="1" applyAlignment="1">
      <alignment vertical="center"/>
    </xf>
    <xf numFmtId="0" fontId="3" fillId="2" borderId="3" xfId="0" applyFont="1" applyFill="1" applyBorder="1"/>
    <xf numFmtId="0" fontId="3" fillId="2" borderId="10" xfId="0" applyFont="1" applyFill="1" applyBorder="1"/>
    <xf numFmtId="0" fontId="3" fillId="2" borderId="4" xfId="0" applyFont="1" applyFill="1" applyBorder="1"/>
    <xf numFmtId="0" fontId="3" fillId="2" borderId="5" xfId="0" applyFont="1" applyFill="1" applyBorder="1"/>
    <xf numFmtId="0" fontId="3" fillId="2" borderId="0" xfId="0" applyFont="1" applyFill="1" applyBorder="1"/>
    <xf numFmtId="0" fontId="3" fillId="2" borderId="6" xfId="0" applyFont="1" applyFill="1" applyBorder="1"/>
    <xf numFmtId="0" fontId="3" fillId="2" borderId="0" xfId="0" applyFont="1" applyFill="1" applyBorder="1" applyAlignment="1">
      <alignment vertical="center"/>
    </xf>
    <xf numFmtId="0" fontId="3" fillId="2" borderId="6" xfId="0" applyFont="1" applyFill="1" applyBorder="1" applyAlignment="1">
      <alignment vertical="center"/>
    </xf>
    <xf numFmtId="0" fontId="3" fillId="2" borderId="5" xfId="0" applyFont="1" applyFill="1" applyBorder="1" applyAlignment="1">
      <alignment vertical="center"/>
    </xf>
    <xf numFmtId="0" fontId="3" fillId="2" borderId="7" xfId="0" applyFont="1" applyFill="1" applyBorder="1" applyAlignment="1">
      <alignment vertical="center"/>
    </xf>
    <xf numFmtId="0" fontId="3" fillId="2" borderId="11" xfId="0" applyFont="1" applyFill="1" applyBorder="1" applyAlignment="1">
      <alignment vertical="center"/>
    </xf>
    <xf numFmtId="0" fontId="3" fillId="2" borderId="8" xfId="0" applyFont="1" applyFill="1" applyBorder="1" applyAlignment="1">
      <alignment vertical="center"/>
    </xf>
    <xf numFmtId="0" fontId="3" fillId="2" borderId="12" xfId="0" applyFont="1" applyFill="1" applyBorder="1" applyAlignment="1">
      <alignment vertical="center"/>
    </xf>
    <xf numFmtId="0" fontId="5" fillId="2" borderId="0" xfId="0" applyFont="1" applyFill="1"/>
    <xf numFmtId="0" fontId="5" fillId="2" borderId="3" xfId="0" applyFont="1" applyFill="1" applyBorder="1"/>
    <xf numFmtId="0" fontId="5" fillId="2" borderId="10" xfId="0" applyFont="1" applyFill="1" applyBorder="1"/>
    <xf numFmtId="0" fontId="5" fillId="2" borderId="4" xfId="0" applyFont="1" applyFill="1" applyBorder="1"/>
    <xf numFmtId="0" fontId="5" fillId="2" borderId="5" xfId="0" applyFont="1" applyFill="1" applyBorder="1"/>
    <xf numFmtId="0" fontId="5" fillId="2" borderId="0" xfId="0" applyFont="1" applyFill="1" applyBorder="1"/>
    <xf numFmtId="0" fontId="4" fillId="2" borderId="0" xfId="0" applyFont="1" applyFill="1" applyBorder="1"/>
    <xf numFmtId="0" fontId="5" fillId="2" borderId="6" xfId="0" applyFont="1" applyFill="1" applyBorder="1"/>
    <xf numFmtId="0" fontId="5" fillId="2" borderId="7" xfId="0" applyFont="1" applyFill="1" applyBorder="1"/>
    <xf numFmtId="0" fontId="5" fillId="2" borderId="11" xfId="0" applyFont="1" applyFill="1" applyBorder="1"/>
    <xf numFmtId="0" fontId="5" fillId="2" borderId="8" xfId="0" applyFont="1" applyFill="1" applyBorder="1"/>
    <xf numFmtId="0" fontId="3" fillId="2" borderId="0" xfId="0" applyFont="1" applyFill="1" applyBorder="1" applyAlignment="1">
      <alignment horizontal="left"/>
    </xf>
    <xf numFmtId="0" fontId="3" fillId="2" borderId="16" xfId="0" applyFont="1" applyFill="1" applyBorder="1" applyAlignment="1">
      <alignment vertical="center"/>
    </xf>
    <xf numFmtId="0" fontId="10" fillId="0" borderId="0" xfId="0" applyNumberFormat="1" applyFont="1" applyFill="1" applyBorder="1" applyAlignment="1" applyProtection="1">
      <alignment horizontal="center"/>
    </xf>
    <xf numFmtId="20" fontId="8" fillId="0" borderId="1" xfId="0" quotePrefix="1" applyNumberFormat="1" applyFont="1" applyFill="1" applyBorder="1" applyAlignment="1">
      <alignment horizontal="center"/>
    </xf>
    <xf numFmtId="0" fontId="5" fillId="0" borderId="3" xfId="0" applyFont="1" applyFill="1" applyBorder="1"/>
    <xf numFmtId="0" fontId="5" fillId="0" borderId="10" xfId="0" applyFont="1" applyFill="1" applyBorder="1"/>
    <xf numFmtId="0" fontId="5" fillId="0" borderId="4" xfId="0" applyFont="1" applyFill="1" applyBorder="1"/>
    <xf numFmtId="0" fontId="5" fillId="0" borderId="0" xfId="0" applyFont="1" applyFill="1"/>
    <xf numFmtId="0" fontId="5" fillId="0" borderId="5" xfId="0" applyFont="1" applyFill="1" applyBorder="1"/>
    <xf numFmtId="0" fontId="5" fillId="0" borderId="0" xfId="0" applyFont="1" applyFill="1" applyBorder="1"/>
    <xf numFmtId="0" fontId="4" fillId="0" borderId="0" xfId="0" applyFont="1" applyFill="1" applyBorder="1"/>
    <xf numFmtId="0" fontId="3" fillId="0" borderId="0" xfId="0" applyFont="1" applyFill="1" applyBorder="1"/>
    <xf numFmtId="0" fontId="5" fillId="0" borderId="6" xfId="0" applyFont="1" applyFill="1" applyBorder="1"/>
    <xf numFmtId="0" fontId="3" fillId="0" borderId="0" xfId="0" applyFont="1" applyFill="1" applyBorder="1" applyAlignment="1">
      <alignment horizontal="left"/>
    </xf>
    <xf numFmtId="0" fontId="5" fillId="0" borderId="7" xfId="0" applyFont="1" applyFill="1" applyBorder="1"/>
    <xf numFmtId="0" fontId="5" fillId="0" borderId="11" xfId="0" applyFont="1" applyFill="1" applyBorder="1"/>
    <xf numFmtId="0" fontId="5" fillId="0" borderId="8" xfId="0" applyFont="1" applyFill="1" applyBorder="1"/>
    <xf numFmtId="0" fontId="3" fillId="0" borderId="0" xfId="0" applyFont="1" applyFill="1"/>
    <xf numFmtId="0" fontId="5" fillId="0" borderId="2" xfId="0" applyFont="1" applyFill="1" applyBorder="1"/>
    <xf numFmtId="0" fontId="5" fillId="0" borderId="9" xfId="0" applyFont="1" applyFill="1" applyBorder="1"/>
    <xf numFmtId="0" fontId="5" fillId="0" borderId="12" xfId="0" applyFont="1" applyFill="1" applyBorder="1"/>
    <xf numFmtId="0" fontId="5" fillId="0" borderId="1" xfId="0" applyFont="1" applyFill="1" applyBorder="1"/>
    <xf numFmtId="0" fontId="1" fillId="0" borderId="0" xfId="0" applyFont="1" applyFill="1"/>
    <xf numFmtId="0" fontId="1" fillId="0" borderId="2" xfId="0" applyFont="1" applyFill="1" applyBorder="1" applyAlignment="1">
      <alignment horizontal="right"/>
    </xf>
    <xf numFmtId="0" fontId="1" fillId="0" borderId="9" xfId="0" applyFont="1" applyFill="1" applyBorder="1" applyAlignment="1">
      <alignment horizontal="right"/>
    </xf>
    <xf numFmtId="0" fontId="1" fillId="0" borderId="12" xfId="0" applyFont="1" applyFill="1" applyBorder="1" applyAlignment="1">
      <alignment horizontal="right"/>
    </xf>
    <xf numFmtId="0" fontId="6" fillId="0" borderId="0" xfId="0" applyNumberFormat="1" applyFont="1" applyFill="1" applyBorder="1" applyAlignment="1" applyProtection="1">
      <alignment horizontal="left"/>
    </xf>
    <xf numFmtId="0" fontId="3" fillId="0" borderId="0" xfId="0" applyNumberFormat="1" applyFont="1" applyFill="1" applyBorder="1" applyAlignment="1" applyProtection="1"/>
    <xf numFmtId="0" fontId="3" fillId="0" borderId="0" xfId="0" applyNumberFormat="1" applyFont="1" applyFill="1" applyBorder="1" applyAlignment="1" applyProtection="1">
      <alignment horizontal="left"/>
    </xf>
    <xf numFmtId="0" fontId="1" fillId="0" borderId="1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>
      <alignment horizontal="right"/>
    </xf>
    <xf numFmtId="0" fontId="1" fillId="0" borderId="0" xfId="0" applyNumberFormat="1" applyFont="1" applyFill="1" applyBorder="1" applyAlignment="1" applyProtection="1">
      <alignment horizontal="center"/>
    </xf>
    <xf numFmtId="0" fontId="7" fillId="0" borderId="0" xfId="0" applyNumberFormat="1" applyFont="1" applyFill="1" applyBorder="1" applyAlignment="1" applyProtection="1"/>
    <xf numFmtId="20" fontId="8" fillId="0" borderId="13" xfId="0" quotePrefix="1" applyNumberFormat="1" applyFont="1" applyFill="1" applyBorder="1" applyAlignment="1">
      <alignment horizontal="left"/>
    </xf>
    <xf numFmtId="0" fontId="5" fillId="0" borderId="13" xfId="0" applyNumberFormat="1" applyFont="1" applyFill="1" applyBorder="1" applyAlignment="1" applyProtection="1">
      <alignment horizontal="center"/>
    </xf>
    <xf numFmtId="0" fontId="5" fillId="0" borderId="0" xfId="0" applyNumberFormat="1" applyFont="1" applyFill="1" applyBorder="1" applyAlignment="1" applyProtection="1">
      <alignment horizontal="center"/>
    </xf>
    <xf numFmtId="20" fontId="8" fillId="0" borderId="15" xfId="0" quotePrefix="1" applyNumberFormat="1" applyFont="1" applyFill="1" applyBorder="1" applyAlignment="1">
      <alignment horizontal="left"/>
    </xf>
    <xf numFmtId="0" fontId="5" fillId="0" borderId="15" xfId="0" applyNumberFormat="1" applyFont="1" applyFill="1" applyBorder="1" applyAlignment="1" applyProtection="1">
      <alignment horizontal="center"/>
    </xf>
    <xf numFmtId="0" fontId="8" fillId="0" borderId="1" xfId="0" applyNumberFormat="1" applyFont="1" applyFill="1" applyBorder="1" applyAlignment="1" applyProtection="1">
      <alignment horizontal="left"/>
    </xf>
    <xf numFmtId="0" fontId="5" fillId="0" borderId="1" xfId="0" applyNumberFormat="1" applyFont="1" applyFill="1" applyBorder="1" applyAlignment="1" applyProtection="1">
      <alignment horizontal="center"/>
    </xf>
    <xf numFmtId="20" fontId="8" fillId="0" borderId="17" xfId="0" quotePrefix="1" applyNumberFormat="1" applyFont="1" applyFill="1" applyBorder="1" applyAlignment="1">
      <alignment horizontal="left"/>
    </xf>
    <xf numFmtId="20" fontId="8" fillId="0" borderId="18" xfId="0" quotePrefix="1" applyNumberFormat="1" applyFont="1" applyFill="1" applyBorder="1" applyAlignment="1">
      <alignment horizontal="left"/>
    </xf>
    <xf numFmtId="0" fontId="8" fillId="0" borderId="19" xfId="0" applyNumberFormat="1" applyFont="1" applyFill="1" applyBorder="1" applyAlignment="1" applyProtection="1">
      <alignment horizontal="left"/>
    </xf>
    <xf numFmtId="0" fontId="9" fillId="0" borderId="0" xfId="0" applyNumberFormat="1" applyFont="1" applyFill="1" applyBorder="1" applyAlignment="1" applyProtection="1">
      <alignment horizontal="center"/>
    </xf>
    <xf numFmtId="0" fontId="9" fillId="0" borderId="0" xfId="0" applyNumberFormat="1" applyFont="1" applyFill="1" applyBorder="1" applyAlignment="1" applyProtection="1">
      <alignment horizontal="left"/>
    </xf>
    <xf numFmtId="0" fontId="9" fillId="0" borderId="0" xfId="0" applyNumberFormat="1" applyFont="1" applyFill="1" applyBorder="1" applyAlignment="1" applyProtection="1"/>
    <xf numFmtId="0" fontId="5" fillId="0" borderId="20" xfId="0" applyNumberFormat="1" applyFont="1" applyFill="1" applyBorder="1" applyAlignment="1" applyProtection="1">
      <alignment horizontal="left"/>
    </xf>
    <xf numFmtId="0" fontId="5" fillId="0" borderId="0" xfId="0" applyFont="1" applyFill="1" applyAlignment="1">
      <alignment wrapText="1"/>
    </xf>
    <xf numFmtId="0" fontId="5" fillId="0" borderId="0" xfId="0" applyNumberFormat="1" applyFont="1" applyFill="1" applyBorder="1" applyAlignment="1" applyProtection="1">
      <alignment vertical="center" wrapText="1"/>
    </xf>
    <xf numFmtId="0" fontId="5" fillId="0" borderId="0" xfId="0" applyNumberFormat="1" applyFont="1" applyFill="1" applyBorder="1" applyAlignment="1" applyProtection="1">
      <alignment horizontal="left" wrapText="1"/>
    </xf>
    <xf numFmtId="0" fontId="5" fillId="0" borderId="1" xfId="0" applyNumberFormat="1" applyFont="1" applyFill="1" applyBorder="1" applyAlignment="1" applyProtection="1">
      <alignment horizontal="center" vertical="center" wrapText="1"/>
    </xf>
    <xf numFmtId="14" fontId="3" fillId="2" borderId="0" xfId="0" applyNumberFormat="1" applyFont="1" applyFill="1" applyBorder="1" applyAlignment="1"/>
    <xf numFmtId="0" fontId="3" fillId="2" borderId="0" xfId="0" applyFont="1" applyFill="1" applyBorder="1" applyAlignment="1"/>
    <xf numFmtId="14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11" fillId="0" borderId="21" xfId="1" applyNumberFormat="1" applyFont="1" applyFill="1" applyBorder="1" applyAlignment="1" applyProtection="1">
      <alignment horizontal="center"/>
    </xf>
    <xf numFmtId="0" fontId="11" fillId="0" borderId="22" xfId="1" applyNumberFormat="1" applyFont="1" applyFill="1" applyBorder="1" applyAlignment="1" applyProtection="1">
      <alignment horizontal="center"/>
    </xf>
    <xf numFmtId="0" fontId="8" fillId="0" borderId="23" xfId="1" applyFont="1" applyFill="1" applyBorder="1" applyAlignment="1" applyProtection="1">
      <alignment horizontal="center"/>
    </xf>
    <xf numFmtId="0" fontId="8" fillId="0" borderId="24" xfId="1" applyFont="1" applyFill="1" applyBorder="1" applyAlignment="1" applyProtection="1">
      <alignment horizontal="center"/>
    </xf>
    <xf numFmtId="0" fontId="5" fillId="0" borderId="1" xfId="0" applyFont="1" applyFill="1" applyBorder="1" applyAlignment="1">
      <alignment horizontal="center" vertical="center" wrapText="1"/>
    </xf>
    <xf numFmtId="0" fontId="5" fillId="0" borderId="25" xfId="0" applyFont="1" applyFill="1" applyBorder="1" applyAlignment="1">
      <alignment horizontal="center" vertical="center"/>
    </xf>
    <xf numFmtId="0" fontId="5" fillId="0" borderId="26" xfId="0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8" fillId="0" borderId="27" xfId="1" applyFont="1" applyFill="1" applyBorder="1" applyAlignment="1" applyProtection="1">
      <alignment horizontal="center"/>
    </xf>
    <xf numFmtId="0" fontId="8" fillId="0" borderId="28" xfId="1" applyFont="1" applyFill="1" applyBorder="1" applyAlignment="1" applyProtection="1">
      <alignment horizontal="center"/>
    </xf>
    <xf numFmtId="0" fontId="8" fillId="0" borderId="29" xfId="1" applyFont="1" applyFill="1" applyBorder="1" applyAlignment="1" applyProtection="1">
      <alignment horizontal="center"/>
    </xf>
    <xf numFmtId="0" fontId="8" fillId="0" borderId="30" xfId="1" applyFont="1" applyFill="1" applyBorder="1" applyAlignment="1" applyProtection="1">
      <alignment horizontal="center"/>
    </xf>
    <xf numFmtId="0" fontId="4" fillId="0" borderId="0" xfId="0" applyFont="1" applyFill="1" applyBorder="1" applyAlignment="1">
      <alignment horizontal="right"/>
    </xf>
    <xf numFmtId="0" fontId="9" fillId="0" borderId="0" xfId="0" applyFont="1" applyFill="1" applyAlignment="1">
      <alignment vertical="top"/>
    </xf>
    <xf numFmtId="0" fontId="1" fillId="0" borderId="1" xfId="0" applyFont="1" applyFill="1" applyBorder="1" applyAlignment="1">
      <alignment horizontal="center"/>
    </xf>
    <xf numFmtId="20" fontId="5" fillId="0" borderId="13" xfId="0" applyNumberFormat="1" applyFont="1" applyFill="1" applyBorder="1" applyAlignment="1">
      <alignment horizontal="left"/>
    </xf>
    <xf numFmtId="0" fontId="5" fillId="0" borderId="13" xfId="0" applyFont="1" applyFill="1" applyBorder="1"/>
    <xf numFmtId="20" fontId="5" fillId="0" borderId="15" xfId="0" applyNumberFormat="1" applyFont="1" applyFill="1" applyBorder="1" applyAlignment="1">
      <alignment horizontal="left"/>
    </xf>
    <xf numFmtId="0" fontId="5" fillId="0" borderId="15" xfId="0" applyFont="1" applyFill="1" applyBorder="1"/>
    <xf numFmtId="20" fontId="5" fillId="0" borderId="14" xfId="0" applyNumberFormat="1" applyFont="1" applyFill="1" applyBorder="1" applyAlignment="1">
      <alignment horizontal="left"/>
    </xf>
    <xf numFmtId="0" fontId="5" fillId="0" borderId="14" xfId="0" applyFont="1" applyFill="1" applyBorder="1"/>
    <xf numFmtId="0" fontId="0" fillId="3" borderId="0" xfId="0" applyFill="1" applyAlignment="1">
      <alignment horizontal="center"/>
    </xf>
    <xf numFmtId="0" fontId="3" fillId="2" borderId="5" xfId="0" applyFont="1" applyFill="1" applyBorder="1" applyAlignment="1">
      <alignment vertical="top"/>
    </xf>
    <xf numFmtId="0" fontId="3" fillId="2" borderId="6" xfId="0" applyFont="1" applyFill="1" applyBorder="1" applyAlignment="1">
      <alignment vertical="top"/>
    </xf>
    <xf numFmtId="0" fontId="3" fillId="2" borderId="7" xfId="0" applyFont="1" applyFill="1" applyBorder="1" applyAlignment="1">
      <alignment vertical="top"/>
    </xf>
    <xf numFmtId="0" fontId="3" fillId="2" borderId="8" xfId="0" applyFont="1" applyFill="1" applyBorder="1" applyAlignment="1">
      <alignment vertical="top"/>
    </xf>
    <xf numFmtId="0" fontId="0" fillId="4" borderId="0" xfId="0" applyFill="1" applyAlignment="1">
      <alignment horizontal="center"/>
    </xf>
    <xf numFmtId="0" fontId="5" fillId="0" borderId="13" xfId="0" applyFont="1" applyFill="1" applyBorder="1" applyAlignment="1">
      <alignment horizontal="center" vertical="distributed"/>
    </xf>
    <xf numFmtId="0" fontId="5" fillId="0" borderId="14" xfId="0" applyFont="1" applyFill="1" applyBorder="1" applyAlignment="1">
      <alignment horizontal="center" vertical="distributed"/>
    </xf>
    <xf numFmtId="0" fontId="11" fillId="0" borderId="2" xfId="1" applyNumberFormat="1" applyFont="1" applyFill="1" applyBorder="1" applyAlignment="1" applyProtection="1">
      <alignment horizontal="center"/>
    </xf>
    <xf numFmtId="0" fontId="11" fillId="0" borderId="16" xfId="1" applyNumberFormat="1" applyFont="1" applyFill="1" applyBorder="1" applyAlignment="1" applyProtection="1">
      <alignment horizontal="center"/>
    </xf>
    <xf numFmtId="0" fontId="12" fillId="0" borderId="0" xfId="0" applyFont="1" applyFill="1"/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977900</xdr:colOff>
      <xdr:row>2</xdr:row>
      <xdr:rowOff>114300</xdr:rowOff>
    </xdr:from>
    <xdr:to>
      <xdr:col>1</xdr:col>
      <xdr:colOff>2349500</xdr:colOff>
      <xdr:row>3</xdr:row>
      <xdr:rowOff>288925</xdr:rowOff>
    </xdr:to>
    <xdr:pic>
      <xdr:nvPicPr>
        <xdr:cNvPr id="3" name="Pictur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7900" y="895350"/>
          <a:ext cx="2828925" cy="565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457200</xdr:colOff>
      <xdr:row>2</xdr:row>
      <xdr:rowOff>254000</xdr:rowOff>
    </xdr:from>
    <xdr:to>
      <xdr:col>3</xdr:col>
      <xdr:colOff>952500</xdr:colOff>
      <xdr:row>4</xdr:row>
      <xdr:rowOff>113848</xdr:rowOff>
    </xdr:to>
    <xdr:pic>
      <xdr:nvPicPr>
        <xdr:cNvPr id="4" name="Picture 6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38675" y="1035050"/>
          <a:ext cx="3219450" cy="6408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63500</xdr:rowOff>
    </xdr:from>
    <xdr:to>
      <xdr:col>12</xdr:col>
      <xdr:colOff>1217700</xdr:colOff>
      <xdr:row>34</xdr:row>
      <xdr:rowOff>281965</xdr:rowOff>
    </xdr:to>
    <xdr:pic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3185" b="1843"/>
        <a:stretch/>
      </xdr:blipFill>
      <xdr:spPr>
        <a:xfrm>
          <a:off x="0" y="1651000"/>
          <a:ext cx="16076700" cy="9425965"/>
        </a:xfrm>
        <a:prstGeom prst="rect">
          <a:avLst/>
        </a:prstGeom>
      </xdr:spPr>
    </xdr:pic>
    <xdr:clientData/>
  </xdr:twoCellAnchor>
  <xdr:twoCellAnchor>
    <xdr:from>
      <xdr:col>0</xdr:col>
      <xdr:colOff>269875</xdr:colOff>
      <xdr:row>6</xdr:row>
      <xdr:rowOff>31750</xdr:rowOff>
    </xdr:from>
    <xdr:to>
      <xdr:col>1</xdr:col>
      <xdr:colOff>15875</xdr:colOff>
      <xdr:row>8</xdr:row>
      <xdr:rowOff>285750</xdr:rowOff>
    </xdr:to>
    <xdr:sp macro="" textlink="">
      <xdr:nvSpPr>
        <xdr:cNvPr id="4" name="TextBox 3"/>
        <xdr:cNvSpPr txBox="1"/>
      </xdr:nvSpPr>
      <xdr:spPr>
        <a:xfrm>
          <a:off x="269875" y="1936750"/>
          <a:ext cx="984250" cy="889000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ctr"/>
          <a:r>
            <a:rPr lang="en-GB" sz="1800"/>
            <a:t>North</a:t>
          </a:r>
        </a:p>
      </xdr:txBody>
    </xdr:sp>
    <xdr:clientData/>
  </xdr:twoCellAnchor>
  <xdr:twoCellAnchor>
    <xdr:from>
      <xdr:col>0</xdr:col>
      <xdr:colOff>746125</xdr:colOff>
      <xdr:row>6</xdr:row>
      <xdr:rowOff>158750</xdr:rowOff>
    </xdr:from>
    <xdr:to>
      <xdr:col>0</xdr:col>
      <xdr:colOff>746126</xdr:colOff>
      <xdr:row>7</xdr:row>
      <xdr:rowOff>238126</xdr:rowOff>
    </xdr:to>
    <xdr:cxnSp macro="">
      <xdr:nvCxnSpPr>
        <xdr:cNvPr id="5" name="Straight Arrow Connector 4"/>
        <xdr:cNvCxnSpPr/>
      </xdr:nvCxnSpPr>
      <xdr:spPr bwMode="auto">
        <a:xfrm flipH="1" flipV="1">
          <a:off x="746125" y="2063750"/>
          <a:ext cx="1" cy="396876"/>
        </a:xfrm>
        <a:prstGeom prst="straightConnector1">
          <a:avLst/>
        </a:pr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  <xdr:twoCellAnchor>
    <xdr:from>
      <xdr:col>7</xdr:col>
      <xdr:colOff>111125</xdr:colOff>
      <xdr:row>14</xdr:row>
      <xdr:rowOff>47625</xdr:rowOff>
    </xdr:from>
    <xdr:to>
      <xdr:col>7</xdr:col>
      <xdr:colOff>508000</xdr:colOff>
      <xdr:row>15</xdr:row>
      <xdr:rowOff>127000</xdr:rowOff>
    </xdr:to>
    <xdr:sp macro="" textlink="">
      <xdr:nvSpPr>
        <xdr:cNvPr id="30" name="Oval 29"/>
        <xdr:cNvSpPr/>
      </xdr:nvSpPr>
      <xdr:spPr bwMode="auto">
        <a:xfrm>
          <a:off x="8778875" y="4492625"/>
          <a:ext cx="396875" cy="396875"/>
        </a:xfrm>
        <a:prstGeom prst="ellipse">
          <a:avLst/>
        </a:prstGeom>
        <a:solidFill>
          <a:srgbClr val="FFFFFF"/>
        </a:solidFill>
        <a:ln w="28575" cap="flat" cmpd="sng" algn="ctr">
          <a:solidFill>
            <a:srgbClr val="0000FF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GB" sz="2000"/>
            <a:t>A</a:t>
          </a:r>
        </a:p>
      </xdr:txBody>
    </xdr:sp>
    <xdr:clientData/>
  </xdr:twoCellAnchor>
  <xdr:twoCellAnchor>
    <xdr:from>
      <xdr:col>5</xdr:col>
      <xdr:colOff>41275</xdr:colOff>
      <xdr:row>18</xdr:row>
      <xdr:rowOff>9525</xdr:rowOff>
    </xdr:from>
    <xdr:to>
      <xdr:col>5</xdr:col>
      <xdr:colOff>438150</xdr:colOff>
      <xdr:row>19</xdr:row>
      <xdr:rowOff>88900</xdr:rowOff>
    </xdr:to>
    <xdr:sp macro="" textlink="">
      <xdr:nvSpPr>
        <xdr:cNvPr id="31" name="Oval 30"/>
        <xdr:cNvSpPr/>
      </xdr:nvSpPr>
      <xdr:spPr bwMode="auto">
        <a:xfrm>
          <a:off x="6232525" y="5724525"/>
          <a:ext cx="396875" cy="396875"/>
        </a:xfrm>
        <a:prstGeom prst="ellipse">
          <a:avLst/>
        </a:prstGeom>
        <a:solidFill>
          <a:srgbClr val="FFFFFF"/>
        </a:solidFill>
        <a:ln w="28575" cap="flat" cmpd="sng" algn="ctr">
          <a:solidFill>
            <a:srgbClr val="0000FF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GB" sz="2000"/>
            <a:t>C</a:t>
          </a:r>
        </a:p>
      </xdr:txBody>
    </xdr:sp>
    <xdr:clientData/>
  </xdr:twoCellAnchor>
  <xdr:twoCellAnchor>
    <xdr:from>
      <xdr:col>6</xdr:col>
      <xdr:colOff>876300</xdr:colOff>
      <xdr:row>19</xdr:row>
      <xdr:rowOff>288925</xdr:rowOff>
    </xdr:from>
    <xdr:to>
      <xdr:col>7</xdr:col>
      <xdr:colOff>34925</xdr:colOff>
      <xdr:row>21</xdr:row>
      <xdr:rowOff>50800</xdr:rowOff>
    </xdr:to>
    <xdr:sp macro="" textlink="">
      <xdr:nvSpPr>
        <xdr:cNvPr id="32" name="Oval 31"/>
        <xdr:cNvSpPr/>
      </xdr:nvSpPr>
      <xdr:spPr bwMode="auto">
        <a:xfrm>
          <a:off x="8305800" y="6321425"/>
          <a:ext cx="396875" cy="396875"/>
        </a:xfrm>
        <a:prstGeom prst="ellipse">
          <a:avLst/>
        </a:prstGeom>
        <a:solidFill>
          <a:srgbClr val="FFFFFF"/>
        </a:solidFill>
        <a:ln w="28575" cap="flat" cmpd="sng" algn="ctr">
          <a:solidFill>
            <a:srgbClr val="0000FF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GB" sz="2000"/>
            <a:t>B</a:t>
          </a:r>
        </a:p>
      </xdr:txBody>
    </xdr:sp>
    <xdr:clientData/>
  </xdr:twoCellAnchor>
  <xdr:twoCellAnchor editAs="oneCell">
    <xdr:from>
      <xdr:col>5</xdr:col>
      <xdr:colOff>95250</xdr:colOff>
      <xdr:row>0</xdr:row>
      <xdr:rowOff>158750</xdr:rowOff>
    </xdr:from>
    <xdr:to>
      <xdr:col>7</xdr:col>
      <xdr:colOff>482600</xdr:colOff>
      <xdr:row>2</xdr:row>
      <xdr:rowOff>98446</xdr:rowOff>
    </xdr:to>
    <xdr:pic>
      <xdr:nvPicPr>
        <xdr:cNvPr id="33" name="Picture 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158750"/>
          <a:ext cx="2863850" cy="5746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63500</xdr:colOff>
      <xdr:row>0</xdr:row>
      <xdr:rowOff>238125</xdr:rowOff>
    </xdr:from>
    <xdr:to>
      <xdr:col>12</xdr:col>
      <xdr:colOff>1079500</xdr:colOff>
      <xdr:row>2</xdr:row>
      <xdr:rowOff>303886</xdr:rowOff>
    </xdr:to>
    <xdr:pic>
      <xdr:nvPicPr>
        <xdr:cNvPr id="34" name="Picture 6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46000" y="238125"/>
          <a:ext cx="3492500" cy="7007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538940</xdr:colOff>
      <xdr:row>9</xdr:row>
      <xdr:rowOff>207987</xdr:rowOff>
    </xdr:from>
    <xdr:to>
      <xdr:col>10</xdr:col>
      <xdr:colOff>798378</xdr:colOff>
      <xdr:row>12</xdr:row>
      <xdr:rowOff>211202</xdr:rowOff>
    </xdr:to>
    <xdr:sp macro="" textlink="">
      <xdr:nvSpPr>
        <xdr:cNvPr id="35" name="Rectangle 34"/>
        <xdr:cNvSpPr/>
      </xdr:nvSpPr>
      <xdr:spPr bwMode="auto">
        <a:xfrm rot="19873999">
          <a:off x="9206690" y="3065487"/>
          <a:ext cx="3974188" cy="955715"/>
        </a:xfrm>
        <a:prstGeom prst="rect">
          <a:avLst/>
        </a:prstGeom>
        <a:noFill/>
        <a:ln w="28575" cap="flat" cmpd="sng" algn="ctr">
          <a:solidFill>
            <a:srgbClr val="00CC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5445</xdr:colOff>
      <xdr:row>20</xdr:row>
      <xdr:rowOff>279406</xdr:rowOff>
    </xdr:from>
    <xdr:to>
      <xdr:col>5</xdr:col>
      <xdr:colOff>78866</xdr:colOff>
      <xdr:row>23</xdr:row>
      <xdr:rowOff>196495</xdr:rowOff>
    </xdr:to>
    <xdr:sp macro="" textlink="">
      <xdr:nvSpPr>
        <xdr:cNvPr id="36" name="Rectangle 35"/>
        <xdr:cNvSpPr/>
      </xdr:nvSpPr>
      <xdr:spPr bwMode="auto">
        <a:xfrm rot="20272697">
          <a:off x="1243695" y="6629406"/>
          <a:ext cx="5026421" cy="869589"/>
        </a:xfrm>
        <a:prstGeom prst="rect">
          <a:avLst/>
        </a:prstGeom>
        <a:noFill/>
        <a:ln w="28575" cap="flat" cmpd="sng" algn="ctr">
          <a:solidFill>
            <a:srgbClr val="00CC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GB" sz="1100"/>
        </a:p>
      </xdr:txBody>
    </xdr:sp>
    <xdr:clientData/>
  </xdr:twoCellAnchor>
  <xdr:twoCellAnchor>
    <xdr:from>
      <xdr:col>4</xdr:col>
      <xdr:colOff>977814</xdr:colOff>
      <xdr:row>15</xdr:row>
      <xdr:rowOff>71126</xdr:rowOff>
    </xdr:from>
    <xdr:to>
      <xdr:col>7</xdr:col>
      <xdr:colOff>923871</xdr:colOff>
      <xdr:row>18</xdr:row>
      <xdr:rowOff>73812</xdr:rowOff>
    </xdr:to>
    <xdr:sp macro="" textlink="">
      <xdr:nvSpPr>
        <xdr:cNvPr id="37" name="Rectangle 36"/>
        <xdr:cNvSpPr/>
      </xdr:nvSpPr>
      <xdr:spPr bwMode="auto">
        <a:xfrm rot="20063860">
          <a:off x="5930814" y="4833626"/>
          <a:ext cx="3660807" cy="955186"/>
        </a:xfrm>
        <a:prstGeom prst="rect">
          <a:avLst/>
        </a:prstGeom>
        <a:noFill/>
        <a:ln w="28575" cap="flat" cmpd="sng" algn="ctr">
          <a:solidFill>
            <a:srgbClr val="00CC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GB" sz="1100"/>
        </a:p>
      </xdr:txBody>
    </xdr:sp>
    <xdr:clientData/>
  </xdr:twoCellAnchor>
  <xdr:oneCellAnchor>
    <xdr:from>
      <xdr:col>2</xdr:col>
      <xdr:colOff>1060720</xdr:colOff>
      <xdr:row>23</xdr:row>
      <xdr:rowOff>221748</xdr:rowOff>
    </xdr:from>
    <xdr:ext cx="1053558" cy="468013"/>
    <xdr:sp macro="" textlink="">
      <xdr:nvSpPr>
        <xdr:cNvPr id="38" name="Rectangle 37"/>
        <xdr:cNvSpPr/>
      </xdr:nvSpPr>
      <xdr:spPr>
        <a:xfrm>
          <a:off x="3537220" y="7524248"/>
          <a:ext cx="1053558" cy="46801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rgbClr val="00CC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Zone</a:t>
          </a:r>
          <a:r>
            <a:rPr lang="en-US" sz="2400" b="0" cap="none" spc="0" baseline="0">
              <a:ln w="0"/>
              <a:solidFill>
                <a:srgbClr val="00CC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A</a:t>
          </a:r>
          <a:endParaRPr lang="en-US" sz="2400" b="0" cap="none" spc="0">
            <a:ln w="0"/>
            <a:solidFill>
              <a:srgbClr val="00CC00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oneCellAnchor>
  <xdr:oneCellAnchor>
    <xdr:from>
      <xdr:col>9</xdr:col>
      <xdr:colOff>331109</xdr:colOff>
      <xdr:row>12</xdr:row>
      <xdr:rowOff>104273</xdr:rowOff>
    </xdr:from>
    <xdr:ext cx="1039580" cy="468013"/>
    <xdr:sp macro="" textlink="">
      <xdr:nvSpPr>
        <xdr:cNvPr id="39" name="Rectangle 38"/>
        <xdr:cNvSpPr/>
      </xdr:nvSpPr>
      <xdr:spPr>
        <a:xfrm>
          <a:off x="11475359" y="3914273"/>
          <a:ext cx="1039580" cy="46801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rgbClr val="00CC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Zone</a:t>
          </a:r>
          <a:r>
            <a:rPr lang="en-US" sz="2400" b="0" cap="none" spc="0" baseline="0">
              <a:ln w="0"/>
              <a:solidFill>
                <a:srgbClr val="00CC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C</a:t>
          </a:r>
          <a:endParaRPr lang="en-US" sz="2400" b="0" cap="none" spc="0">
            <a:ln w="0"/>
            <a:solidFill>
              <a:srgbClr val="00CC00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oneCellAnchor>
  <xdr:oneCellAnchor>
    <xdr:from>
      <xdr:col>5</xdr:col>
      <xdr:colOff>370717</xdr:colOff>
      <xdr:row>13</xdr:row>
      <xdr:rowOff>272548</xdr:rowOff>
    </xdr:from>
    <xdr:ext cx="1042914" cy="468013"/>
    <xdr:sp macro="" textlink="">
      <xdr:nvSpPr>
        <xdr:cNvPr id="40" name="Rectangle 39"/>
        <xdr:cNvSpPr/>
      </xdr:nvSpPr>
      <xdr:spPr>
        <a:xfrm>
          <a:off x="6561967" y="4400048"/>
          <a:ext cx="1042914" cy="46801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rgbClr val="00CC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Zone</a:t>
          </a:r>
          <a:r>
            <a:rPr lang="en-US" sz="2400" b="0" cap="none" spc="0" baseline="0">
              <a:ln w="0"/>
              <a:solidFill>
                <a:srgbClr val="00CC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B</a:t>
          </a:r>
          <a:endParaRPr lang="en-US" sz="2400" b="0" cap="none" spc="0">
            <a:ln w="0"/>
            <a:solidFill>
              <a:srgbClr val="00CC00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oneCellAnchor>
  <xdr:twoCellAnchor>
    <xdr:from>
      <xdr:col>0</xdr:col>
      <xdr:colOff>928687</xdr:colOff>
      <xdr:row>23</xdr:row>
      <xdr:rowOff>214312</xdr:rowOff>
    </xdr:from>
    <xdr:to>
      <xdr:col>1</xdr:col>
      <xdr:colOff>166687</xdr:colOff>
      <xdr:row>25</xdr:row>
      <xdr:rowOff>71437</xdr:rowOff>
    </xdr:to>
    <xdr:grpSp>
      <xdr:nvGrpSpPr>
        <xdr:cNvPr id="6" name="Group 5"/>
        <xdr:cNvGrpSpPr>
          <a:grpSpLocks/>
        </xdr:cNvGrpSpPr>
      </xdr:nvGrpSpPr>
      <xdr:grpSpPr bwMode="auto">
        <a:xfrm rot="15669253">
          <a:off x="920749" y="7524750"/>
          <a:ext cx="492125" cy="476250"/>
          <a:chOff x="420" y="497"/>
          <a:chExt cx="28" cy="44"/>
        </a:xfrm>
      </xdr:grpSpPr>
      <xdr:sp macro="" textlink="">
        <xdr:nvSpPr>
          <xdr:cNvPr id="7" name="AutoShape 6"/>
          <xdr:cNvSpPr>
            <a:spLocks noChangeArrowheads="1"/>
          </xdr:cNvSpPr>
        </xdr:nvSpPr>
        <xdr:spPr bwMode="auto">
          <a:xfrm>
            <a:off x="422" y="497"/>
            <a:ext cx="25" cy="39"/>
          </a:xfrm>
          <a:prstGeom prst="triangle">
            <a:avLst>
              <a:gd name="adj" fmla="val 50000"/>
            </a:avLst>
          </a:prstGeom>
          <a:solidFill>
            <a:srgbClr val="FF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8" name="Line 7"/>
          <xdr:cNvSpPr>
            <a:spLocks noChangeShapeType="1"/>
          </xdr:cNvSpPr>
        </xdr:nvSpPr>
        <xdr:spPr bwMode="auto">
          <a:xfrm flipH="1">
            <a:off x="424" y="530"/>
            <a:ext cx="20" cy="0"/>
          </a:xfrm>
          <a:prstGeom prst="line">
            <a:avLst/>
          </a:prstGeom>
          <a:noFill/>
          <a:ln w="22225">
            <a:solidFill>
              <a:srgbClr val="FFFFFF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Line 8"/>
          <xdr:cNvSpPr>
            <a:spLocks noChangeShapeType="1"/>
          </xdr:cNvSpPr>
        </xdr:nvSpPr>
        <xdr:spPr bwMode="auto">
          <a:xfrm flipH="1">
            <a:off x="427" y="521"/>
            <a:ext cx="15" cy="0"/>
          </a:xfrm>
          <a:prstGeom prst="line">
            <a:avLst/>
          </a:prstGeom>
          <a:noFill/>
          <a:ln w="22225">
            <a:solidFill>
              <a:srgbClr val="FFFFFF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" name="Line 9"/>
          <xdr:cNvSpPr>
            <a:spLocks noChangeShapeType="1"/>
          </xdr:cNvSpPr>
        </xdr:nvSpPr>
        <xdr:spPr bwMode="auto">
          <a:xfrm flipH="1">
            <a:off x="430" y="511"/>
            <a:ext cx="8" cy="0"/>
          </a:xfrm>
          <a:prstGeom prst="line">
            <a:avLst/>
          </a:prstGeom>
          <a:noFill/>
          <a:ln w="22225">
            <a:solidFill>
              <a:srgbClr val="FFFFFF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10"/>
          <xdr:cNvSpPr>
            <a:spLocks noChangeShapeType="1"/>
          </xdr:cNvSpPr>
        </xdr:nvSpPr>
        <xdr:spPr bwMode="auto">
          <a:xfrm flipH="1">
            <a:off x="420" y="497"/>
            <a:ext cx="14" cy="44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11"/>
          <xdr:cNvSpPr>
            <a:spLocks noChangeShapeType="1"/>
          </xdr:cNvSpPr>
        </xdr:nvSpPr>
        <xdr:spPr bwMode="auto">
          <a:xfrm>
            <a:off x="434" y="497"/>
            <a:ext cx="14" cy="44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</xdr:col>
      <xdr:colOff>238215</xdr:colOff>
      <xdr:row>21</xdr:row>
      <xdr:rowOff>181069</xdr:rowOff>
    </xdr:from>
    <xdr:to>
      <xdr:col>2</xdr:col>
      <xdr:colOff>708011</xdr:colOff>
      <xdr:row>23</xdr:row>
      <xdr:rowOff>69441</xdr:rowOff>
    </xdr:to>
    <xdr:grpSp>
      <xdr:nvGrpSpPr>
        <xdr:cNvPr id="13" name="Group 5"/>
        <xdr:cNvGrpSpPr>
          <a:grpSpLocks/>
        </xdr:cNvGrpSpPr>
      </xdr:nvGrpSpPr>
      <xdr:grpSpPr bwMode="auto">
        <a:xfrm rot="15601350">
          <a:off x="2687927" y="6875357"/>
          <a:ext cx="523372" cy="469796"/>
          <a:chOff x="420" y="497"/>
          <a:chExt cx="28" cy="44"/>
        </a:xfrm>
      </xdr:grpSpPr>
      <xdr:sp macro="" textlink="">
        <xdr:nvSpPr>
          <xdr:cNvPr id="14" name="AutoShape 6"/>
          <xdr:cNvSpPr>
            <a:spLocks noChangeArrowheads="1"/>
          </xdr:cNvSpPr>
        </xdr:nvSpPr>
        <xdr:spPr bwMode="auto">
          <a:xfrm>
            <a:off x="422" y="497"/>
            <a:ext cx="25" cy="39"/>
          </a:xfrm>
          <a:prstGeom prst="triangle">
            <a:avLst>
              <a:gd name="adj" fmla="val 50000"/>
            </a:avLst>
          </a:prstGeom>
          <a:solidFill>
            <a:srgbClr val="FF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5" name="Line 7"/>
          <xdr:cNvSpPr>
            <a:spLocks noChangeShapeType="1"/>
          </xdr:cNvSpPr>
        </xdr:nvSpPr>
        <xdr:spPr bwMode="auto">
          <a:xfrm flipH="1">
            <a:off x="424" y="530"/>
            <a:ext cx="20" cy="0"/>
          </a:xfrm>
          <a:prstGeom prst="line">
            <a:avLst/>
          </a:prstGeom>
          <a:noFill/>
          <a:ln w="22225">
            <a:solidFill>
              <a:srgbClr val="FFFFFF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Line 8"/>
          <xdr:cNvSpPr>
            <a:spLocks noChangeShapeType="1"/>
          </xdr:cNvSpPr>
        </xdr:nvSpPr>
        <xdr:spPr bwMode="auto">
          <a:xfrm flipH="1">
            <a:off x="427" y="521"/>
            <a:ext cx="15" cy="0"/>
          </a:xfrm>
          <a:prstGeom prst="line">
            <a:avLst/>
          </a:prstGeom>
          <a:noFill/>
          <a:ln w="22225">
            <a:solidFill>
              <a:srgbClr val="FFFFFF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" name="Line 9"/>
          <xdr:cNvSpPr>
            <a:spLocks noChangeShapeType="1"/>
          </xdr:cNvSpPr>
        </xdr:nvSpPr>
        <xdr:spPr bwMode="auto">
          <a:xfrm flipH="1">
            <a:off x="430" y="511"/>
            <a:ext cx="8" cy="0"/>
          </a:xfrm>
          <a:prstGeom prst="line">
            <a:avLst/>
          </a:prstGeom>
          <a:noFill/>
          <a:ln w="22225">
            <a:solidFill>
              <a:srgbClr val="FFFFFF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" name="Line 10"/>
          <xdr:cNvSpPr>
            <a:spLocks noChangeShapeType="1"/>
          </xdr:cNvSpPr>
        </xdr:nvSpPr>
        <xdr:spPr bwMode="auto">
          <a:xfrm flipH="1">
            <a:off x="420" y="497"/>
            <a:ext cx="14" cy="44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11"/>
          <xdr:cNvSpPr>
            <a:spLocks noChangeShapeType="1"/>
          </xdr:cNvSpPr>
        </xdr:nvSpPr>
        <xdr:spPr bwMode="auto">
          <a:xfrm>
            <a:off x="434" y="497"/>
            <a:ext cx="14" cy="44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</xdr:col>
      <xdr:colOff>1154111</xdr:colOff>
      <xdr:row>17</xdr:row>
      <xdr:rowOff>249238</xdr:rowOff>
    </xdr:from>
    <xdr:to>
      <xdr:col>6</xdr:col>
      <xdr:colOff>357186</xdr:colOff>
      <xdr:row>19</xdr:row>
      <xdr:rowOff>71438</xdr:rowOff>
    </xdr:to>
    <xdr:grpSp>
      <xdr:nvGrpSpPr>
        <xdr:cNvPr id="20" name="Group 5"/>
        <xdr:cNvGrpSpPr>
          <a:grpSpLocks/>
        </xdr:cNvGrpSpPr>
      </xdr:nvGrpSpPr>
      <xdr:grpSpPr bwMode="auto">
        <a:xfrm rot="14061855">
          <a:off x="7337424" y="5654675"/>
          <a:ext cx="457200" cy="441325"/>
          <a:chOff x="420" y="497"/>
          <a:chExt cx="28" cy="44"/>
        </a:xfrm>
      </xdr:grpSpPr>
      <xdr:sp macro="" textlink="">
        <xdr:nvSpPr>
          <xdr:cNvPr id="21" name="AutoShape 6"/>
          <xdr:cNvSpPr>
            <a:spLocks noChangeArrowheads="1"/>
          </xdr:cNvSpPr>
        </xdr:nvSpPr>
        <xdr:spPr bwMode="auto">
          <a:xfrm>
            <a:off x="422" y="497"/>
            <a:ext cx="25" cy="39"/>
          </a:xfrm>
          <a:prstGeom prst="triangle">
            <a:avLst>
              <a:gd name="adj" fmla="val 50000"/>
            </a:avLst>
          </a:prstGeom>
          <a:solidFill>
            <a:srgbClr val="FF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2" name="Line 7"/>
          <xdr:cNvSpPr>
            <a:spLocks noChangeShapeType="1"/>
          </xdr:cNvSpPr>
        </xdr:nvSpPr>
        <xdr:spPr bwMode="auto">
          <a:xfrm flipH="1">
            <a:off x="424" y="530"/>
            <a:ext cx="20" cy="0"/>
          </a:xfrm>
          <a:prstGeom prst="line">
            <a:avLst/>
          </a:prstGeom>
          <a:noFill/>
          <a:ln w="22225">
            <a:solidFill>
              <a:srgbClr val="FFFFFF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" name="Line 8"/>
          <xdr:cNvSpPr>
            <a:spLocks noChangeShapeType="1"/>
          </xdr:cNvSpPr>
        </xdr:nvSpPr>
        <xdr:spPr bwMode="auto">
          <a:xfrm flipH="1">
            <a:off x="427" y="521"/>
            <a:ext cx="15" cy="0"/>
          </a:xfrm>
          <a:prstGeom prst="line">
            <a:avLst/>
          </a:prstGeom>
          <a:noFill/>
          <a:ln w="22225">
            <a:solidFill>
              <a:srgbClr val="FFFFFF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" name="Line 9"/>
          <xdr:cNvSpPr>
            <a:spLocks noChangeShapeType="1"/>
          </xdr:cNvSpPr>
        </xdr:nvSpPr>
        <xdr:spPr bwMode="auto">
          <a:xfrm flipH="1">
            <a:off x="430" y="511"/>
            <a:ext cx="8" cy="0"/>
          </a:xfrm>
          <a:prstGeom prst="line">
            <a:avLst/>
          </a:prstGeom>
          <a:noFill/>
          <a:ln w="22225">
            <a:solidFill>
              <a:srgbClr val="FFFFFF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5" name="Line 10"/>
          <xdr:cNvSpPr>
            <a:spLocks noChangeShapeType="1"/>
          </xdr:cNvSpPr>
        </xdr:nvSpPr>
        <xdr:spPr bwMode="auto">
          <a:xfrm flipH="1">
            <a:off x="420" y="497"/>
            <a:ext cx="14" cy="44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" name="Line 11"/>
          <xdr:cNvSpPr>
            <a:spLocks noChangeShapeType="1"/>
          </xdr:cNvSpPr>
        </xdr:nvSpPr>
        <xdr:spPr bwMode="auto">
          <a:xfrm>
            <a:off x="434" y="497"/>
            <a:ext cx="14" cy="44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</xdr:col>
      <xdr:colOff>558800</xdr:colOff>
      <xdr:row>19</xdr:row>
      <xdr:rowOff>3175</xdr:rowOff>
    </xdr:from>
    <xdr:to>
      <xdr:col>6</xdr:col>
      <xdr:colOff>10541</xdr:colOff>
      <xdr:row>19</xdr:row>
      <xdr:rowOff>294171</xdr:rowOff>
    </xdr:to>
    <xdr:sp macro="" textlink="">
      <xdr:nvSpPr>
        <xdr:cNvPr id="27" name="TextBox 26"/>
        <xdr:cNvSpPr txBox="1"/>
      </xdr:nvSpPr>
      <xdr:spPr>
        <a:xfrm>
          <a:off x="6750050" y="6035675"/>
          <a:ext cx="689991" cy="290996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en-US" sz="1400">
              <a:solidFill>
                <a:srgbClr val="FF0000"/>
              </a:solidFill>
            </a:rPr>
            <a:t>CAM 1</a:t>
          </a:r>
        </a:p>
      </xdr:txBody>
    </xdr:sp>
    <xdr:clientData/>
  </xdr:twoCellAnchor>
  <xdr:twoCellAnchor>
    <xdr:from>
      <xdr:col>1</xdr:col>
      <xdr:colOff>790575</xdr:colOff>
      <xdr:row>21</xdr:row>
      <xdr:rowOff>139700</xdr:rowOff>
    </xdr:from>
    <xdr:to>
      <xdr:col>2</xdr:col>
      <xdr:colOff>242316</xdr:colOff>
      <xdr:row>22</xdr:row>
      <xdr:rowOff>113196</xdr:rowOff>
    </xdr:to>
    <xdr:sp macro="" textlink="">
      <xdr:nvSpPr>
        <xdr:cNvPr id="28" name="TextBox 27"/>
        <xdr:cNvSpPr txBox="1"/>
      </xdr:nvSpPr>
      <xdr:spPr>
        <a:xfrm>
          <a:off x="2028825" y="6807200"/>
          <a:ext cx="689991" cy="290996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en-US" sz="1400">
              <a:solidFill>
                <a:srgbClr val="FF0000"/>
              </a:solidFill>
            </a:rPr>
            <a:t>CAM 1</a:t>
          </a:r>
        </a:p>
      </xdr:txBody>
    </xdr:sp>
    <xdr:clientData/>
  </xdr:twoCellAnchor>
  <xdr:twoCellAnchor>
    <xdr:from>
      <xdr:col>0</xdr:col>
      <xdr:colOff>212725</xdr:colOff>
      <xdr:row>23</xdr:row>
      <xdr:rowOff>165100</xdr:rowOff>
    </xdr:from>
    <xdr:to>
      <xdr:col>0</xdr:col>
      <xdr:colOff>902716</xdr:colOff>
      <xdr:row>24</xdr:row>
      <xdr:rowOff>138596</xdr:rowOff>
    </xdr:to>
    <xdr:sp macro="" textlink="">
      <xdr:nvSpPr>
        <xdr:cNvPr id="29" name="TextBox 28"/>
        <xdr:cNvSpPr txBox="1"/>
      </xdr:nvSpPr>
      <xdr:spPr>
        <a:xfrm>
          <a:off x="212725" y="7467600"/>
          <a:ext cx="689991" cy="290996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en-US" sz="1400">
              <a:solidFill>
                <a:srgbClr val="FF0000"/>
              </a:solidFill>
            </a:rPr>
            <a:t>CAM 1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504825</xdr:colOff>
      <xdr:row>3</xdr:row>
      <xdr:rowOff>9525</xdr:rowOff>
    </xdr:from>
    <xdr:to>
      <xdr:col>6</xdr:col>
      <xdr:colOff>425450</xdr:colOff>
      <xdr:row>5</xdr:row>
      <xdr:rowOff>180975</xdr:rowOff>
    </xdr:to>
    <xdr:pic>
      <xdr:nvPicPr>
        <xdr:cNvPr id="3" name="Picture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4825" y="619125"/>
          <a:ext cx="2892425" cy="577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76200</xdr:colOff>
      <xdr:row>0</xdr:row>
      <xdr:rowOff>127000</xdr:rowOff>
    </xdr:from>
    <xdr:to>
      <xdr:col>5</xdr:col>
      <xdr:colOff>419100</xdr:colOff>
      <xdr:row>3</xdr:row>
      <xdr:rowOff>85725</xdr:rowOff>
    </xdr:to>
    <xdr:pic>
      <xdr:nvPicPr>
        <xdr:cNvPr id="4" name="Picture 5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127000"/>
          <a:ext cx="2832100" cy="568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542925</xdr:colOff>
      <xdr:row>3</xdr:row>
      <xdr:rowOff>47625</xdr:rowOff>
    </xdr:from>
    <xdr:to>
      <xdr:col>6</xdr:col>
      <xdr:colOff>44450</xdr:colOff>
      <xdr:row>5</xdr:row>
      <xdr:rowOff>219075</xdr:rowOff>
    </xdr:to>
    <xdr:pic>
      <xdr:nvPicPr>
        <xdr:cNvPr id="5" name="Picture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" y="657225"/>
          <a:ext cx="2892425" cy="577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114300</xdr:colOff>
      <xdr:row>0</xdr:row>
      <xdr:rowOff>165100</xdr:rowOff>
    </xdr:from>
    <xdr:to>
      <xdr:col>5</xdr:col>
      <xdr:colOff>355600</xdr:colOff>
      <xdr:row>3</xdr:row>
      <xdr:rowOff>123825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" y="165100"/>
          <a:ext cx="2832100" cy="568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22225</xdr:colOff>
      <xdr:row>3</xdr:row>
      <xdr:rowOff>34925</xdr:rowOff>
    </xdr:from>
    <xdr:to>
      <xdr:col>4</xdr:col>
      <xdr:colOff>692150</xdr:colOff>
      <xdr:row>5</xdr:row>
      <xdr:rowOff>206375</xdr:rowOff>
    </xdr:to>
    <xdr:pic>
      <xdr:nvPicPr>
        <xdr:cNvPr id="3" name="Picture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1025" y="644525"/>
          <a:ext cx="2892425" cy="577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152400</xdr:colOff>
      <xdr:row>0</xdr:row>
      <xdr:rowOff>152400</xdr:rowOff>
    </xdr:from>
    <xdr:to>
      <xdr:col>3</xdr:col>
      <xdr:colOff>38100</xdr:colOff>
      <xdr:row>3</xdr:row>
      <xdr:rowOff>111125</xdr:rowOff>
    </xdr:to>
    <xdr:pic>
      <xdr:nvPicPr>
        <xdr:cNvPr id="4" name="Picture 5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152400"/>
          <a:ext cx="2832100" cy="568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8"/>
  <sheetViews>
    <sheetView tabSelected="1" zoomScale="75" zoomScaleNormal="75" workbookViewId="0">
      <selection sqref="A1:D1"/>
    </sheetView>
  </sheetViews>
  <sheetFormatPr defaultRowHeight="12.75"/>
  <cols>
    <col min="1" max="1" width="21.85546875" style="1" customWidth="1"/>
    <col min="2" max="3" width="40.85546875" style="1" customWidth="1"/>
    <col min="4" max="4" width="21.85546875" style="1" customWidth="1"/>
    <col min="5" max="16384" width="9.140625" style="1"/>
  </cols>
  <sheetData>
    <row r="1" spans="1:4" ht="30.75" customHeight="1">
      <c r="A1" s="110"/>
      <c r="B1" s="110"/>
      <c r="C1" s="110"/>
      <c r="D1" s="110"/>
    </row>
    <row r="2" spans="1:4" ht="30.75" customHeight="1"/>
    <row r="3" spans="1:4" ht="30.75" customHeight="1"/>
    <row r="4" spans="1:4" ht="30.75" customHeight="1"/>
    <row r="5" spans="1:4" ht="30.75" customHeight="1"/>
    <row r="6" spans="1:4" ht="30.75" customHeight="1">
      <c r="B6" s="2" t="s">
        <v>0</v>
      </c>
      <c r="C6" s="2" t="s">
        <v>48</v>
      </c>
    </row>
    <row r="7" spans="1:4" ht="30.75" customHeight="1">
      <c r="B7" s="2" t="s">
        <v>1</v>
      </c>
      <c r="C7" s="2" t="s">
        <v>30</v>
      </c>
    </row>
    <row r="8" spans="1:4" ht="30.75" customHeight="1">
      <c r="B8" s="2" t="s">
        <v>2</v>
      </c>
      <c r="C8" s="3" t="s">
        <v>49</v>
      </c>
    </row>
    <row r="9" spans="1:4" ht="30.75" customHeight="1">
      <c r="B9" s="2" t="s">
        <v>3</v>
      </c>
      <c r="C9" s="4" t="s">
        <v>52</v>
      </c>
    </row>
    <row r="10" spans="1:4" ht="30.75" customHeight="1">
      <c r="B10" s="2" t="s">
        <v>4</v>
      </c>
      <c r="C10" s="2" t="s">
        <v>31</v>
      </c>
    </row>
    <row r="11" spans="1:4" ht="30.75" customHeight="1">
      <c r="B11" s="2" t="s">
        <v>5</v>
      </c>
      <c r="C11" s="2" t="s">
        <v>50</v>
      </c>
    </row>
    <row r="12" spans="1:4" ht="30.75" customHeight="1">
      <c r="B12" s="5" t="s">
        <v>6</v>
      </c>
      <c r="C12" s="6"/>
    </row>
    <row r="13" spans="1:4" ht="30.75" customHeight="1">
      <c r="B13" s="111" t="s">
        <v>51</v>
      </c>
      <c r="C13" s="112"/>
    </row>
    <row r="14" spans="1:4" ht="30.75" customHeight="1">
      <c r="B14" s="111"/>
      <c r="C14" s="112"/>
    </row>
    <row r="15" spans="1:4" ht="30.75" customHeight="1">
      <c r="B15" s="113"/>
      <c r="C15" s="114"/>
    </row>
    <row r="16" spans="1:4" ht="30.75" customHeight="1"/>
    <row r="17" spans="1:4" ht="30.75" customHeight="1">
      <c r="A17" s="115"/>
      <c r="B17" s="115"/>
      <c r="C17" s="115"/>
      <c r="D17" s="115"/>
    </row>
    <row r="18" spans="1:4" ht="17.25" customHeight="1"/>
  </sheetData>
  <mergeCells count="3">
    <mergeCell ref="A1:D1"/>
    <mergeCell ref="B13:C15"/>
    <mergeCell ref="A17:D17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5"/>
  <sheetViews>
    <sheetView zoomScale="60" zoomScaleNormal="60" workbookViewId="0">
      <selection activeCell="A6" sqref="A6"/>
    </sheetView>
  </sheetViews>
  <sheetFormatPr defaultRowHeight="12.75"/>
  <cols>
    <col min="1" max="35" width="18.5703125" style="1" customWidth="1"/>
    <col min="36" max="16384" width="9.140625" style="1"/>
  </cols>
  <sheetData>
    <row r="1" spans="1:13" ht="25.5" customHeight="1">
      <c r="A1" s="10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2"/>
    </row>
    <row r="2" spans="1:13" ht="24.75" customHeight="1">
      <c r="A2" s="13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5"/>
    </row>
    <row r="3" spans="1:13" ht="24.75" customHeight="1">
      <c r="A3" s="13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5"/>
    </row>
    <row r="4" spans="1:13" ht="24.75" customHeight="1">
      <c r="A4" s="7" t="s">
        <v>7</v>
      </c>
      <c r="B4" s="8"/>
      <c r="C4" s="8" t="str">
        <f>'Job Details'!$C$6</f>
        <v>Bristol City Council</v>
      </c>
      <c r="D4" s="8"/>
      <c r="E4" s="8"/>
      <c r="F4" s="22"/>
      <c r="G4" s="7" t="s">
        <v>8</v>
      </c>
      <c r="H4" s="8"/>
      <c r="I4" s="8" t="str">
        <f>'Job Details'!$C$8</f>
        <v>1 - Fishponds Road</v>
      </c>
      <c r="J4" s="8"/>
      <c r="K4" s="8"/>
      <c r="L4" s="8"/>
      <c r="M4" s="35"/>
    </row>
    <row r="5" spans="1:13" ht="24.75" customHeight="1">
      <c r="A5" s="7" t="s">
        <v>9</v>
      </c>
      <c r="B5" s="8"/>
      <c r="C5" s="8" t="str">
        <f>'Job Details'!$C$7</f>
        <v>Wal 2527 Fishponds Road</v>
      </c>
      <c r="D5" s="8"/>
      <c r="E5" s="8"/>
      <c r="F5" s="22"/>
      <c r="G5" s="7" t="s">
        <v>10</v>
      </c>
      <c r="H5" s="8"/>
      <c r="I5" s="9" t="str">
        <f>'Job Details'!$C$9</f>
        <v>Saturday 14th November 2015</v>
      </c>
      <c r="J5" s="8"/>
      <c r="K5" s="8"/>
      <c r="L5" s="8"/>
      <c r="M5" s="35"/>
    </row>
    <row r="6" spans="1:13" ht="24.75" customHeight="1">
      <c r="A6" s="18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7"/>
    </row>
    <row r="7" spans="1:13" ht="24.75" customHeight="1">
      <c r="A7" s="18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7"/>
    </row>
    <row r="8" spans="1:13" ht="24.75" customHeight="1">
      <c r="A8" s="18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7"/>
    </row>
    <row r="9" spans="1:13" ht="24.75" customHeight="1">
      <c r="A9" s="18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7"/>
    </row>
    <row r="10" spans="1:13" ht="24.75" customHeight="1">
      <c r="A10" s="18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7"/>
    </row>
    <row r="11" spans="1:13" ht="24.75" customHeight="1">
      <c r="A11" s="18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7"/>
    </row>
    <row r="12" spans="1:13" ht="24.75" customHeight="1">
      <c r="A12" s="18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7"/>
    </row>
    <row r="13" spans="1:13" ht="24.75" customHeight="1">
      <c r="A13" s="18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7"/>
    </row>
    <row r="14" spans="1:13" ht="24.75" customHeight="1">
      <c r="A14" s="18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7"/>
    </row>
    <row r="15" spans="1:13" ht="24.75" customHeight="1">
      <c r="A15" s="18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7"/>
    </row>
    <row r="16" spans="1:13" ht="24.75" customHeight="1">
      <c r="A16" s="18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7"/>
    </row>
    <row r="17" spans="1:13" ht="24.75" customHeight="1">
      <c r="A17" s="18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7"/>
    </row>
    <row r="18" spans="1:13" ht="24.75" customHeight="1">
      <c r="A18" s="18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7"/>
    </row>
    <row r="19" spans="1:13" ht="24.75" customHeight="1">
      <c r="A19" s="18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7"/>
    </row>
    <row r="20" spans="1:13" ht="24.75" customHeight="1">
      <c r="A20" s="18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7"/>
    </row>
    <row r="21" spans="1:13" ht="24.75" customHeight="1">
      <c r="A21" s="18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7"/>
    </row>
    <row r="22" spans="1:13" ht="24.75" customHeight="1">
      <c r="A22" s="18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7"/>
    </row>
    <row r="23" spans="1:13" ht="24.75" customHeight="1">
      <c r="A23" s="18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7"/>
    </row>
    <row r="24" spans="1:13" ht="24.75" customHeight="1">
      <c r="A24" s="18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7"/>
    </row>
    <row r="25" spans="1:13" ht="24.75" customHeight="1">
      <c r="A25" s="18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7"/>
    </row>
    <row r="26" spans="1:13" ht="24.75" customHeight="1">
      <c r="A26" s="18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7"/>
    </row>
    <row r="27" spans="1:13" ht="24.75" customHeight="1">
      <c r="A27" s="18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7"/>
    </row>
    <row r="28" spans="1:13" ht="24.75" customHeight="1">
      <c r="A28" s="18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7"/>
    </row>
    <row r="29" spans="1:13" ht="24.75" customHeight="1">
      <c r="A29" s="18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7"/>
    </row>
    <row r="30" spans="1:13" ht="24.75" customHeight="1">
      <c r="A30" s="18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7"/>
    </row>
    <row r="31" spans="1:13" ht="24.75" customHeight="1">
      <c r="A31" s="18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7"/>
    </row>
    <row r="32" spans="1:13" ht="24.75" customHeight="1">
      <c r="A32" s="18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7"/>
    </row>
    <row r="33" spans="1:13" ht="24.75" customHeight="1">
      <c r="A33" s="18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7"/>
    </row>
    <row r="34" spans="1:13" ht="24.75" customHeight="1">
      <c r="A34" s="18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7"/>
    </row>
    <row r="35" spans="1:13" ht="24.75" customHeight="1">
      <c r="A35" s="19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172"/>
  <sheetViews>
    <sheetView showGridLines="0" zoomScale="75" zoomScaleNormal="75" workbookViewId="0">
      <selection activeCell="B2" sqref="B2"/>
    </sheetView>
  </sheetViews>
  <sheetFormatPr defaultRowHeight="15.75" customHeight="1"/>
  <cols>
    <col min="1" max="1" width="8.28515625" style="41" customWidth="1"/>
    <col min="2" max="9" width="7.28515625" style="41" customWidth="1"/>
    <col min="10" max="10" width="1.28515625" style="41" customWidth="1"/>
    <col min="11" max="18" width="7.28515625" style="41" customWidth="1"/>
    <col min="19" max="19" width="1.28515625" style="41" customWidth="1"/>
    <col min="20" max="27" width="7.28515625" style="41" customWidth="1"/>
    <col min="28" max="28" width="1.28515625" style="41" customWidth="1"/>
    <col min="29" max="29" width="8.28515625" style="41" customWidth="1"/>
    <col min="30" max="16384" width="9.140625" style="41"/>
  </cols>
  <sheetData>
    <row r="1" spans="1:29" ht="15.75" customHeight="1">
      <c r="A1" s="38"/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40"/>
    </row>
    <row r="2" spans="1:29" ht="15.75" customHeight="1">
      <c r="A2" s="42"/>
      <c r="B2" s="43"/>
      <c r="C2" s="43"/>
      <c r="D2" s="43"/>
      <c r="E2" s="43"/>
      <c r="F2" s="43"/>
      <c r="G2" s="43"/>
      <c r="H2" s="43"/>
      <c r="I2" s="43"/>
      <c r="J2" s="43"/>
      <c r="K2" s="43"/>
      <c r="L2" s="44" t="s">
        <v>0</v>
      </c>
      <c r="M2" s="45"/>
      <c r="N2" s="45" t="str">
        <f>'Job Details'!$C$6</f>
        <v>Bristol City Council</v>
      </c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  <c r="AA2" s="43"/>
      <c r="AB2" s="43"/>
      <c r="AC2" s="46"/>
    </row>
    <row r="3" spans="1:29" ht="15.75" customHeight="1">
      <c r="A3" s="42"/>
      <c r="B3" s="43"/>
      <c r="C3" s="43"/>
      <c r="D3" s="43"/>
      <c r="E3" s="43"/>
      <c r="F3" s="43"/>
      <c r="G3" s="43"/>
      <c r="H3" s="43"/>
      <c r="I3" s="43"/>
      <c r="J3" s="43"/>
      <c r="K3" s="43"/>
      <c r="L3" s="44" t="s">
        <v>1</v>
      </c>
      <c r="M3" s="45"/>
      <c r="N3" s="45" t="str">
        <f>'Job Details'!$C$7</f>
        <v>Wal 2527 Fishponds Road</v>
      </c>
      <c r="O3" s="45"/>
      <c r="P3" s="45"/>
      <c r="Q3" s="45"/>
      <c r="R3" s="45"/>
      <c r="S3" s="45"/>
      <c r="T3" s="45"/>
      <c r="U3" s="45"/>
      <c r="V3" s="45"/>
      <c r="W3" s="45"/>
      <c r="X3" s="45"/>
      <c r="Y3" s="45"/>
      <c r="Z3" s="45"/>
      <c r="AA3" s="43"/>
      <c r="AB3" s="43"/>
      <c r="AC3" s="46"/>
    </row>
    <row r="4" spans="1:29" ht="15.75" customHeight="1">
      <c r="A4" s="42"/>
      <c r="B4" s="43"/>
      <c r="C4" s="43"/>
      <c r="D4" s="43"/>
      <c r="E4" s="43"/>
      <c r="F4" s="43"/>
      <c r="G4" s="43"/>
      <c r="H4" s="43"/>
      <c r="I4" s="43"/>
      <c r="J4" s="43"/>
      <c r="K4" s="43"/>
      <c r="L4" s="44" t="s">
        <v>11</v>
      </c>
      <c r="M4" s="45"/>
      <c r="N4" s="47" t="str">
        <f>'Job Details'!C8</f>
        <v>1 - Fishponds Road</v>
      </c>
      <c r="O4" s="45"/>
      <c r="P4" s="45"/>
      <c r="Q4" s="45"/>
      <c r="R4" s="45"/>
      <c r="S4" s="45"/>
      <c r="T4" s="45"/>
      <c r="U4" s="45"/>
      <c r="V4" s="45"/>
      <c r="W4" s="44"/>
      <c r="X4" s="45"/>
      <c r="Y4" s="45"/>
      <c r="Z4" s="45"/>
      <c r="AA4" s="43"/>
      <c r="AB4" s="43"/>
      <c r="AC4" s="46"/>
    </row>
    <row r="5" spans="1:29" ht="15.75" customHeight="1">
      <c r="A5" s="42"/>
      <c r="B5" s="43"/>
      <c r="C5" s="43"/>
      <c r="D5" s="43"/>
      <c r="E5" s="43"/>
      <c r="F5" s="43"/>
      <c r="G5" s="43"/>
      <c r="H5" s="43"/>
      <c r="I5" s="43"/>
      <c r="J5" s="43"/>
      <c r="K5" s="43"/>
      <c r="L5" s="44" t="s">
        <v>12</v>
      </c>
      <c r="M5" s="45"/>
      <c r="N5" s="87" t="str">
        <f>'Job Details'!$C$9</f>
        <v>Saturday 14th November 2015</v>
      </c>
      <c r="O5" s="88"/>
      <c r="P5" s="88"/>
      <c r="Q5" s="45"/>
      <c r="R5" s="45"/>
      <c r="S5" s="45"/>
      <c r="T5" s="45"/>
      <c r="U5" s="45"/>
      <c r="V5" s="45"/>
      <c r="W5" s="44"/>
      <c r="X5" s="45"/>
      <c r="Y5" s="45"/>
      <c r="Z5" s="45"/>
      <c r="AA5" s="43"/>
      <c r="AB5" s="43"/>
      <c r="AC5" s="46"/>
    </row>
    <row r="6" spans="1:29" ht="21.75" customHeight="1">
      <c r="A6" s="48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  <c r="AA6" s="49"/>
      <c r="AB6" s="49"/>
      <c r="AC6" s="50"/>
    </row>
    <row r="8" spans="1:29" ht="15.75" customHeight="1">
      <c r="A8" s="51" t="s">
        <v>13</v>
      </c>
      <c r="B8" s="51" t="str">
        <f>$D$9</f>
        <v>A - Fishponds Road (E)</v>
      </c>
    </row>
    <row r="9" spans="1:29" ht="15.75" customHeight="1">
      <c r="B9" s="52" t="s">
        <v>14</v>
      </c>
      <c r="C9" s="53"/>
      <c r="D9" s="53" t="s">
        <v>53</v>
      </c>
      <c r="E9" s="53"/>
      <c r="F9" s="53"/>
      <c r="G9" s="53"/>
      <c r="H9" s="54"/>
      <c r="I9" s="55"/>
      <c r="K9" s="52" t="s">
        <v>14</v>
      </c>
      <c r="L9" s="53"/>
      <c r="M9" s="53" t="s">
        <v>54</v>
      </c>
      <c r="N9" s="53"/>
      <c r="O9" s="53"/>
      <c r="P9" s="53"/>
      <c r="Q9" s="54"/>
      <c r="R9" s="55"/>
      <c r="T9" s="52" t="s">
        <v>14</v>
      </c>
      <c r="U9" s="53"/>
      <c r="V9" s="53" t="s">
        <v>55</v>
      </c>
      <c r="W9" s="53"/>
      <c r="X9" s="53"/>
      <c r="Y9" s="53"/>
      <c r="Z9" s="54"/>
      <c r="AA9" s="55"/>
      <c r="AC9" s="116" t="s">
        <v>23</v>
      </c>
    </row>
    <row r="10" spans="1:29" s="56" customFormat="1" ht="15.75" customHeight="1">
      <c r="B10" s="57" t="s">
        <v>15</v>
      </c>
      <c r="C10" s="58" t="s">
        <v>16</v>
      </c>
      <c r="D10" s="58" t="s">
        <v>17</v>
      </c>
      <c r="E10" s="58" t="s">
        <v>18</v>
      </c>
      <c r="F10" s="58" t="s">
        <v>19</v>
      </c>
      <c r="G10" s="58" t="s">
        <v>20</v>
      </c>
      <c r="H10" s="59" t="s">
        <v>21</v>
      </c>
      <c r="I10" s="103" t="s">
        <v>22</v>
      </c>
      <c r="K10" s="57" t="str">
        <f>$B$10</f>
        <v>CAR</v>
      </c>
      <c r="L10" s="58" t="str">
        <f>$C$10</f>
        <v>LGV</v>
      </c>
      <c r="M10" s="58" t="str">
        <f>$D$10</f>
        <v>OGV1</v>
      </c>
      <c r="N10" s="58" t="str">
        <f>$E$10</f>
        <v>OGV2</v>
      </c>
      <c r="O10" s="58" t="str">
        <f>$F$10</f>
        <v>PSV</v>
      </c>
      <c r="P10" s="58" t="str">
        <f>$G$10</f>
        <v>MC</v>
      </c>
      <c r="Q10" s="59" t="str">
        <f>$H$10</f>
        <v>PC</v>
      </c>
      <c r="R10" s="103" t="s">
        <v>22</v>
      </c>
      <c r="T10" s="57" t="str">
        <f>$B$10</f>
        <v>CAR</v>
      </c>
      <c r="U10" s="58" t="str">
        <f>$C$10</f>
        <v>LGV</v>
      </c>
      <c r="V10" s="58" t="str">
        <f>$D$10</f>
        <v>OGV1</v>
      </c>
      <c r="W10" s="58" t="str">
        <f>$E$10</f>
        <v>OGV2</v>
      </c>
      <c r="X10" s="58" t="str">
        <f>$F$10</f>
        <v>PSV</v>
      </c>
      <c r="Y10" s="58" t="str">
        <f>$G$10</f>
        <v>MC</v>
      </c>
      <c r="Z10" s="59" t="str">
        <f>$H$10</f>
        <v>PC</v>
      </c>
      <c r="AA10" s="103" t="s">
        <v>22</v>
      </c>
      <c r="AC10" s="117"/>
    </row>
    <row r="12" spans="1:29" ht="15.75" customHeight="1">
      <c r="A12" s="104">
        <v>0.45833333333333331</v>
      </c>
      <c r="B12" s="38">
        <v>0</v>
      </c>
      <c r="C12" s="39">
        <v>0</v>
      </c>
      <c r="D12" s="39">
        <v>0</v>
      </c>
      <c r="E12" s="39">
        <v>0</v>
      </c>
      <c r="F12" s="39">
        <v>0</v>
      </c>
      <c r="G12" s="39">
        <v>0</v>
      </c>
      <c r="H12" s="40">
        <v>0</v>
      </c>
      <c r="I12" s="105">
        <f>SUM(B12:H12)</f>
        <v>0</v>
      </c>
      <c r="K12" s="38">
        <v>3</v>
      </c>
      <c r="L12" s="39">
        <v>1</v>
      </c>
      <c r="M12" s="39">
        <v>0</v>
      </c>
      <c r="N12" s="39">
        <v>0</v>
      </c>
      <c r="O12" s="39">
        <v>0</v>
      </c>
      <c r="P12" s="39">
        <v>0</v>
      </c>
      <c r="Q12" s="40">
        <v>0</v>
      </c>
      <c r="R12" s="105">
        <f>SUM(K12:Q12)</f>
        <v>4</v>
      </c>
      <c r="T12" s="38">
        <v>151</v>
      </c>
      <c r="U12" s="39">
        <v>12</v>
      </c>
      <c r="V12" s="39">
        <v>3</v>
      </c>
      <c r="W12" s="39">
        <v>1</v>
      </c>
      <c r="X12" s="39">
        <v>6</v>
      </c>
      <c r="Y12" s="39">
        <v>2</v>
      </c>
      <c r="Z12" s="40">
        <v>0</v>
      </c>
      <c r="AA12" s="105">
        <f>SUM(T12:Z12)</f>
        <v>175</v>
      </c>
      <c r="AC12" s="105">
        <f>SUM(I12+R12+AA12)</f>
        <v>179</v>
      </c>
    </row>
    <row r="13" spans="1:29" ht="15.75" customHeight="1">
      <c r="A13" s="106">
        <v>0.46875</v>
      </c>
      <c r="B13" s="42">
        <v>0</v>
      </c>
      <c r="C13" s="43">
        <v>0</v>
      </c>
      <c r="D13" s="43">
        <v>0</v>
      </c>
      <c r="E13" s="43">
        <v>0</v>
      </c>
      <c r="F13" s="43">
        <v>0</v>
      </c>
      <c r="G13" s="43">
        <v>0</v>
      </c>
      <c r="H13" s="46">
        <v>0</v>
      </c>
      <c r="I13" s="107">
        <f>SUM(B13:H13)</f>
        <v>0</v>
      </c>
      <c r="K13" s="42">
        <v>3</v>
      </c>
      <c r="L13" s="43">
        <v>0</v>
      </c>
      <c r="M13" s="43">
        <v>1</v>
      </c>
      <c r="N13" s="43">
        <v>0</v>
      </c>
      <c r="O13" s="43">
        <v>0</v>
      </c>
      <c r="P13" s="43">
        <v>0</v>
      </c>
      <c r="Q13" s="46">
        <v>0</v>
      </c>
      <c r="R13" s="107">
        <f>SUM(K13:Q13)</f>
        <v>4</v>
      </c>
      <c r="T13" s="42">
        <v>149</v>
      </c>
      <c r="U13" s="43">
        <v>14</v>
      </c>
      <c r="V13" s="43">
        <v>4</v>
      </c>
      <c r="W13" s="43">
        <v>1</v>
      </c>
      <c r="X13" s="43">
        <v>3</v>
      </c>
      <c r="Y13" s="43">
        <v>0</v>
      </c>
      <c r="Z13" s="46">
        <v>1</v>
      </c>
      <c r="AA13" s="107">
        <f>SUM(T13:Z13)</f>
        <v>172</v>
      </c>
      <c r="AC13" s="107">
        <f>SUM(I13+R13+AA13)</f>
        <v>176</v>
      </c>
    </row>
    <row r="14" spans="1:29" ht="15.75" customHeight="1">
      <c r="A14" s="106">
        <v>0.47916666666666669</v>
      </c>
      <c r="B14" s="42">
        <v>0</v>
      </c>
      <c r="C14" s="43">
        <v>0</v>
      </c>
      <c r="D14" s="43">
        <v>0</v>
      </c>
      <c r="E14" s="43">
        <v>0</v>
      </c>
      <c r="F14" s="43">
        <v>0</v>
      </c>
      <c r="G14" s="43">
        <v>0</v>
      </c>
      <c r="H14" s="46">
        <v>0</v>
      </c>
      <c r="I14" s="107">
        <f>SUM(B14:H14)</f>
        <v>0</v>
      </c>
      <c r="K14" s="42">
        <v>1</v>
      </c>
      <c r="L14" s="43">
        <v>0</v>
      </c>
      <c r="M14" s="43">
        <v>0</v>
      </c>
      <c r="N14" s="43">
        <v>0</v>
      </c>
      <c r="O14" s="43">
        <v>0</v>
      </c>
      <c r="P14" s="43">
        <v>0</v>
      </c>
      <c r="Q14" s="46">
        <v>0</v>
      </c>
      <c r="R14" s="107">
        <f>SUM(K14:Q14)</f>
        <v>1</v>
      </c>
      <c r="T14" s="42">
        <v>170</v>
      </c>
      <c r="U14" s="43">
        <v>10</v>
      </c>
      <c r="V14" s="43">
        <v>0</v>
      </c>
      <c r="W14" s="43">
        <v>0</v>
      </c>
      <c r="X14" s="43">
        <v>3</v>
      </c>
      <c r="Y14" s="43">
        <v>2</v>
      </c>
      <c r="Z14" s="46">
        <v>1</v>
      </c>
      <c r="AA14" s="107">
        <f>SUM(T14:Z14)</f>
        <v>186</v>
      </c>
      <c r="AC14" s="107">
        <f>SUM(I14+R14+AA14)</f>
        <v>187</v>
      </c>
    </row>
    <row r="15" spans="1:29" ht="15.75" customHeight="1">
      <c r="A15" s="108">
        <v>0.48958333333333331</v>
      </c>
      <c r="B15" s="48">
        <v>0</v>
      </c>
      <c r="C15" s="49">
        <v>0</v>
      </c>
      <c r="D15" s="49">
        <v>0</v>
      </c>
      <c r="E15" s="49">
        <v>0</v>
      </c>
      <c r="F15" s="49">
        <v>0</v>
      </c>
      <c r="G15" s="49">
        <v>0</v>
      </c>
      <c r="H15" s="50">
        <v>0</v>
      </c>
      <c r="I15" s="109">
        <f>SUM(B15:H15)</f>
        <v>0</v>
      </c>
      <c r="K15" s="48">
        <v>3</v>
      </c>
      <c r="L15" s="49">
        <v>0</v>
      </c>
      <c r="M15" s="49">
        <v>0</v>
      </c>
      <c r="N15" s="49">
        <v>0</v>
      </c>
      <c r="O15" s="49">
        <v>0</v>
      </c>
      <c r="P15" s="49">
        <v>0</v>
      </c>
      <c r="Q15" s="50">
        <v>0</v>
      </c>
      <c r="R15" s="109">
        <f>SUM(K15:Q15)</f>
        <v>3</v>
      </c>
      <c r="T15" s="48">
        <v>146</v>
      </c>
      <c r="U15" s="49">
        <v>18</v>
      </c>
      <c r="V15" s="49">
        <v>0</v>
      </c>
      <c r="W15" s="49">
        <v>0</v>
      </c>
      <c r="X15" s="49">
        <v>7</v>
      </c>
      <c r="Y15" s="49">
        <v>0</v>
      </c>
      <c r="Z15" s="50">
        <v>0</v>
      </c>
      <c r="AA15" s="109">
        <f>SUM(T15:Z15)</f>
        <v>171</v>
      </c>
      <c r="AC15" s="109">
        <f>SUM(I15+R15+AA15)</f>
        <v>174</v>
      </c>
    </row>
    <row r="16" spans="1:29" ht="15.75" customHeight="1">
      <c r="A16" s="55" t="s">
        <v>24</v>
      </c>
      <c r="B16" s="52">
        <f t="shared" ref="B16:I16" si="0">SUM(B12:B15)</f>
        <v>0</v>
      </c>
      <c r="C16" s="53">
        <f t="shared" si="0"/>
        <v>0</v>
      </c>
      <c r="D16" s="53">
        <f t="shared" si="0"/>
        <v>0</v>
      </c>
      <c r="E16" s="53">
        <f t="shared" si="0"/>
        <v>0</v>
      </c>
      <c r="F16" s="53">
        <f t="shared" si="0"/>
        <v>0</v>
      </c>
      <c r="G16" s="53">
        <f t="shared" si="0"/>
        <v>0</v>
      </c>
      <c r="H16" s="54">
        <f t="shared" si="0"/>
        <v>0</v>
      </c>
      <c r="I16" s="55">
        <f t="shared" si="0"/>
        <v>0</v>
      </c>
      <c r="K16" s="52">
        <f t="shared" ref="K16:R16" si="1">SUM(K12:K15)</f>
        <v>10</v>
      </c>
      <c r="L16" s="53">
        <f t="shared" si="1"/>
        <v>1</v>
      </c>
      <c r="M16" s="53">
        <f t="shared" si="1"/>
        <v>1</v>
      </c>
      <c r="N16" s="53">
        <f t="shared" si="1"/>
        <v>0</v>
      </c>
      <c r="O16" s="53">
        <f t="shared" si="1"/>
        <v>0</v>
      </c>
      <c r="P16" s="53">
        <f t="shared" si="1"/>
        <v>0</v>
      </c>
      <c r="Q16" s="54">
        <f t="shared" si="1"/>
        <v>0</v>
      </c>
      <c r="R16" s="55">
        <f t="shared" si="1"/>
        <v>12</v>
      </c>
      <c r="T16" s="52">
        <f t="shared" ref="T16:AA16" si="2">SUM(T12:T15)</f>
        <v>616</v>
      </c>
      <c r="U16" s="53">
        <f t="shared" si="2"/>
        <v>54</v>
      </c>
      <c r="V16" s="53">
        <f t="shared" si="2"/>
        <v>7</v>
      </c>
      <c r="W16" s="53">
        <f t="shared" si="2"/>
        <v>2</v>
      </c>
      <c r="X16" s="53">
        <f t="shared" si="2"/>
        <v>19</v>
      </c>
      <c r="Y16" s="53">
        <f t="shared" si="2"/>
        <v>4</v>
      </c>
      <c r="Z16" s="54">
        <f t="shared" si="2"/>
        <v>2</v>
      </c>
      <c r="AA16" s="55">
        <f t="shared" si="2"/>
        <v>704</v>
      </c>
      <c r="AC16" s="55">
        <f>SUM(AC12:AC15)</f>
        <v>716</v>
      </c>
    </row>
    <row r="17" spans="1:29" ht="15.75" customHeight="1">
      <c r="A17" s="104">
        <v>0.5</v>
      </c>
      <c r="B17" s="38">
        <v>0</v>
      </c>
      <c r="C17" s="39">
        <v>0</v>
      </c>
      <c r="D17" s="39">
        <v>0</v>
      </c>
      <c r="E17" s="39">
        <v>0</v>
      </c>
      <c r="F17" s="39">
        <v>0</v>
      </c>
      <c r="G17" s="39">
        <v>0</v>
      </c>
      <c r="H17" s="40">
        <v>0</v>
      </c>
      <c r="I17" s="105">
        <f>SUM(B17:H17)</f>
        <v>0</v>
      </c>
      <c r="K17" s="38">
        <v>4</v>
      </c>
      <c r="L17" s="39">
        <v>0</v>
      </c>
      <c r="M17" s="39">
        <v>0</v>
      </c>
      <c r="N17" s="39">
        <v>0</v>
      </c>
      <c r="O17" s="39">
        <v>0</v>
      </c>
      <c r="P17" s="39">
        <v>0</v>
      </c>
      <c r="Q17" s="40">
        <v>0</v>
      </c>
      <c r="R17" s="105">
        <f>SUM(K17:Q17)</f>
        <v>4</v>
      </c>
      <c r="T17" s="38">
        <v>146</v>
      </c>
      <c r="U17" s="39">
        <v>14</v>
      </c>
      <c r="V17" s="39">
        <v>0</v>
      </c>
      <c r="W17" s="39">
        <v>0</v>
      </c>
      <c r="X17" s="39">
        <v>6</v>
      </c>
      <c r="Y17" s="39">
        <v>0</v>
      </c>
      <c r="Z17" s="40">
        <v>3</v>
      </c>
      <c r="AA17" s="105">
        <f>SUM(T17:Z17)</f>
        <v>169</v>
      </c>
      <c r="AC17" s="105">
        <f>SUM(I17+R17+AA17)</f>
        <v>173</v>
      </c>
    </row>
    <row r="18" spans="1:29" ht="15.75" customHeight="1">
      <c r="A18" s="106">
        <v>0.51041666666666663</v>
      </c>
      <c r="B18" s="42">
        <v>0</v>
      </c>
      <c r="C18" s="43">
        <v>0</v>
      </c>
      <c r="D18" s="43">
        <v>0</v>
      </c>
      <c r="E18" s="43">
        <v>0</v>
      </c>
      <c r="F18" s="43">
        <v>0</v>
      </c>
      <c r="G18" s="43">
        <v>0</v>
      </c>
      <c r="H18" s="46">
        <v>0</v>
      </c>
      <c r="I18" s="107">
        <f>SUM(B18:H18)</f>
        <v>0</v>
      </c>
      <c r="K18" s="42">
        <v>5</v>
      </c>
      <c r="L18" s="43">
        <v>2</v>
      </c>
      <c r="M18" s="43">
        <v>0</v>
      </c>
      <c r="N18" s="43">
        <v>0</v>
      </c>
      <c r="O18" s="43">
        <v>0</v>
      </c>
      <c r="P18" s="43">
        <v>0</v>
      </c>
      <c r="Q18" s="46">
        <v>0</v>
      </c>
      <c r="R18" s="107">
        <f>SUM(K18:Q18)</f>
        <v>7</v>
      </c>
      <c r="T18" s="42">
        <v>148</v>
      </c>
      <c r="U18" s="43">
        <v>8</v>
      </c>
      <c r="V18" s="43">
        <v>2</v>
      </c>
      <c r="W18" s="43">
        <v>1</v>
      </c>
      <c r="X18" s="43">
        <v>2</v>
      </c>
      <c r="Y18" s="43">
        <v>2</v>
      </c>
      <c r="Z18" s="46">
        <v>4</v>
      </c>
      <c r="AA18" s="107">
        <f>SUM(T18:Z18)</f>
        <v>167</v>
      </c>
      <c r="AC18" s="107">
        <f>SUM(I18+R18+AA18)</f>
        <v>174</v>
      </c>
    </row>
    <row r="19" spans="1:29" ht="15.75" customHeight="1">
      <c r="A19" s="106">
        <v>0.52083333333333337</v>
      </c>
      <c r="B19" s="42">
        <v>0</v>
      </c>
      <c r="C19" s="43">
        <v>0</v>
      </c>
      <c r="D19" s="43">
        <v>0</v>
      </c>
      <c r="E19" s="43">
        <v>0</v>
      </c>
      <c r="F19" s="43">
        <v>0</v>
      </c>
      <c r="G19" s="43">
        <v>0</v>
      </c>
      <c r="H19" s="46">
        <v>0</v>
      </c>
      <c r="I19" s="107">
        <f>SUM(B19:H19)</f>
        <v>0</v>
      </c>
      <c r="K19" s="42">
        <v>2</v>
      </c>
      <c r="L19" s="43">
        <v>1</v>
      </c>
      <c r="M19" s="43">
        <v>0</v>
      </c>
      <c r="N19" s="43">
        <v>0</v>
      </c>
      <c r="O19" s="43">
        <v>0</v>
      </c>
      <c r="P19" s="43">
        <v>0</v>
      </c>
      <c r="Q19" s="46">
        <v>0</v>
      </c>
      <c r="R19" s="107">
        <f>SUM(K19:Q19)</f>
        <v>3</v>
      </c>
      <c r="T19" s="42">
        <v>167</v>
      </c>
      <c r="U19" s="43">
        <v>13</v>
      </c>
      <c r="V19" s="43">
        <v>0</v>
      </c>
      <c r="W19" s="43">
        <v>0</v>
      </c>
      <c r="X19" s="43">
        <v>4</v>
      </c>
      <c r="Y19" s="43">
        <v>1</v>
      </c>
      <c r="Z19" s="46">
        <v>2</v>
      </c>
      <c r="AA19" s="107">
        <f>SUM(T19:Z19)</f>
        <v>187</v>
      </c>
      <c r="AC19" s="107">
        <f>SUM(I19+R19+AA19)</f>
        <v>190</v>
      </c>
    </row>
    <row r="20" spans="1:29" ht="15.75" customHeight="1">
      <c r="A20" s="108">
        <v>0.53125</v>
      </c>
      <c r="B20" s="48">
        <v>0</v>
      </c>
      <c r="C20" s="49">
        <v>0</v>
      </c>
      <c r="D20" s="49">
        <v>0</v>
      </c>
      <c r="E20" s="49">
        <v>0</v>
      </c>
      <c r="F20" s="49">
        <v>0</v>
      </c>
      <c r="G20" s="49">
        <v>0</v>
      </c>
      <c r="H20" s="50">
        <v>0</v>
      </c>
      <c r="I20" s="109">
        <f>SUM(B20:H20)</f>
        <v>0</v>
      </c>
      <c r="K20" s="48">
        <v>5</v>
      </c>
      <c r="L20" s="49">
        <v>0</v>
      </c>
      <c r="M20" s="49">
        <v>0</v>
      </c>
      <c r="N20" s="49">
        <v>0</v>
      </c>
      <c r="O20" s="49">
        <v>0</v>
      </c>
      <c r="P20" s="49">
        <v>0</v>
      </c>
      <c r="Q20" s="50">
        <v>0</v>
      </c>
      <c r="R20" s="109">
        <f>SUM(K20:Q20)</f>
        <v>5</v>
      </c>
      <c r="T20" s="48">
        <v>169</v>
      </c>
      <c r="U20" s="49">
        <v>15</v>
      </c>
      <c r="V20" s="49">
        <v>0</v>
      </c>
      <c r="W20" s="49">
        <v>0</v>
      </c>
      <c r="X20" s="49">
        <v>7</v>
      </c>
      <c r="Y20" s="49">
        <v>1</v>
      </c>
      <c r="Z20" s="50">
        <v>0</v>
      </c>
      <c r="AA20" s="109">
        <f>SUM(T20:Z20)</f>
        <v>192</v>
      </c>
      <c r="AC20" s="109">
        <f>SUM(I20+R20+AA20)</f>
        <v>197</v>
      </c>
    </row>
    <row r="21" spans="1:29" ht="15.75" customHeight="1">
      <c r="A21" s="55" t="s">
        <v>24</v>
      </c>
      <c r="B21" s="52">
        <f t="shared" ref="B21:I21" si="3">SUM(B17:B20)</f>
        <v>0</v>
      </c>
      <c r="C21" s="53">
        <f t="shared" si="3"/>
        <v>0</v>
      </c>
      <c r="D21" s="53">
        <f t="shared" si="3"/>
        <v>0</v>
      </c>
      <c r="E21" s="53">
        <f t="shared" si="3"/>
        <v>0</v>
      </c>
      <c r="F21" s="53">
        <f t="shared" si="3"/>
        <v>0</v>
      </c>
      <c r="G21" s="53">
        <f t="shared" si="3"/>
        <v>0</v>
      </c>
      <c r="H21" s="54">
        <f t="shared" si="3"/>
        <v>0</v>
      </c>
      <c r="I21" s="55">
        <f t="shared" si="3"/>
        <v>0</v>
      </c>
      <c r="K21" s="52">
        <f t="shared" ref="K21:R21" si="4">SUM(K17:K20)</f>
        <v>16</v>
      </c>
      <c r="L21" s="53">
        <f t="shared" si="4"/>
        <v>3</v>
      </c>
      <c r="M21" s="53">
        <f t="shared" si="4"/>
        <v>0</v>
      </c>
      <c r="N21" s="53">
        <f t="shared" si="4"/>
        <v>0</v>
      </c>
      <c r="O21" s="53">
        <f t="shared" si="4"/>
        <v>0</v>
      </c>
      <c r="P21" s="53">
        <f t="shared" si="4"/>
        <v>0</v>
      </c>
      <c r="Q21" s="54">
        <f t="shared" si="4"/>
        <v>0</v>
      </c>
      <c r="R21" s="55">
        <f t="shared" si="4"/>
        <v>19</v>
      </c>
      <c r="T21" s="52">
        <f t="shared" ref="T21:AA21" si="5">SUM(T17:T20)</f>
        <v>630</v>
      </c>
      <c r="U21" s="53">
        <f t="shared" si="5"/>
        <v>50</v>
      </c>
      <c r="V21" s="53">
        <f t="shared" si="5"/>
        <v>2</v>
      </c>
      <c r="W21" s="53">
        <f t="shared" si="5"/>
        <v>1</v>
      </c>
      <c r="X21" s="53">
        <f t="shared" si="5"/>
        <v>19</v>
      </c>
      <c r="Y21" s="53">
        <f t="shared" si="5"/>
        <v>4</v>
      </c>
      <c r="Z21" s="54">
        <f t="shared" si="5"/>
        <v>9</v>
      </c>
      <c r="AA21" s="55">
        <f t="shared" si="5"/>
        <v>715</v>
      </c>
      <c r="AC21" s="55">
        <f>SUM(AC17:AC20)</f>
        <v>734</v>
      </c>
    </row>
    <row r="22" spans="1:29" ht="15.75" customHeight="1">
      <c r="A22" s="104">
        <v>0.54166666666666663</v>
      </c>
      <c r="B22" s="38">
        <v>0</v>
      </c>
      <c r="C22" s="39">
        <v>0</v>
      </c>
      <c r="D22" s="39">
        <v>0</v>
      </c>
      <c r="E22" s="39">
        <v>0</v>
      </c>
      <c r="F22" s="39">
        <v>0</v>
      </c>
      <c r="G22" s="39">
        <v>0</v>
      </c>
      <c r="H22" s="40">
        <v>0</v>
      </c>
      <c r="I22" s="105">
        <f>SUM(B22:H22)</f>
        <v>0</v>
      </c>
      <c r="K22" s="38">
        <v>3</v>
      </c>
      <c r="L22" s="39">
        <v>0</v>
      </c>
      <c r="M22" s="39">
        <v>0</v>
      </c>
      <c r="N22" s="39">
        <v>0</v>
      </c>
      <c r="O22" s="39">
        <v>0</v>
      </c>
      <c r="P22" s="39">
        <v>0</v>
      </c>
      <c r="Q22" s="40">
        <v>0</v>
      </c>
      <c r="R22" s="105">
        <f>SUM(K22:Q22)</f>
        <v>3</v>
      </c>
      <c r="T22" s="38">
        <v>136</v>
      </c>
      <c r="U22" s="39">
        <v>11</v>
      </c>
      <c r="V22" s="39">
        <v>0</v>
      </c>
      <c r="W22" s="39">
        <v>0</v>
      </c>
      <c r="X22" s="39">
        <v>6</v>
      </c>
      <c r="Y22" s="39">
        <v>0</v>
      </c>
      <c r="Z22" s="40">
        <v>0</v>
      </c>
      <c r="AA22" s="105">
        <f>SUM(T22:Z22)</f>
        <v>153</v>
      </c>
      <c r="AC22" s="105">
        <f>SUM(I22+R22+AA22)</f>
        <v>156</v>
      </c>
    </row>
    <row r="23" spans="1:29" ht="15.75" customHeight="1">
      <c r="A23" s="106">
        <v>0.55208333333333337</v>
      </c>
      <c r="B23" s="42">
        <v>0</v>
      </c>
      <c r="C23" s="43">
        <v>0</v>
      </c>
      <c r="D23" s="43">
        <v>0</v>
      </c>
      <c r="E23" s="43">
        <v>0</v>
      </c>
      <c r="F23" s="43">
        <v>0</v>
      </c>
      <c r="G23" s="43">
        <v>0</v>
      </c>
      <c r="H23" s="46">
        <v>0</v>
      </c>
      <c r="I23" s="107">
        <f>SUM(B23:H23)</f>
        <v>0</v>
      </c>
      <c r="K23" s="42">
        <v>2</v>
      </c>
      <c r="L23" s="43">
        <v>0</v>
      </c>
      <c r="M23" s="43">
        <v>0</v>
      </c>
      <c r="N23" s="43">
        <v>0</v>
      </c>
      <c r="O23" s="43">
        <v>0</v>
      </c>
      <c r="P23" s="43">
        <v>0</v>
      </c>
      <c r="Q23" s="46">
        <v>0</v>
      </c>
      <c r="R23" s="107">
        <f>SUM(K23:Q23)</f>
        <v>2</v>
      </c>
      <c r="T23" s="42">
        <v>177</v>
      </c>
      <c r="U23" s="43">
        <v>12</v>
      </c>
      <c r="V23" s="43">
        <v>0</v>
      </c>
      <c r="W23" s="43">
        <v>0</v>
      </c>
      <c r="X23" s="43">
        <v>4</v>
      </c>
      <c r="Y23" s="43">
        <v>0</v>
      </c>
      <c r="Z23" s="46">
        <v>1</v>
      </c>
      <c r="AA23" s="107">
        <f>SUM(T23:Z23)</f>
        <v>194</v>
      </c>
      <c r="AC23" s="107">
        <f>SUM(I23+R23+AA23)</f>
        <v>196</v>
      </c>
    </row>
    <row r="24" spans="1:29" ht="15.75" customHeight="1">
      <c r="A24" s="106">
        <v>0.5625</v>
      </c>
      <c r="B24" s="42">
        <v>0</v>
      </c>
      <c r="C24" s="43">
        <v>0</v>
      </c>
      <c r="D24" s="43">
        <v>0</v>
      </c>
      <c r="E24" s="43">
        <v>0</v>
      </c>
      <c r="F24" s="43">
        <v>0</v>
      </c>
      <c r="G24" s="43">
        <v>0</v>
      </c>
      <c r="H24" s="46">
        <v>0</v>
      </c>
      <c r="I24" s="107">
        <f>SUM(B24:H24)</f>
        <v>0</v>
      </c>
      <c r="K24" s="42">
        <v>4</v>
      </c>
      <c r="L24" s="43">
        <v>0</v>
      </c>
      <c r="M24" s="43">
        <v>0</v>
      </c>
      <c r="N24" s="43">
        <v>0</v>
      </c>
      <c r="O24" s="43">
        <v>0</v>
      </c>
      <c r="P24" s="43">
        <v>0</v>
      </c>
      <c r="Q24" s="46">
        <v>0</v>
      </c>
      <c r="R24" s="107">
        <f>SUM(K24:Q24)</f>
        <v>4</v>
      </c>
      <c r="T24" s="42">
        <v>142</v>
      </c>
      <c r="U24" s="43">
        <v>19</v>
      </c>
      <c r="V24" s="43">
        <v>1</v>
      </c>
      <c r="W24" s="43">
        <v>0</v>
      </c>
      <c r="X24" s="43">
        <v>5</v>
      </c>
      <c r="Y24" s="43">
        <v>2</v>
      </c>
      <c r="Z24" s="46">
        <v>0</v>
      </c>
      <c r="AA24" s="107">
        <f>SUM(T24:Z24)</f>
        <v>169</v>
      </c>
      <c r="AC24" s="107">
        <f>SUM(I24+R24+AA24)</f>
        <v>173</v>
      </c>
    </row>
    <row r="25" spans="1:29" ht="15.75" customHeight="1">
      <c r="A25" s="108">
        <v>0.57291666666666663</v>
      </c>
      <c r="B25" s="48">
        <v>0</v>
      </c>
      <c r="C25" s="49">
        <v>0</v>
      </c>
      <c r="D25" s="49">
        <v>0</v>
      </c>
      <c r="E25" s="49">
        <v>0</v>
      </c>
      <c r="F25" s="49">
        <v>0</v>
      </c>
      <c r="G25" s="49">
        <v>0</v>
      </c>
      <c r="H25" s="50">
        <v>0</v>
      </c>
      <c r="I25" s="109">
        <f>SUM(B25:H25)</f>
        <v>0</v>
      </c>
      <c r="K25" s="48">
        <v>4</v>
      </c>
      <c r="L25" s="49">
        <v>0</v>
      </c>
      <c r="M25" s="49">
        <v>0</v>
      </c>
      <c r="N25" s="49">
        <v>0</v>
      </c>
      <c r="O25" s="49">
        <v>0</v>
      </c>
      <c r="P25" s="49">
        <v>0</v>
      </c>
      <c r="Q25" s="50">
        <v>0</v>
      </c>
      <c r="R25" s="109">
        <f>SUM(K25:Q25)</f>
        <v>4</v>
      </c>
      <c r="T25" s="48">
        <v>159</v>
      </c>
      <c r="U25" s="49">
        <v>19</v>
      </c>
      <c r="V25" s="49">
        <v>0</v>
      </c>
      <c r="W25" s="49">
        <v>0</v>
      </c>
      <c r="X25" s="49">
        <v>4</v>
      </c>
      <c r="Y25" s="49">
        <v>2</v>
      </c>
      <c r="Z25" s="50">
        <v>4</v>
      </c>
      <c r="AA25" s="109">
        <f>SUM(T25:Z25)</f>
        <v>188</v>
      </c>
      <c r="AC25" s="109">
        <f>SUM(I25+R25+AA25)</f>
        <v>192</v>
      </c>
    </row>
    <row r="26" spans="1:29" ht="15.75" customHeight="1">
      <c r="A26" s="55" t="s">
        <v>24</v>
      </c>
      <c r="B26" s="52">
        <f t="shared" ref="B26:R26" si="6">SUM(B22:B25)</f>
        <v>0</v>
      </c>
      <c r="C26" s="53">
        <f t="shared" si="6"/>
        <v>0</v>
      </c>
      <c r="D26" s="53">
        <f t="shared" si="6"/>
        <v>0</v>
      </c>
      <c r="E26" s="53">
        <f t="shared" si="6"/>
        <v>0</v>
      </c>
      <c r="F26" s="53">
        <f t="shared" si="6"/>
        <v>0</v>
      </c>
      <c r="G26" s="53">
        <f t="shared" si="6"/>
        <v>0</v>
      </c>
      <c r="H26" s="54">
        <f t="shared" si="6"/>
        <v>0</v>
      </c>
      <c r="I26" s="55">
        <f t="shared" si="6"/>
        <v>0</v>
      </c>
      <c r="K26" s="52">
        <f t="shared" si="6"/>
        <v>13</v>
      </c>
      <c r="L26" s="53">
        <f t="shared" si="6"/>
        <v>0</v>
      </c>
      <c r="M26" s="53">
        <f t="shared" si="6"/>
        <v>0</v>
      </c>
      <c r="N26" s="53">
        <f t="shared" si="6"/>
        <v>0</v>
      </c>
      <c r="O26" s="53">
        <f t="shared" si="6"/>
        <v>0</v>
      </c>
      <c r="P26" s="53">
        <f t="shared" si="6"/>
        <v>0</v>
      </c>
      <c r="Q26" s="54">
        <f t="shared" si="6"/>
        <v>0</v>
      </c>
      <c r="R26" s="55">
        <f t="shared" si="6"/>
        <v>13</v>
      </c>
      <c r="T26" s="52">
        <f t="shared" ref="T26:AA26" si="7">SUM(T22:T25)</f>
        <v>614</v>
      </c>
      <c r="U26" s="53">
        <f t="shared" si="7"/>
        <v>61</v>
      </c>
      <c r="V26" s="53">
        <f t="shared" si="7"/>
        <v>1</v>
      </c>
      <c r="W26" s="53">
        <f t="shared" si="7"/>
        <v>0</v>
      </c>
      <c r="X26" s="53">
        <f t="shared" si="7"/>
        <v>19</v>
      </c>
      <c r="Y26" s="53">
        <f t="shared" si="7"/>
        <v>4</v>
      </c>
      <c r="Z26" s="54">
        <f t="shared" si="7"/>
        <v>5</v>
      </c>
      <c r="AA26" s="55">
        <f t="shared" si="7"/>
        <v>704</v>
      </c>
      <c r="AC26" s="55">
        <f>SUM(AC22:AC25)</f>
        <v>717</v>
      </c>
    </row>
    <row r="27" spans="1:29" ht="15.75" customHeight="1">
      <c r="A27" s="104">
        <v>0.58333333333333337</v>
      </c>
      <c r="B27" s="38">
        <v>0</v>
      </c>
      <c r="C27" s="39">
        <v>0</v>
      </c>
      <c r="D27" s="39">
        <v>0</v>
      </c>
      <c r="E27" s="39">
        <v>0</v>
      </c>
      <c r="F27" s="39">
        <v>0</v>
      </c>
      <c r="G27" s="39">
        <v>0</v>
      </c>
      <c r="H27" s="40">
        <v>0</v>
      </c>
      <c r="I27" s="105">
        <f>SUM(B27:H27)</f>
        <v>0</v>
      </c>
      <c r="K27" s="38">
        <v>3</v>
      </c>
      <c r="L27" s="39">
        <v>0</v>
      </c>
      <c r="M27" s="39">
        <v>0</v>
      </c>
      <c r="N27" s="39">
        <v>0</v>
      </c>
      <c r="O27" s="39">
        <v>0</v>
      </c>
      <c r="P27" s="39">
        <v>0</v>
      </c>
      <c r="Q27" s="40">
        <v>0</v>
      </c>
      <c r="R27" s="105">
        <f>SUM(K27:Q27)</f>
        <v>3</v>
      </c>
      <c r="T27" s="38">
        <v>128</v>
      </c>
      <c r="U27" s="39">
        <v>9</v>
      </c>
      <c r="V27" s="39">
        <v>1</v>
      </c>
      <c r="W27" s="39">
        <v>0</v>
      </c>
      <c r="X27" s="39">
        <v>7</v>
      </c>
      <c r="Y27" s="39">
        <v>0</v>
      </c>
      <c r="Z27" s="40">
        <v>0</v>
      </c>
      <c r="AA27" s="105">
        <f>SUM(T27:Z27)</f>
        <v>145</v>
      </c>
      <c r="AC27" s="105">
        <f>SUM(I27+R27+AA27)</f>
        <v>148</v>
      </c>
    </row>
    <row r="28" spans="1:29" ht="15.75" customHeight="1">
      <c r="A28" s="106">
        <v>0.59375</v>
      </c>
      <c r="B28" s="42">
        <v>0</v>
      </c>
      <c r="C28" s="43">
        <v>0</v>
      </c>
      <c r="D28" s="43">
        <v>0</v>
      </c>
      <c r="E28" s="43">
        <v>0</v>
      </c>
      <c r="F28" s="43">
        <v>0</v>
      </c>
      <c r="G28" s="43">
        <v>0</v>
      </c>
      <c r="H28" s="46">
        <v>0</v>
      </c>
      <c r="I28" s="107">
        <f>SUM(B28:H28)</f>
        <v>0</v>
      </c>
      <c r="K28" s="42">
        <v>4</v>
      </c>
      <c r="L28" s="43">
        <v>0</v>
      </c>
      <c r="M28" s="43">
        <v>0</v>
      </c>
      <c r="N28" s="43">
        <v>0</v>
      </c>
      <c r="O28" s="43">
        <v>0</v>
      </c>
      <c r="P28" s="43">
        <v>0</v>
      </c>
      <c r="Q28" s="46">
        <v>0</v>
      </c>
      <c r="R28" s="107">
        <f>SUM(K28:Q28)</f>
        <v>4</v>
      </c>
      <c r="T28" s="42">
        <v>160</v>
      </c>
      <c r="U28" s="43">
        <v>7</v>
      </c>
      <c r="V28" s="43">
        <v>1</v>
      </c>
      <c r="W28" s="43">
        <v>0</v>
      </c>
      <c r="X28" s="43">
        <v>3</v>
      </c>
      <c r="Y28" s="43">
        <v>1</v>
      </c>
      <c r="Z28" s="46">
        <v>1</v>
      </c>
      <c r="AA28" s="107">
        <f>SUM(T28:Z28)</f>
        <v>173</v>
      </c>
      <c r="AC28" s="107">
        <f>SUM(I28+R28+AA28)</f>
        <v>177</v>
      </c>
    </row>
    <row r="29" spans="1:29" ht="15.75" customHeight="1">
      <c r="A29" s="106">
        <v>0.60416666666666663</v>
      </c>
      <c r="B29" s="42">
        <v>0</v>
      </c>
      <c r="C29" s="43">
        <v>0</v>
      </c>
      <c r="D29" s="43">
        <v>0</v>
      </c>
      <c r="E29" s="43">
        <v>0</v>
      </c>
      <c r="F29" s="43">
        <v>0</v>
      </c>
      <c r="G29" s="43">
        <v>0</v>
      </c>
      <c r="H29" s="46">
        <v>0</v>
      </c>
      <c r="I29" s="107">
        <f>SUM(B29:H29)</f>
        <v>0</v>
      </c>
      <c r="K29" s="42">
        <v>3</v>
      </c>
      <c r="L29" s="43">
        <v>0</v>
      </c>
      <c r="M29" s="43">
        <v>0</v>
      </c>
      <c r="N29" s="43">
        <v>0</v>
      </c>
      <c r="O29" s="43">
        <v>0</v>
      </c>
      <c r="P29" s="43">
        <v>0</v>
      </c>
      <c r="Q29" s="46">
        <v>1</v>
      </c>
      <c r="R29" s="107">
        <f>SUM(K29:Q29)</f>
        <v>4</v>
      </c>
      <c r="T29" s="42">
        <v>173</v>
      </c>
      <c r="U29" s="43">
        <v>4</v>
      </c>
      <c r="V29" s="43">
        <v>1</v>
      </c>
      <c r="W29" s="43">
        <v>0</v>
      </c>
      <c r="X29" s="43">
        <v>3</v>
      </c>
      <c r="Y29" s="43">
        <v>0</v>
      </c>
      <c r="Z29" s="46">
        <v>0</v>
      </c>
      <c r="AA29" s="107">
        <f>SUM(T29:Z29)</f>
        <v>181</v>
      </c>
      <c r="AC29" s="107">
        <f>SUM(I29+R29+AA29)</f>
        <v>185</v>
      </c>
    </row>
    <row r="30" spans="1:29" ht="15.75" customHeight="1">
      <c r="A30" s="108">
        <v>0.61458333333333337</v>
      </c>
      <c r="B30" s="48">
        <v>0</v>
      </c>
      <c r="C30" s="49">
        <v>0</v>
      </c>
      <c r="D30" s="49">
        <v>0</v>
      </c>
      <c r="E30" s="49">
        <v>0</v>
      </c>
      <c r="F30" s="49">
        <v>0</v>
      </c>
      <c r="G30" s="49">
        <v>0</v>
      </c>
      <c r="H30" s="50">
        <v>0</v>
      </c>
      <c r="I30" s="109">
        <f>SUM(B30:H30)</f>
        <v>0</v>
      </c>
      <c r="K30" s="48">
        <v>4</v>
      </c>
      <c r="L30" s="49">
        <v>1</v>
      </c>
      <c r="M30" s="49">
        <v>0</v>
      </c>
      <c r="N30" s="49">
        <v>0</v>
      </c>
      <c r="O30" s="49">
        <v>0</v>
      </c>
      <c r="P30" s="49">
        <v>0</v>
      </c>
      <c r="Q30" s="50">
        <v>0</v>
      </c>
      <c r="R30" s="109">
        <f>SUM(K30:Q30)</f>
        <v>5</v>
      </c>
      <c r="T30" s="48">
        <v>136</v>
      </c>
      <c r="U30" s="49">
        <v>10</v>
      </c>
      <c r="V30" s="49">
        <v>1</v>
      </c>
      <c r="W30" s="49">
        <v>0</v>
      </c>
      <c r="X30" s="49">
        <v>6</v>
      </c>
      <c r="Y30" s="49">
        <v>3</v>
      </c>
      <c r="Z30" s="50">
        <v>0</v>
      </c>
      <c r="AA30" s="109">
        <f>SUM(T30:Z30)</f>
        <v>156</v>
      </c>
      <c r="AC30" s="109">
        <f>SUM(I30+R30+AA30)</f>
        <v>161</v>
      </c>
    </row>
    <row r="31" spans="1:29" ht="15.75" customHeight="1">
      <c r="A31" s="55" t="s">
        <v>24</v>
      </c>
      <c r="B31" s="52">
        <f t="shared" ref="B31:I31" si="8">SUM(B27:B30)</f>
        <v>0</v>
      </c>
      <c r="C31" s="53">
        <f t="shared" si="8"/>
        <v>0</v>
      </c>
      <c r="D31" s="53">
        <f t="shared" si="8"/>
        <v>0</v>
      </c>
      <c r="E31" s="53">
        <f t="shared" si="8"/>
        <v>0</v>
      </c>
      <c r="F31" s="53">
        <f t="shared" si="8"/>
        <v>0</v>
      </c>
      <c r="G31" s="53">
        <f t="shared" si="8"/>
        <v>0</v>
      </c>
      <c r="H31" s="54">
        <f t="shared" si="8"/>
        <v>0</v>
      </c>
      <c r="I31" s="55">
        <f t="shared" si="8"/>
        <v>0</v>
      </c>
      <c r="K31" s="52">
        <f t="shared" ref="K31:R31" si="9">SUM(K27:K30)</f>
        <v>14</v>
      </c>
      <c r="L31" s="53">
        <f t="shared" si="9"/>
        <v>1</v>
      </c>
      <c r="M31" s="53">
        <f t="shared" si="9"/>
        <v>0</v>
      </c>
      <c r="N31" s="53">
        <f t="shared" si="9"/>
        <v>0</v>
      </c>
      <c r="O31" s="53">
        <f t="shared" si="9"/>
        <v>0</v>
      </c>
      <c r="P31" s="53">
        <f t="shared" si="9"/>
        <v>0</v>
      </c>
      <c r="Q31" s="54">
        <f t="shared" si="9"/>
        <v>1</v>
      </c>
      <c r="R31" s="55">
        <f t="shared" si="9"/>
        <v>16</v>
      </c>
      <c r="T31" s="52">
        <f t="shared" ref="T31:AA31" si="10">SUM(T27:T30)</f>
        <v>597</v>
      </c>
      <c r="U31" s="53">
        <f t="shared" si="10"/>
        <v>30</v>
      </c>
      <c r="V31" s="53">
        <f t="shared" si="10"/>
        <v>4</v>
      </c>
      <c r="W31" s="53">
        <f t="shared" si="10"/>
        <v>0</v>
      </c>
      <c r="X31" s="53">
        <f t="shared" si="10"/>
        <v>19</v>
      </c>
      <c r="Y31" s="53">
        <f t="shared" si="10"/>
        <v>4</v>
      </c>
      <c r="Z31" s="54">
        <f t="shared" si="10"/>
        <v>1</v>
      </c>
      <c r="AA31" s="55">
        <f t="shared" si="10"/>
        <v>655</v>
      </c>
      <c r="AC31" s="55">
        <f>SUM(AC27:AC30)</f>
        <v>671</v>
      </c>
    </row>
    <row r="32" spans="1:29" ht="15.75" customHeight="1">
      <c r="A32" s="104">
        <v>0.625</v>
      </c>
      <c r="B32" s="38">
        <v>0</v>
      </c>
      <c r="C32" s="39">
        <v>0</v>
      </c>
      <c r="D32" s="39">
        <v>0</v>
      </c>
      <c r="E32" s="39">
        <v>0</v>
      </c>
      <c r="F32" s="39">
        <v>0</v>
      </c>
      <c r="G32" s="39">
        <v>0</v>
      </c>
      <c r="H32" s="40">
        <v>0</v>
      </c>
      <c r="I32" s="105">
        <f>SUM(B32:H32)</f>
        <v>0</v>
      </c>
      <c r="K32" s="38">
        <v>2</v>
      </c>
      <c r="L32" s="39">
        <v>0</v>
      </c>
      <c r="M32" s="39">
        <v>0</v>
      </c>
      <c r="N32" s="39">
        <v>0</v>
      </c>
      <c r="O32" s="39">
        <v>0</v>
      </c>
      <c r="P32" s="39">
        <v>0</v>
      </c>
      <c r="Q32" s="40">
        <v>0</v>
      </c>
      <c r="R32" s="105">
        <f>SUM(K32:Q32)</f>
        <v>2</v>
      </c>
      <c r="T32" s="38">
        <v>163</v>
      </c>
      <c r="U32" s="39">
        <v>14</v>
      </c>
      <c r="V32" s="39">
        <v>1</v>
      </c>
      <c r="W32" s="39">
        <v>0</v>
      </c>
      <c r="X32" s="39">
        <v>7</v>
      </c>
      <c r="Y32" s="39">
        <v>1</v>
      </c>
      <c r="Z32" s="40">
        <v>0</v>
      </c>
      <c r="AA32" s="105">
        <f>SUM(T32:Z32)</f>
        <v>186</v>
      </c>
      <c r="AC32" s="105">
        <f>SUM(I32+R32+AA32)</f>
        <v>188</v>
      </c>
    </row>
    <row r="33" spans="1:29" ht="15.75" customHeight="1">
      <c r="A33" s="106">
        <v>0.63541666666666663</v>
      </c>
      <c r="B33" s="42">
        <v>0</v>
      </c>
      <c r="C33" s="43">
        <v>0</v>
      </c>
      <c r="D33" s="43">
        <v>0</v>
      </c>
      <c r="E33" s="43">
        <v>0</v>
      </c>
      <c r="F33" s="43">
        <v>0</v>
      </c>
      <c r="G33" s="43">
        <v>0</v>
      </c>
      <c r="H33" s="46">
        <v>0</v>
      </c>
      <c r="I33" s="107">
        <f>SUM(B33:H33)</f>
        <v>0</v>
      </c>
      <c r="K33" s="42">
        <v>4</v>
      </c>
      <c r="L33" s="43">
        <v>0</v>
      </c>
      <c r="M33" s="43">
        <v>0</v>
      </c>
      <c r="N33" s="43">
        <v>0</v>
      </c>
      <c r="O33" s="43">
        <v>0</v>
      </c>
      <c r="P33" s="43">
        <v>0</v>
      </c>
      <c r="Q33" s="46">
        <v>0</v>
      </c>
      <c r="R33" s="107">
        <f>SUM(K33:Q33)</f>
        <v>4</v>
      </c>
      <c r="T33" s="42">
        <v>139</v>
      </c>
      <c r="U33" s="43">
        <v>10</v>
      </c>
      <c r="V33" s="43">
        <v>0</v>
      </c>
      <c r="W33" s="43">
        <v>1</v>
      </c>
      <c r="X33" s="43">
        <v>2</v>
      </c>
      <c r="Y33" s="43">
        <v>1</v>
      </c>
      <c r="Z33" s="46">
        <v>0</v>
      </c>
      <c r="AA33" s="107">
        <f>SUM(T33:Z33)</f>
        <v>153</v>
      </c>
      <c r="AC33" s="107">
        <f>SUM(I33+R33+AA33)</f>
        <v>157</v>
      </c>
    </row>
    <row r="34" spans="1:29" ht="15.75" customHeight="1">
      <c r="A34" s="106">
        <v>0.64583333333333337</v>
      </c>
      <c r="B34" s="42">
        <v>0</v>
      </c>
      <c r="C34" s="43">
        <v>0</v>
      </c>
      <c r="D34" s="43">
        <v>0</v>
      </c>
      <c r="E34" s="43">
        <v>0</v>
      </c>
      <c r="F34" s="43">
        <v>0</v>
      </c>
      <c r="G34" s="43">
        <v>0</v>
      </c>
      <c r="H34" s="46">
        <v>0</v>
      </c>
      <c r="I34" s="107">
        <f>SUM(B34:H34)</f>
        <v>0</v>
      </c>
      <c r="K34" s="42">
        <v>2</v>
      </c>
      <c r="L34" s="43">
        <v>0</v>
      </c>
      <c r="M34" s="43">
        <v>0</v>
      </c>
      <c r="N34" s="43">
        <v>0</v>
      </c>
      <c r="O34" s="43">
        <v>0</v>
      </c>
      <c r="P34" s="43">
        <v>0</v>
      </c>
      <c r="Q34" s="46">
        <v>1</v>
      </c>
      <c r="R34" s="107">
        <f>SUM(K34:Q34)</f>
        <v>3</v>
      </c>
      <c r="T34" s="42">
        <v>151</v>
      </c>
      <c r="U34" s="43">
        <v>16</v>
      </c>
      <c r="V34" s="43">
        <v>0</v>
      </c>
      <c r="W34" s="43">
        <v>0</v>
      </c>
      <c r="X34" s="43">
        <v>3</v>
      </c>
      <c r="Y34" s="43">
        <v>1</v>
      </c>
      <c r="Z34" s="46">
        <v>1</v>
      </c>
      <c r="AA34" s="107">
        <f>SUM(T34:Z34)</f>
        <v>172</v>
      </c>
      <c r="AC34" s="107">
        <f>SUM(I34+R34+AA34)</f>
        <v>175</v>
      </c>
    </row>
    <row r="35" spans="1:29" ht="15.75" customHeight="1">
      <c r="A35" s="108">
        <v>0.65625</v>
      </c>
      <c r="B35" s="48">
        <v>0</v>
      </c>
      <c r="C35" s="49">
        <v>0</v>
      </c>
      <c r="D35" s="49">
        <v>0</v>
      </c>
      <c r="E35" s="49">
        <v>0</v>
      </c>
      <c r="F35" s="49">
        <v>0</v>
      </c>
      <c r="G35" s="49">
        <v>0</v>
      </c>
      <c r="H35" s="50">
        <v>0</v>
      </c>
      <c r="I35" s="109">
        <f>SUM(B35:H35)</f>
        <v>0</v>
      </c>
      <c r="K35" s="48">
        <v>5</v>
      </c>
      <c r="L35" s="49">
        <v>0</v>
      </c>
      <c r="M35" s="49">
        <v>0</v>
      </c>
      <c r="N35" s="49">
        <v>0</v>
      </c>
      <c r="O35" s="49">
        <v>0</v>
      </c>
      <c r="P35" s="49">
        <v>0</v>
      </c>
      <c r="Q35" s="50">
        <v>0</v>
      </c>
      <c r="R35" s="109">
        <f>SUM(K35:Q35)</f>
        <v>5</v>
      </c>
      <c r="T35" s="48">
        <v>110</v>
      </c>
      <c r="U35" s="49">
        <v>9</v>
      </c>
      <c r="V35" s="49">
        <v>0</v>
      </c>
      <c r="W35" s="49">
        <v>0</v>
      </c>
      <c r="X35" s="49">
        <v>5</v>
      </c>
      <c r="Y35" s="49">
        <v>0</v>
      </c>
      <c r="Z35" s="50">
        <v>0</v>
      </c>
      <c r="AA35" s="109">
        <f>SUM(T35:Z35)</f>
        <v>124</v>
      </c>
      <c r="AC35" s="109">
        <f>SUM(I35+R35+AA35)</f>
        <v>129</v>
      </c>
    </row>
    <row r="36" spans="1:29" ht="15.75" customHeight="1">
      <c r="A36" s="55" t="s">
        <v>24</v>
      </c>
      <c r="B36" s="52">
        <f t="shared" ref="B36:I36" si="11">SUM(B32:B35)</f>
        <v>0</v>
      </c>
      <c r="C36" s="53">
        <f t="shared" si="11"/>
        <v>0</v>
      </c>
      <c r="D36" s="53">
        <f t="shared" si="11"/>
        <v>0</v>
      </c>
      <c r="E36" s="53">
        <f t="shared" si="11"/>
        <v>0</v>
      </c>
      <c r="F36" s="53">
        <f t="shared" si="11"/>
        <v>0</v>
      </c>
      <c r="G36" s="53">
        <f t="shared" si="11"/>
        <v>0</v>
      </c>
      <c r="H36" s="54">
        <f t="shared" si="11"/>
        <v>0</v>
      </c>
      <c r="I36" s="55">
        <f t="shared" si="11"/>
        <v>0</v>
      </c>
      <c r="K36" s="52">
        <f t="shared" ref="K36:R36" si="12">SUM(K32:K35)</f>
        <v>13</v>
      </c>
      <c r="L36" s="53">
        <f t="shared" si="12"/>
        <v>0</v>
      </c>
      <c r="M36" s="53">
        <f t="shared" si="12"/>
        <v>0</v>
      </c>
      <c r="N36" s="53">
        <f t="shared" si="12"/>
        <v>0</v>
      </c>
      <c r="O36" s="53">
        <f t="shared" si="12"/>
        <v>0</v>
      </c>
      <c r="P36" s="53">
        <f t="shared" si="12"/>
        <v>0</v>
      </c>
      <c r="Q36" s="54">
        <f t="shared" si="12"/>
        <v>1</v>
      </c>
      <c r="R36" s="55">
        <f t="shared" si="12"/>
        <v>14</v>
      </c>
      <c r="T36" s="52">
        <f t="shared" ref="T36:AA36" si="13">SUM(T32:T35)</f>
        <v>563</v>
      </c>
      <c r="U36" s="53">
        <f t="shared" si="13"/>
        <v>49</v>
      </c>
      <c r="V36" s="53">
        <f t="shared" si="13"/>
        <v>1</v>
      </c>
      <c r="W36" s="53">
        <f t="shared" si="13"/>
        <v>1</v>
      </c>
      <c r="X36" s="53">
        <f t="shared" si="13"/>
        <v>17</v>
      </c>
      <c r="Y36" s="53">
        <f t="shared" si="13"/>
        <v>3</v>
      </c>
      <c r="Z36" s="54">
        <f t="shared" si="13"/>
        <v>1</v>
      </c>
      <c r="AA36" s="55">
        <f t="shared" si="13"/>
        <v>635</v>
      </c>
      <c r="AC36" s="55">
        <f>SUM(AC32:AC35)</f>
        <v>649</v>
      </c>
    </row>
    <row r="38" spans="1:29" ht="15.75" customHeight="1">
      <c r="A38" s="55" t="s">
        <v>22</v>
      </c>
      <c r="B38" s="52">
        <f t="shared" ref="B38:I38" si="14">SUM(B36+B31+B26+B21+B16)</f>
        <v>0</v>
      </c>
      <c r="C38" s="53">
        <f t="shared" si="14"/>
        <v>0</v>
      </c>
      <c r="D38" s="53">
        <f t="shared" si="14"/>
        <v>0</v>
      </c>
      <c r="E38" s="53">
        <f t="shared" si="14"/>
        <v>0</v>
      </c>
      <c r="F38" s="53">
        <f t="shared" si="14"/>
        <v>0</v>
      </c>
      <c r="G38" s="53">
        <f t="shared" si="14"/>
        <v>0</v>
      </c>
      <c r="H38" s="54">
        <f t="shared" si="14"/>
        <v>0</v>
      </c>
      <c r="I38" s="55">
        <f t="shared" si="14"/>
        <v>0</v>
      </c>
      <c r="K38" s="52">
        <f t="shared" ref="K38:R38" si="15">SUM(K36+K31+K26+K21+K16)</f>
        <v>66</v>
      </c>
      <c r="L38" s="53">
        <f t="shared" si="15"/>
        <v>5</v>
      </c>
      <c r="M38" s="53">
        <f t="shared" si="15"/>
        <v>1</v>
      </c>
      <c r="N38" s="53">
        <f t="shared" si="15"/>
        <v>0</v>
      </c>
      <c r="O38" s="53">
        <f t="shared" si="15"/>
        <v>0</v>
      </c>
      <c r="P38" s="53">
        <f t="shared" si="15"/>
        <v>0</v>
      </c>
      <c r="Q38" s="54">
        <f t="shared" si="15"/>
        <v>2</v>
      </c>
      <c r="R38" s="55">
        <f t="shared" si="15"/>
        <v>74</v>
      </c>
      <c r="T38" s="52">
        <f t="shared" ref="T38:AA38" si="16">SUM(T36+T31+T26+T21+T16)</f>
        <v>3020</v>
      </c>
      <c r="U38" s="53">
        <f t="shared" si="16"/>
        <v>244</v>
      </c>
      <c r="V38" s="53">
        <f t="shared" si="16"/>
        <v>15</v>
      </c>
      <c r="W38" s="53">
        <f t="shared" si="16"/>
        <v>4</v>
      </c>
      <c r="X38" s="53">
        <f t="shared" si="16"/>
        <v>93</v>
      </c>
      <c r="Y38" s="53">
        <f t="shared" si="16"/>
        <v>19</v>
      </c>
      <c r="Z38" s="54">
        <f t="shared" si="16"/>
        <v>18</v>
      </c>
      <c r="AA38" s="55">
        <f t="shared" si="16"/>
        <v>3413</v>
      </c>
      <c r="AC38" s="55">
        <f>SUM(AC36+AC31+AC26+AC21+AC16)</f>
        <v>3487</v>
      </c>
    </row>
    <row r="39" spans="1:29" s="102" customFormat="1" ht="15.75" customHeight="1">
      <c r="A39" s="102" t="s">
        <v>56</v>
      </c>
      <c r="I39" s="102">
        <f>SUM(B12:H15,B17:H20,B22:H25,B27:H30,B32:H35)</f>
        <v>0</v>
      </c>
      <c r="R39" s="102">
        <f>SUM(K12:Q15,K17:Q20,K22:Q25,K27:Q30,K32:Q35)</f>
        <v>74</v>
      </c>
      <c r="AA39" s="102">
        <f>SUM(T12:Z15,T17:Z20,T22:Z25,T27:Z30,T32:Z35)</f>
        <v>3413</v>
      </c>
      <c r="AC39" s="102">
        <f>SUM(B39:AA39)</f>
        <v>3487</v>
      </c>
    </row>
    <row r="40" spans="1:29" ht="15.75" customHeight="1">
      <c r="A40" s="51" t="s">
        <v>13</v>
      </c>
      <c r="B40" s="51" t="str">
        <f>$M$9</f>
        <v>B - Drummond Road</v>
      </c>
    </row>
    <row r="41" spans="1:29" ht="15.75" customHeight="1">
      <c r="B41" s="52" t="s">
        <v>14</v>
      </c>
      <c r="C41" s="53"/>
      <c r="D41" s="53" t="str">
        <f>$D$9</f>
        <v>A - Fishponds Road (E)</v>
      </c>
      <c r="E41" s="53"/>
      <c r="F41" s="53"/>
      <c r="G41" s="53"/>
      <c r="H41" s="54"/>
      <c r="I41" s="55"/>
      <c r="K41" s="52" t="s">
        <v>14</v>
      </c>
      <c r="L41" s="53"/>
      <c r="M41" s="53" t="str">
        <f>$M$9</f>
        <v>B - Drummond Road</v>
      </c>
      <c r="N41" s="53"/>
      <c r="O41" s="53"/>
      <c r="P41" s="53"/>
      <c r="Q41" s="54"/>
      <c r="R41" s="55"/>
      <c r="T41" s="52" t="s">
        <v>14</v>
      </c>
      <c r="U41" s="53"/>
      <c r="V41" s="53" t="str">
        <f>$V$9</f>
        <v>C - Fishponds Road (W)</v>
      </c>
      <c r="W41" s="53"/>
      <c r="X41" s="53"/>
      <c r="Y41" s="53"/>
      <c r="Z41" s="54"/>
      <c r="AA41" s="55"/>
      <c r="AC41" s="116" t="s">
        <v>23</v>
      </c>
    </row>
    <row r="42" spans="1:29" s="56" customFormat="1" ht="15.75" customHeight="1">
      <c r="B42" s="57" t="str">
        <f>$B$10</f>
        <v>CAR</v>
      </c>
      <c r="C42" s="58" t="str">
        <f>$C$10</f>
        <v>LGV</v>
      </c>
      <c r="D42" s="58" t="str">
        <f>$D$10</f>
        <v>OGV1</v>
      </c>
      <c r="E42" s="58" t="str">
        <f>$E$10</f>
        <v>OGV2</v>
      </c>
      <c r="F42" s="58" t="str">
        <f>$F$10</f>
        <v>PSV</v>
      </c>
      <c r="G42" s="58" t="str">
        <f>$G$10</f>
        <v>MC</v>
      </c>
      <c r="H42" s="59" t="str">
        <f>$H$10</f>
        <v>PC</v>
      </c>
      <c r="I42" s="103" t="s">
        <v>22</v>
      </c>
      <c r="K42" s="57" t="str">
        <f>$B$10</f>
        <v>CAR</v>
      </c>
      <c r="L42" s="58" t="str">
        <f>$C$10</f>
        <v>LGV</v>
      </c>
      <c r="M42" s="58" t="str">
        <f>$D$10</f>
        <v>OGV1</v>
      </c>
      <c r="N42" s="58" t="str">
        <f>$E$10</f>
        <v>OGV2</v>
      </c>
      <c r="O42" s="58" t="str">
        <f>$F$10</f>
        <v>PSV</v>
      </c>
      <c r="P42" s="58" t="str">
        <f>$G$10</f>
        <v>MC</v>
      </c>
      <c r="Q42" s="59" t="str">
        <f>$H$10</f>
        <v>PC</v>
      </c>
      <c r="R42" s="103" t="s">
        <v>22</v>
      </c>
      <c r="T42" s="57" t="str">
        <f>$B$10</f>
        <v>CAR</v>
      </c>
      <c r="U42" s="58" t="str">
        <f>$C$10</f>
        <v>LGV</v>
      </c>
      <c r="V42" s="58" t="str">
        <f>$D$10</f>
        <v>OGV1</v>
      </c>
      <c r="W42" s="58" t="str">
        <f>$E$10</f>
        <v>OGV2</v>
      </c>
      <c r="X42" s="58" t="str">
        <f>$F$10</f>
        <v>PSV</v>
      </c>
      <c r="Y42" s="58" t="str">
        <f>$G$10</f>
        <v>MC</v>
      </c>
      <c r="Z42" s="59" t="str">
        <f>$H$10</f>
        <v>PC</v>
      </c>
      <c r="AA42" s="103" t="s">
        <v>22</v>
      </c>
      <c r="AC42" s="117"/>
    </row>
    <row r="44" spans="1:29" ht="15.75" customHeight="1">
      <c r="A44" s="104">
        <v>0.45833333333333331</v>
      </c>
      <c r="B44" s="38">
        <v>5</v>
      </c>
      <c r="C44" s="39">
        <v>0</v>
      </c>
      <c r="D44" s="39">
        <v>0</v>
      </c>
      <c r="E44" s="39">
        <v>0</v>
      </c>
      <c r="F44" s="39">
        <v>0</v>
      </c>
      <c r="G44" s="39">
        <v>0</v>
      </c>
      <c r="H44" s="40">
        <v>0</v>
      </c>
      <c r="I44" s="105">
        <f>SUM(B44:H44)</f>
        <v>5</v>
      </c>
      <c r="K44" s="38">
        <v>0</v>
      </c>
      <c r="L44" s="39">
        <v>0</v>
      </c>
      <c r="M44" s="39">
        <v>0</v>
      </c>
      <c r="N44" s="39">
        <v>0</v>
      </c>
      <c r="O44" s="39">
        <v>0</v>
      </c>
      <c r="P44" s="39">
        <v>0</v>
      </c>
      <c r="Q44" s="40">
        <v>0</v>
      </c>
      <c r="R44" s="105">
        <f>SUM(K44:Q44)</f>
        <v>0</v>
      </c>
      <c r="T44" s="38">
        <v>1</v>
      </c>
      <c r="U44" s="39">
        <v>0</v>
      </c>
      <c r="V44" s="39">
        <v>0</v>
      </c>
      <c r="W44" s="39">
        <v>0</v>
      </c>
      <c r="X44" s="39">
        <v>0</v>
      </c>
      <c r="Y44" s="39">
        <v>0</v>
      </c>
      <c r="Z44" s="40">
        <v>0</v>
      </c>
      <c r="AA44" s="105">
        <f>SUM(T44:Z44)</f>
        <v>1</v>
      </c>
      <c r="AC44" s="105">
        <f>SUM(I44+R44+AA44)</f>
        <v>6</v>
      </c>
    </row>
    <row r="45" spans="1:29" ht="15.75" customHeight="1">
      <c r="A45" s="106">
        <v>0.46875</v>
      </c>
      <c r="B45" s="42">
        <v>3</v>
      </c>
      <c r="C45" s="43">
        <v>0</v>
      </c>
      <c r="D45" s="43">
        <v>0</v>
      </c>
      <c r="E45" s="43">
        <v>0</v>
      </c>
      <c r="F45" s="43">
        <v>0</v>
      </c>
      <c r="G45" s="43">
        <v>0</v>
      </c>
      <c r="H45" s="46">
        <v>0</v>
      </c>
      <c r="I45" s="107">
        <f>SUM(B45:H45)</f>
        <v>3</v>
      </c>
      <c r="K45" s="42">
        <v>0</v>
      </c>
      <c r="L45" s="43">
        <v>0</v>
      </c>
      <c r="M45" s="43">
        <v>0</v>
      </c>
      <c r="N45" s="43">
        <v>0</v>
      </c>
      <c r="O45" s="43">
        <v>0</v>
      </c>
      <c r="P45" s="43">
        <v>0</v>
      </c>
      <c r="Q45" s="46">
        <v>0</v>
      </c>
      <c r="R45" s="107">
        <f>SUM(K45:Q45)</f>
        <v>0</v>
      </c>
      <c r="T45" s="42">
        <v>4</v>
      </c>
      <c r="U45" s="43">
        <v>1</v>
      </c>
      <c r="V45" s="43">
        <v>0</v>
      </c>
      <c r="W45" s="43">
        <v>0</v>
      </c>
      <c r="X45" s="43">
        <v>0</v>
      </c>
      <c r="Y45" s="43">
        <v>0</v>
      </c>
      <c r="Z45" s="46">
        <v>0</v>
      </c>
      <c r="AA45" s="107">
        <f>SUM(T45:Z45)</f>
        <v>5</v>
      </c>
      <c r="AC45" s="107">
        <f>SUM(I45+R45+AA45)</f>
        <v>8</v>
      </c>
    </row>
    <row r="46" spans="1:29" ht="15.75" customHeight="1">
      <c r="A46" s="106">
        <v>0.47916666666666669</v>
      </c>
      <c r="B46" s="42">
        <v>4</v>
      </c>
      <c r="C46" s="43">
        <v>1</v>
      </c>
      <c r="D46" s="43">
        <v>1</v>
      </c>
      <c r="E46" s="43">
        <v>0</v>
      </c>
      <c r="F46" s="43">
        <v>0</v>
      </c>
      <c r="G46" s="43">
        <v>0</v>
      </c>
      <c r="H46" s="46">
        <v>0</v>
      </c>
      <c r="I46" s="107">
        <f>SUM(B46:H46)</f>
        <v>6</v>
      </c>
      <c r="K46" s="42">
        <v>0</v>
      </c>
      <c r="L46" s="43">
        <v>0</v>
      </c>
      <c r="M46" s="43">
        <v>0</v>
      </c>
      <c r="N46" s="43">
        <v>0</v>
      </c>
      <c r="O46" s="43">
        <v>0</v>
      </c>
      <c r="P46" s="43">
        <v>0</v>
      </c>
      <c r="Q46" s="46">
        <v>0</v>
      </c>
      <c r="R46" s="107">
        <f>SUM(K46:Q46)</f>
        <v>0</v>
      </c>
      <c r="T46" s="42">
        <v>2</v>
      </c>
      <c r="U46" s="43">
        <v>0</v>
      </c>
      <c r="V46" s="43">
        <v>0</v>
      </c>
      <c r="W46" s="43">
        <v>0</v>
      </c>
      <c r="X46" s="43">
        <v>0</v>
      </c>
      <c r="Y46" s="43">
        <v>0</v>
      </c>
      <c r="Z46" s="46">
        <v>0</v>
      </c>
      <c r="AA46" s="107">
        <f>SUM(T46:Z46)</f>
        <v>2</v>
      </c>
      <c r="AC46" s="107">
        <f>SUM(I46+R46+AA46)</f>
        <v>8</v>
      </c>
    </row>
    <row r="47" spans="1:29" ht="15.75" customHeight="1">
      <c r="A47" s="108">
        <v>0.48958333333333331</v>
      </c>
      <c r="B47" s="48">
        <v>6</v>
      </c>
      <c r="C47" s="49">
        <v>1</v>
      </c>
      <c r="D47" s="49">
        <v>0</v>
      </c>
      <c r="E47" s="49">
        <v>0</v>
      </c>
      <c r="F47" s="49">
        <v>0</v>
      </c>
      <c r="G47" s="49">
        <v>0</v>
      </c>
      <c r="H47" s="50">
        <v>0</v>
      </c>
      <c r="I47" s="109">
        <f>SUM(B47:H47)</f>
        <v>7</v>
      </c>
      <c r="K47" s="48">
        <v>0</v>
      </c>
      <c r="L47" s="49">
        <v>0</v>
      </c>
      <c r="M47" s="49">
        <v>0</v>
      </c>
      <c r="N47" s="49">
        <v>0</v>
      </c>
      <c r="O47" s="49">
        <v>0</v>
      </c>
      <c r="P47" s="49">
        <v>0</v>
      </c>
      <c r="Q47" s="50">
        <v>0</v>
      </c>
      <c r="R47" s="109">
        <f>SUM(K47:Q47)</f>
        <v>0</v>
      </c>
      <c r="T47" s="48">
        <v>3</v>
      </c>
      <c r="U47" s="49">
        <v>0</v>
      </c>
      <c r="V47" s="49">
        <v>0</v>
      </c>
      <c r="W47" s="49">
        <v>0</v>
      </c>
      <c r="X47" s="49">
        <v>0</v>
      </c>
      <c r="Y47" s="49">
        <v>0</v>
      </c>
      <c r="Z47" s="50">
        <v>0</v>
      </c>
      <c r="AA47" s="109">
        <f>SUM(T47:Z47)</f>
        <v>3</v>
      </c>
      <c r="AC47" s="109">
        <f>SUM(I47+R47+AA47)</f>
        <v>10</v>
      </c>
    </row>
    <row r="48" spans="1:29" ht="15.75" customHeight="1">
      <c r="A48" s="55" t="s">
        <v>24</v>
      </c>
      <c r="B48" s="52">
        <f t="shared" ref="B48:I48" si="17">SUM(B44:B47)</f>
        <v>18</v>
      </c>
      <c r="C48" s="53">
        <f t="shared" si="17"/>
        <v>2</v>
      </c>
      <c r="D48" s="53">
        <f t="shared" si="17"/>
        <v>1</v>
      </c>
      <c r="E48" s="53">
        <f t="shared" si="17"/>
        <v>0</v>
      </c>
      <c r="F48" s="53">
        <f t="shared" si="17"/>
        <v>0</v>
      </c>
      <c r="G48" s="53">
        <f t="shared" si="17"/>
        <v>0</v>
      </c>
      <c r="H48" s="54">
        <f t="shared" si="17"/>
        <v>0</v>
      </c>
      <c r="I48" s="55">
        <f t="shared" si="17"/>
        <v>21</v>
      </c>
      <c r="K48" s="52">
        <f t="shared" ref="K48:R48" si="18">SUM(K44:K47)</f>
        <v>0</v>
      </c>
      <c r="L48" s="53">
        <f t="shared" si="18"/>
        <v>0</v>
      </c>
      <c r="M48" s="53">
        <f t="shared" si="18"/>
        <v>0</v>
      </c>
      <c r="N48" s="53">
        <f t="shared" si="18"/>
        <v>0</v>
      </c>
      <c r="O48" s="53">
        <f t="shared" si="18"/>
        <v>0</v>
      </c>
      <c r="P48" s="53">
        <f t="shared" si="18"/>
        <v>0</v>
      </c>
      <c r="Q48" s="54">
        <f t="shared" si="18"/>
        <v>0</v>
      </c>
      <c r="R48" s="55">
        <f t="shared" si="18"/>
        <v>0</v>
      </c>
      <c r="T48" s="52">
        <f t="shared" ref="T48:AA48" si="19">SUM(T44:T47)</f>
        <v>10</v>
      </c>
      <c r="U48" s="53">
        <f t="shared" si="19"/>
        <v>1</v>
      </c>
      <c r="V48" s="53">
        <f t="shared" si="19"/>
        <v>0</v>
      </c>
      <c r="W48" s="53">
        <f t="shared" si="19"/>
        <v>0</v>
      </c>
      <c r="X48" s="53">
        <f t="shared" si="19"/>
        <v>0</v>
      </c>
      <c r="Y48" s="53">
        <f t="shared" si="19"/>
        <v>0</v>
      </c>
      <c r="Z48" s="54">
        <f t="shared" si="19"/>
        <v>0</v>
      </c>
      <c r="AA48" s="55">
        <f t="shared" si="19"/>
        <v>11</v>
      </c>
      <c r="AC48" s="55">
        <f>SUM(AC44:AC47)</f>
        <v>32</v>
      </c>
    </row>
    <row r="49" spans="1:29" ht="15.75" customHeight="1">
      <c r="A49" s="104">
        <v>0.5</v>
      </c>
      <c r="B49" s="38">
        <v>4</v>
      </c>
      <c r="C49" s="39">
        <v>1</v>
      </c>
      <c r="D49" s="39">
        <v>0</v>
      </c>
      <c r="E49" s="39">
        <v>0</v>
      </c>
      <c r="F49" s="39">
        <v>0</v>
      </c>
      <c r="G49" s="39">
        <v>0</v>
      </c>
      <c r="H49" s="40">
        <v>0</v>
      </c>
      <c r="I49" s="105">
        <f>SUM(B49:H49)</f>
        <v>5</v>
      </c>
      <c r="K49" s="38">
        <v>0</v>
      </c>
      <c r="L49" s="39">
        <v>0</v>
      </c>
      <c r="M49" s="39">
        <v>0</v>
      </c>
      <c r="N49" s="39">
        <v>0</v>
      </c>
      <c r="O49" s="39">
        <v>0</v>
      </c>
      <c r="P49" s="39">
        <v>0</v>
      </c>
      <c r="Q49" s="40">
        <v>0</v>
      </c>
      <c r="R49" s="105">
        <f>SUM(K49:Q49)</f>
        <v>0</v>
      </c>
      <c r="T49" s="38">
        <v>0</v>
      </c>
      <c r="U49" s="39">
        <v>0</v>
      </c>
      <c r="V49" s="39">
        <v>0</v>
      </c>
      <c r="W49" s="39">
        <v>0</v>
      </c>
      <c r="X49" s="39">
        <v>0</v>
      </c>
      <c r="Y49" s="39">
        <v>0</v>
      </c>
      <c r="Z49" s="40">
        <v>0</v>
      </c>
      <c r="AA49" s="105">
        <f>SUM(T49:Z49)</f>
        <v>0</v>
      </c>
      <c r="AC49" s="105">
        <f>SUM(I49+R49+AA49)</f>
        <v>5</v>
      </c>
    </row>
    <row r="50" spans="1:29" ht="15.75" customHeight="1">
      <c r="A50" s="106">
        <v>0.51041666666666663</v>
      </c>
      <c r="B50" s="42">
        <v>3</v>
      </c>
      <c r="C50" s="43">
        <v>1</v>
      </c>
      <c r="D50" s="43">
        <v>0</v>
      </c>
      <c r="E50" s="43">
        <v>0</v>
      </c>
      <c r="F50" s="43">
        <v>0</v>
      </c>
      <c r="G50" s="43">
        <v>0</v>
      </c>
      <c r="H50" s="46">
        <v>0</v>
      </c>
      <c r="I50" s="107">
        <f>SUM(B50:H50)</f>
        <v>4</v>
      </c>
      <c r="K50" s="42">
        <v>0</v>
      </c>
      <c r="L50" s="43">
        <v>0</v>
      </c>
      <c r="M50" s="43">
        <v>0</v>
      </c>
      <c r="N50" s="43">
        <v>0</v>
      </c>
      <c r="O50" s="43">
        <v>0</v>
      </c>
      <c r="P50" s="43">
        <v>0</v>
      </c>
      <c r="Q50" s="46">
        <v>0</v>
      </c>
      <c r="R50" s="107">
        <f>SUM(K50:Q50)</f>
        <v>0</v>
      </c>
      <c r="T50" s="42">
        <v>2</v>
      </c>
      <c r="U50" s="43">
        <v>1</v>
      </c>
      <c r="V50" s="43">
        <v>0</v>
      </c>
      <c r="W50" s="43">
        <v>0</v>
      </c>
      <c r="X50" s="43">
        <v>0</v>
      </c>
      <c r="Y50" s="43">
        <v>0</v>
      </c>
      <c r="Z50" s="46">
        <v>0</v>
      </c>
      <c r="AA50" s="107">
        <f>SUM(T50:Z50)</f>
        <v>3</v>
      </c>
      <c r="AC50" s="107">
        <f>SUM(I50+R50+AA50)</f>
        <v>7</v>
      </c>
    </row>
    <row r="51" spans="1:29" ht="15.75" customHeight="1">
      <c r="A51" s="106">
        <v>0.52083333333333337</v>
      </c>
      <c r="B51" s="42">
        <v>4</v>
      </c>
      <c r="C51" s="43">
        <v>2</v>
      </c>
      <c r="D51" s="43">
        <v>0</v>
      </c>
      <c r="E51" s="43">
        <v>0</v>
      </c>
      <c r="F51" s="43">
        <v>0</v>
      </c>
      <c r="G51" s="43">
        <v>0</v>
      </c>
      <c r="H51" s="46">
        <v>0</v>
      </c>
      <c r="I51" s="107">
        <f>SUM(B51:H51)</f>
        <v>6</v>
      </c>
      <c r="K51" s="42">
        <v>0</v>
      </c>
      <c r="L51" s="43">
        <v>0</v>
      </c>
      <c r="M51" s="43">
        <v>0</v>
      </c>
      <c r="N51" s="43">
        <v>0</v>
      </c>
      <c r="O51" s="43">
        <v>0</v>
      </c>
      <c r="P51" s="43">
        <v>0</v>
      </c>
      <c r="Q51" s="46">
        <v>0</v>
      </c>
      <c r="R51" s="107">
        <f>SUM(K51:Q51)</f>
        <v>0</v>
      </c>
      <c r="T51" s="42">
        <v>3</v>
      </c>
      <c r="U51" s="43">
        <v>1</v>
      </c>
      <c r="V51" s="43">
        <v>0</v>
      </c>
      <c r="W51" s="43">
        <v>0</v>
      </c>
      <c r="X51" s="43">
        <v>0</v>
      </c>
      <c r="Y51" s="43">
        <v>0</v>
      </c>
      <c r="Z51" s="46">
        <v>0</v>
      </c>
      <c r="AA51" s="107">
        <f>SUM(T51:Z51)</f>
        <v>4</v>
      </c>
      <c r="AC51" s="107">
        <f>SUM(I51+R51+AA51)</f>
        <v>10</v>
      </c>
    </row>
    <row r="52" spans="1:29" ht="15.75" customHeight="1">
      <c r="A52" s="108">
        <v>0.53125</v>
      </c>
      <c r="B52" s="48">
        <v>3</v>
      </c>
      <c r="C52" s="49">
        <v>0</v>
      </c>
      <c r="D52" s="49">
        <v>0</v>
      </c>
      <c r="E52" s="49">
        <v>0</v>
      </c>
      <c r="F52" s="49">
        <v>0</v>
      </c>
      <c r="G52" s="49">
        <v>0</v>
      </c>
      <c r="H52" s="50">
        <v>0</v>
      </c>
      <c r="I52" s="109">
        <f>SUM(B52:H52)</f>
        <v>3</v>
      </c>
      <c r="K52" s="48">
        <v>0</v>
      </c>
      <c r="L52" s="49">
        <v>0</v>
      </c>
      <c r="M52" s="49">
        <v>0</v>
      </c>
      <c r="N52" s="49">
        <v>0</v>
      </c>
      <c r="O52" s="49">
        <v>0</v>
      </c>
      <c r="P52" s="49">
        <v>0</v>
      </c>
      <c r="Q52" s="50">
        <v>0</v>
      </c>
      <c r="R52" s="109">
        <f>SUM(K52:Q52)</f>
        <v>0</v>
      </c>
      <c r="T52" s="48">
        <v>0</v>
      </c>
      <c r="U52" s="49">
        <v>0</v>
      </c>
      <c r="V52" s="49">
        <v>0</v>
      </c>
      <c r="W52" s="49">
        <v>0</v>
      </c>
      <c r="X52" s="49">
        <v>0</v>
      </c>
      <c r="Y52" s="49">
        <v>0</v>
      </c>
      <c r="Z52" s="50">
        <v>0</v>
      </c>
      <c r="AA52" s="109">
        <f>SUM(T52:Z52)</f>
        <v>0</v>
      </c>
      <c r="AC52" s="109">
        <f>SUM(I52+R52+AA52)</f>
        <v>3</v>
      </c>
    </row>
    <row r="53" spans="1:29" ht="15.75" customHeight="1">
      <c r="A53" s="55" t="s">
        <v>24</v>
      </c>
      <c r="B53" s="52">
        <f t="shared" ref="B53:I53" si="20">SUM(B49:B52)</f>
        <v>14</v>
      </c>
      <c r="C53" s="53">
        <f t="shared" si="20"/>
        <v>4</v>
      </c>
      <c r="D53" s="53">
        <f t="shared" si="20"/>
        <v>0</v>
      </c>
      <c r="E53" s="53">
        <f t="shared" si="20"/>
        <v>0</v>
      </c>
      <c r="F53" s="53">
        <f t="shared" si="20"/>
        <v>0</v>
      </c>
      <c r="G53" s="53">
        <f t="shared" si="20"/>
        <v>0</v>
      </c>
      <c r="H53" s="54">
        <f t="shared" si="20"/>
        <v>0</v>
      </c>
      <c r="I53" s="55">
        <f t="shared" si="20"/>
        <v>18</v>
      </c>
      <c r="K53" s="52">
        <f t="shared" ref="K53:R53" si="21">SUM(K49:K52)</f>
        <v>0</v>
      </c>
      <c r="L53" s="53">
        <f t="shared" si="21"/>
        <v>0</v>
      </c>
      <c r="M53" s="53">
        <f t="shared" si="21"/>
        <v>0</v>
      </c>
      <c r="N53" s="53">
        <f t="shared" si="21"/>
        <v>0</v>
      </c>
      <c r="O53" s="53">
        <f t="shared" si="21"/>
        <v>0</v>
      </c>
      <c r="P53" s="53">
        <f t="shared" si="21"/>
        <v>0</v>
      </c>
      <c r="Q53" s="54">
        <f t="shared" si="21"/>
        <v>0</v>
      </c>
      <c r="R53" s="55">
        <f t="shared" si="21"/>
        <v>0</v>
      </c>
      <c r="T53" s="52">
        <f t="shared" ref="T53:AA53" si="22">SUM(T49:T52)</f>
        <v>5</v>
      </c>
      <c r="U53" s="53">
        <f t="shared" si="22"/>
        <v>2</v>
      </c>
      <c r="V53" s="53">
        <f t="shared" si="22"/>
        <v>0</v>
      </c>
      <c r="W53" s="53">
        <f t="shared" si="22"/>
        <v>0</v>
      </c>
      <c r="X53" s="53">
        <f t="shared" si="22"/>
        <v>0</v>
      </c>
      <c r="Y53" s="53">
        <f t="shared" si="22"/>
        <v>0</v>
      </c>
      <c r="Z53" s="54">
        <f t="shared" si="22"/>
        <v>0</v>
      </c>
      <c r="AA53" s="55">
        <f t="shared" si="22"/>
        <v>7</v>
      </c>
      <c r="AC53" s="55">
        <f>SUM(AC49:AC52)</f>
        <v>25</v>
      </c>
    </row>
    <row r="54" spans="1:29" ht="15.75" customHeight="1">
      <c r="A54" s="104">
        <v>0.54166666666666663</v>
      </c>
      <c r="B54" s="38">
        <v>6</v>
      </c>
      <c r="C54" s="39">
        <v>0</v>
      </c>
      <c r="D54" s="39">
        <v>0</v>
      </c>
      <c r="E54" s="39">
        <v>0</v>
      </c>
      <c r="F54" s="39">
        <v>0</v>
      </c>
      <c r="G54" s="39">
        <v>0</v>
      </c>
      <c r="H54" s="40">
        <v>0</v>
      </c>
      <c r="I54" s="105">
        <f>SUM(B54:H54)</f>
        <v>6</v>
      </c>
      <c r="K54" s="38">
        <v>0</v>
      </c>
      <c r="L54" s="39">
        <v>0</v>
      </c>
      <c r="M54" s="39">
        <v>0</v>
      </c>
      <c r="N54" s="39">
        <v>0</v>
      </c>
      <c r="O54" s="39">
        <v>0</v>
      </c>
      <c r="P54" s="39">
        <v>0</v>
      </c>
      <c r="Q54" s="40">
        <v>0</v>
      </c>
      <c r="R54" s="105">
        <f>SUM(K54:Q54)</f>
        <v>0</v>
      </c>
      <c r="T54" s="38">
        <v>4</v>
      </c>
      <c r="U54" s="39">
        <v>1</v>
      </c>
      <c r="V54" s="39">
        <v>0</v>
      </c>
      <c r="W54" s="39">
        <v>0</v>
      </c>
      <c r="X54" s="39">
        <v>0</v>
      </c>
      <c r="Y54" s="39">
        <v>0</v>
      </c>
      <c r="Z54" s="40">
        <v>0</v>
      </c>
      <c r="AA54" s="105">
        <f>SUM(T54:Z54)</f>
        <v>5</v>
      </c>
      <c r="AC54" s="105">
        <f>SUM(I54+R54+AA54)</f>
        <v>11</v>
      </c>
    </row>
    <row r="55" spans="1:29" ht="15.75" customHeight="1">
      <c r="A55" s="106">
        <v>0.55208333333333337</v>
      </c>
      <c r="B55" s="42">
        <v>3</v>
      </c>
      <c r="C55" s="43">
        <v>0</v>
      </c>
      <c r="D55" s="43">
        <v>0</v>
      </c>
      <c r="E55" s="43">
        <v>0</v>
      </c>
      <c r="F55" s="43">
        <v>0</v>
      </c>
      <c r="G55" s="43">
        <v>0</v>
      </c>
      <c r="H55" s="46">
        <v>0</v>
      </c>
      <c r="I55" s="107">
        <f>SUM(B55:H55)</f>
        <v>3</v>
      </c>
      <c r="K55" s="42">
        <v>0</v>
      </c>
      <c r="L55" s="43">
        <v>0</v>
      </c>
      <c r="M55" s="43">
        <v>0</v>
      </c>
      <c r="N55" s="43">
        <v>0</v>
      </c>
      <c r="O55" s="43">
        <v>0</v>
      </c>
      <c r="P55" s="43">
        <v>0</v>
      </c>
      <c r="Q55" s="46">
        <v>0</v>
      </c>
      <c r="R55" s="107">
        <f>SUM(K55:Q55)</f>
        <v>0</v>
      </c>
      <c r="T55" s="42">
        <v>4</v>
      </c>
      <c r="U55" s="43">
        <v>0</v>
      </c>
      <c r="V55" s="43">
        <v>0</v>
      </c>
      <c r="W55" s="43">
        <v>0</v>
      </c>
      <c r="X55" s="43">
        <v>0</v>
      </c>
      <c r="Y55" s="43">
        <v>0</v>
      </c>
      <c r="Z55" s="46">
        <v>0</v>
      </c>
      <c r="AA55" s="107">
        <f>SUM(T55:Z55)</f>
        <v>4</v>
      </c>
      <c r="AC55" s="107">
        <f>SUM(I55+R55+AA55)</f>
        <v>7</v>
      </c>
    </row>
    <row r="56" spans="1:29" ht="15.75" customHeight="1">
      <c r="A56" s="106">
        <v>0.5625</v>
      </c>
      <c r="B56" s="42">
        <v>3</v>
      </c>
      <c r="C56" s="43">
        <v>0</v>
      </c>
      <c r="D56" s="43">
        <v>0</v>
      </c>
      <c r="E56" s="43">
        <v>0</v>
      </c>
      <c r="F56" s="43">
        <v>0</v>
      </c>
      <c r="G56" s="43">
        <v>0</v>
      </c>
      <c r="H56" s="46">
        <v>0</v>
      </c>
      <c r="I56" s="107">
        <f>SUM(B56:H56)</f>
        <v>3</v>
      </c>
      <c r="K56" s="42">
        <v>0</v>
      </c>
      <c r="L56" s="43">
        <v>0</v>
      </c>
      <c r="M56" s="43">
        <v>0</v>
      </c>
      <c r="N56" s="43">
        <v>0</v>
      </c>
      <c r="O56" s="43">
        <v>0</v>
      </c>
      <c r="P56" s="43">
        <v>0</v>
      </c>
      <c r="Q56" s="46">
        <v>0</v>
      </c>
      <c r="R56" s="107">
        <f>SUM(K56:Q56)</f>
        <v>0</v>
      </c>
      <c r="T56" s="42">
        <v>0</v>
      </c>
      <c r="U56" s="43">
        <v>0</v>
      </c>
      <c r="V56" s="43">
        <v>0</v>
      </c>
      <c r="W56" s="43">
        <v>0</v>
      </c>
      <c r="X56" s="43">
        <v>0</v>
      </c>
      <c r="Y56" s="43">
        <v>0</v>
      </c>
      <c r="Z56" s="46">
        <v>0</v>
      </c>
      <c r="AA56" s="107">
        <f>SUM(T56:Z56)</f>
        <v>0</v>
      </c>
      <c r="AC56" s="107">
        <f>SUM(I56+R56+AA56)</f>
        <v>3</v>
      </c>
    </row>
    <row r="57" spans="1:29" ht="15.75" customHeight="1">
      <c r="A57" s="108">
        <v>0.57291666666666663</v>
      </c>
      <c r="B57" s="48">
        <v>3</v>
      </c>
      <c r="C57" s="49">
        <v>0</v>
      </c>
      <c r="D57" s="49">
        <v>0</v>
      </c>
      <c r="E57" s="49">
        <v>0</v>
      </c>
      <c r="F57" s="49">
        <v>0</v>
      </c>
      <c r="G57" s="49">
        <v>0</v>
      </c>
      <c r="H57" s="50">
        <v>0</v>
      </c>
      <c r="I57" s="109">
        <f>SUM(B57:H57)</f>
        <v>3</v>
      </c>
      <c r="K57" s="48">
        <v>0</v>
      </c>
      <c r="L57" s="49">
        <v>0</v>
      </c>
      <c r="M57" s="49">
        <v>0</v>
      </c>
      <c r="N57" s="49">
        <v>0</v>
      </c>
      <c r="O57" s="49">
        <v>0</v>
      </c>
      <c r="P57" s="49">
        <v>0</v>
      </c>
      <c r="Q57" s="50">
        <v>0</v>
      </c>
      <c r="R57" s="109">
        <f>SUM(K57:Q57)</f>
        <v>0</v>
      </c>
      <c r="T57" s="48">
        <v>4</v>
      </c>
      <c r="U57" s="49">
        <v>1</v>
      </c>
      <c r="V57" s="49">
        <v>0</v>
      </c>
      <c r="W57" s="49">
        <v>0</v>
      </c>
      <c r="X57" s="49">
        <v>0</v>
      </c>
      <c r="Y57" s="49">
        <v>0</v>
      </c>
      <c r="Z57" s="50">
        <v>0</v>
      </c>
      <c r="AA57" s="109">
        <f>SUM(T57:Z57)</f>
        <v>5</v>
      </c>
      <c r="AC57" s="109">
        <f>SUM(I57+R57+AA57)</f>
        <v>8</v>
      </c>
    </row>
    <row r="58" spans="1:29" ht="15.75" customHeight="1">
      <c r="A58" s="55" t="s">
        <v>24</v>
      </c>
      <c r="B58" s="52">
        <f t="shared" ref="B58:I58" si="23">SUM(B54:B57)</f>
        <v>15</v>
      </c>
      <c r="C58" s="53">
        <f t="shared" si="23"/>
        <v>0</v>
      </c>
      <c r="D58" s="53">
        <f t="shared" si="23"/>
        <v>0</v>
      </c>
      <c r="E58" s="53">
        <f t="shared" si="23"/>
        <v>0</v>
      </c>
      <c r="F58" s="53">
        <f t="shared" si="23"/>
        <v>0</v>
      </c>
      <c r="G58" s="53">
        <f t="shared" si="23"/>
        <v>0</v>
      </c>
      <c r="H58" s="54">
        <f t="shared" si="23"/>
        <v>0</v>
      </c>
      <c r="I58" s="55">
        <f t="shared" si="23"/>
        <v>15</v>
      </c>
      <c r="K58" s="52">
        <f t="shared" ref="K58:R58" si="24">SUM(K54:K57)</f>
        <v>0</v>
      </c>
      <c r="L58" s="53">
        <f t="shared" si="24"/>
        <v>0</v>
      </c>
      <c r="M58" s="53">
        <f t="shared" si="24"/>
        <v>0</v>
      </c>
      <c r="N58" s="53">
        <f t="shared" si="24"/>
        <v>0</v>
      </c>
      <c r="O58" s="53">
        <f t="shared" si="24"/>
        <v>0</v>
      </c>
      <c r="P58" s="53">
        <f t="shared" si="24"/>
        <v>0</v>
      </c>
      <c r="Q58" s="54">
        <f t="shared" si="24"/>
        <v>0</v>
      </c>
      <c r="R58" s="55">
        <f t="shared" si="24"/>
        <v>0</v>
      </c>
      <c r="T58" s="52">
        <f t="shared" ref="T58:AA58" si="25">SUM(T54:T57)</f>
        <v>12</v>
      </c>
      <c r="U58" s="53">
        <f t="shared" si="25"/>
        <v>2</v>
      </c>
      <c r="V58" s="53">
        <f t="shared" si="25"/>
        <v>0</v>
      </c>
      <c r="W58" s="53">
        <f t="shared" si="25"/>
        <v>0</v>
      </c>
      <c r="X58" s="53">
        <f t="shared" si="25"/>
        <v>0</v>
      </c>
      <c r="Y58" s="53">
        <f t="shared" si="25"/>
        <v>0</v>
      </c>
      <c r="Z58" s="54">
        <f t="shared" si="25"/>
        <v>0</v>
      </c>
      <c r="AA58" s="55">
        <f t="shared" si="25"/>
        <v>14</v>
      </c>
      <c r="AC58" s="55">
        <f>SUM(AC54:AC57)</f>
        <v>29</v>
      </c>
    </row>
    <row r="59" spans="1:29" ht="15.75" customHeight="1">
      <c r="A59" s="104">
        <v>0.58333333333333337</v>
      </c>
      <c r="B59" s="38">
        <v>0</v>
      </c>
      <c r="C59" s="39">
        <v>0</v>
      </c>
      <c r="D59" s="39">
        <v>0</v>
      </c>
      <c r="E59" s="39">
        <v>0</v>
      </c>
      <c r="F59" s="39">
        <v>0</v>
      </c>
      <c r="G59" s="39">
        <v>0</v>
      </c>
      <c r="H59" s="40">
        <v>0</v>
      </c>
      <c r="I59" s="105">
        <f>SUM(B59:H59)</f>
        <v>0</v>
      </c>
      <c r="K59" s="38">
        <v>0</v>
      </c>
      <c r="L59" s="39">
        <v>0</v>
      </c>
      <c r="M59" s="39">
        <v>0</v>
      </c>
      <c r="N59" s="39">
        <v>0</v>
      </c>
      <c r="O59" s="39">
        <v>0</v>
      </c>
      <c r="P59" s="39">
        <v>0</v>
      </c>
      <c r="Q59" s="40">
        <v>0</v>
      </c>
      <c r="R59" s="105">
        <f>SUM(K59:Q59)</f>
        <v>0</v>
      </c>
      <c r="T59" s="38">
        <v>5</v>
      </c>
      <c r="U59" s="39">
        <v>0</v>
      </c>
      <c r="V59" s="39">
        <v>0</v>
      </c>
      <c r="W59" s="39">
        <v>0</v>
      </c>
      <c r="X59" s="39">
        <v>0</v>
      </c>
      <c r="Y59" s="39">
        <v>0</v>
      </c>
      <c r="Z59" s="40">
        <v>0</v>
      </c>
      <c r="AA59" s="105">
        <f>SUM(T59:Z59)</f>
        <v>5</v>
      </c>
      <c r="AC59" s="105">
        <f>SUM(I59+R59+AA59)</f>
        <v>5</v>
      </c>
    </row>
    <row r="60" spans="1:29" ht="15.75" customHeight="1">
      <c r="A60" s="106">
        <v>0.59375</v>
      </c>
      <c r="B60" s="42">
        <v>2</v>
      </c>
      <c r="C60" s="43">
        <v>0</v>
      </c>
      <c r="D60" s="43">
        <v>0</v>
      </c>
      <c r="E60" s="43">
        <v>0</v>
      </c>
      <c r="F60" s="43">
        <v>0</v>
      </c>
      <c r="G60" s="43">
        <v>0</v>
      </c>
      <c r="H60" s="46">
        <v>0</v>
      </c>
      <c r="I60" s="107">
        <f>SUM(B60:H60)</f>
        <v>2</v>
      </c>
      <c r="K60" s="42">
        <v>0</v>
      </c>
      <c r="L60" s="43">
        <v>0</v>
      </c>
      <c r="M60" s="43">
        <v>0</v>
      </c>
      <c r="N60" s="43">
        <v>0</v>
      </c>
      <c r="O60" s="43">
        <v>0</v>
      </c>
      <c r="P60" s="43">
        <v>0</v>
      </c>
      <c r="Q60" s="46">
        <v>0</v>
      </c>
      <c r="R60" s="107">
        <f>SUM(K60:Q60)</f>
        <v>0</v>
      </c>
      <c r="T60" s="42">
        <v>0</v>
      </c>
      <c r="U60" s="43">
        <v>0</v>
      </c>
      <c r="V60" s="43">
        <v>0</v>
      </c>
      <c r="W60" s="43">
        <v>0</v>
      </c>
      <c r="X60" s="43">
        <v>0</v>
      </c>
      <c r="Y60" s="43">
        <v>0</v>
      </c>
      <c r="Z60" s="46">
        <v>0</v>
      </c>
      <c r="AA60" s="107">
        <f>SUM(T60:Z60)</f>
        <v>0</v>
      </c>
      <c r="AC60" s="107">
        <f>SUM(I60+R60+AA60)</f>
        <v>2</v>
      </c>
    </row>
    <row r="61" spans="1:29" ht="15.75" customHeight="1">
      <c r="A61" s="106">
        <v>0.60416666666666663</v>
      </c>
      <c r="B61" s="42">
        <v>2</v>
      </c>
      <c r="C61" s="43">
        <v>0</v>
      </c>
      <c r="D61" s="43">
        <v>0</v>
      </c>
      <c r="E61" s="43">
        <v>0</v>
      </c>
      <c r="F61" s="43">
        <v>0</v>
      </c>
      <c r="G61" s="43">
        <v>0</v>
      </c>
      <c r="H61" s="46">
        <v>0</v>
      </c>
      <c r="I61" s="107">
        <f>SUM(B61:H61)</f>
        <v>2</v>
      </c>
      <c r="K61" s="42">
        <v>0</v>
      </c>
      <c r="L61" s="43">
        <v>0</v>
      </c>
      <c r="M61" s="43">
        <v>0</v>
      </c>
      <c r="N61" s="43">
        <v>0</v>
      </c>
      <c r="O61" s="43">
        <v>0</v>
      </c>
      <c r="P61" s="43">
        <v>0</v>
      </c>
      <c r="Q61" s="46">
        <v>0</v>
      </c>
      <c r="R61" s="107">
        <f>SUM(K61:Q61)</f>
        <v>0</v>
      </c>
      <c r="T61" s="42">
        <v>0</v>
      </c>
      <c r="U61" s="43">
        <v>1</v>
      </c>
      <c r="V61" s="43">
        <v>0</v>
      </c>
      <c r="W61" s="43">
        <v>0</v>
      </c>
      <c r="X61" s="43">
        <v>0</v>
      </c>
      <c r="Y61" s="43">
        <v>0</v>
      </c>
      <c r="Z61" s="46">
        <v>0</v>
      </c>
      <c r="AA61" s="107">
        <f>SUM(T61:Z61)</f>
        <v>1</v>
      </c>
      <c r="AC61" s="107">
        <f>SUM(I61+R61+AA61)</f>
        <v>3</v>
      </c>
    </row>
    <row r="62" spans="1:29" ht="15.75" customHeight="1">
      <c r="A62" s="108">
        <v>0.61458333333333337</v>
      </c>
      <c r="B62" s="48">
        <v>1</v>
      </c>
      <c r="C62" s="49">
        <v>0</v>
      </c>
      <c r="D62" s="49">
        <v>0</v>
      </c>
      <c r="E62" s="49">
        <v>0</v>
      </c>
      <c r="F62" s="49">
        <v>0</v>
      </c>
      <c r="G62" s="49">
        <v>0</v>
      </c>
      <c r="H62" s="50">
        <v>0</v>
      </c>
      <c r="I62" s="109">
        <f>SUM(B62:H62)</f>
        <v>1</v>
      </c>
      <c r="K62" s="48">
        <v>0</v>
      </c>
      <c r="L62" s="49">
        <v>0</v>
      </c>
      <c r="M62" s="49">
        <v>0</v>
      </c>
      <c r="N62" s="49">
        <v>0</v>
      </c>
      <c r="O62" s="49">
        <v>0</v>
      </c>
      <c r="P62" s="49">
        <v>0</v>
      </c>
      <c r="Q62" s="50">
        <v>0</v>
      </c>
      <c r="R62" s="109">
        <f>SUM(K62:Q62)</f>
        <v>0</v>
      </c>
      <c r="T62" s="48">
        <v>4</v>
      </c>
      <c r="U62" s="49">
        <v>0</v>
      </c>
      <c r="V62" s="49">
        <v>0</v>
      </c>
      <c r="W62" s="49">
        <v>0</v>
      </c>
      <c r="X62" s="49">
        <v>0</v>
      </c>
      <c r="Y62" s="49">
        <v>0</v>
      </c>
      <c r="Z62" s="50">
        <v>0</v>
      </c>
      <c r="AA62" s="109">
        <f>SUM(T62:Z62)</f>
        <v>4</v>
      </c>
      <c r="AC62" s="109">
        <f>SUM(I62+R62+AA62)</f>
        <v>5</v>
      </c>
    </row>
    <row r="63" spans="1:29" ht="15.75" customHeight="1">
      <c r="A63" s="55" t="s">
        <v>24</v>
      </c>
      <c r="B63" s="52">
        <f t="shared" ref="B63:I63" si="26">SUM(B59:B62)</f>
        <v>5</v>
      </c>
      <c r="C63" s="53">
        <f t="shared" si="26"/>
        <v>0</v>
      </c>
      <c r="D63" s="53">
        <f t="shared" si="26"/>
        <v>0</v>
      </c>
      <c r="E63" s="53">
        <f t="shared" si="26"/>
        <v>0</v>
      </c>
      <c r="F63" s="53">
        <f t="shared" si="26"/>
        <v>0</v>
      </c>
      <c r="G63" s="53">
        <f t="shared" si="26"/>
        <v>0</v>
      </c>
      <c r="H63" s="54">
        <f t="shared" si="26"/>
        <v>0</v>
      </c>
      <c r="I63" s="55">
        <f t="shared" si="26"/>
        <v>5</v>
      </c>
      <c r="K63" s="52">
        <f t="shared" ref="K63:R63" si="27">SUM(K59:K62)</f>
        <v>0</v>
      </c>
      <c r="L63" s="53">
        <f t="shared" si="27"/>
        <v>0</v>
      </c>
      <c r="M63" s="53">
        <f t="shared" si="27"/>
        <v>0</v>
      </c>
      <c r="N63" s="53">
        <f t="shared" si="27"/>
        <v>0</v>
      </c>
      <c r="O63" s="53">
        <f t="shared" si="27"/>
        <v>0</v>
      </c>
      <c r="P63" s="53">
        <f t="shared" si="27"/>
        <v>0</v>
      </c>
      <c r="Q63" s="54">
        <f t="shared" si="27"/>
        <v>0</v>
      </c>
      <c r="R63" s="55">
        <f t="shared" si="27"/>
        <v>0</v>
      </c>
      <c r="T63" s="52">
        <f t="shared" ref="T63:AA63" si="28">SUM(T59:T62)</f>
        <v>9</v>
      </c>
      <c r="U63" s="53">
        <f t="shared" si="28"/>
        <v>1</v>
      </c>
      <c r="V63" s="53">
        <f t="shared" si="28"/>
        <v>0</v>
      </c>
      <c r="W63" s="53">
        <f t="shared" si="28"/>
        <v>0</v>
      </c>
      <c r="X63" s="53">
        <f t="shared" si="28"/>
        <v>0</v>
      </c>
      <c r="Y63" s="53">
        <f t="shared" si="28"/>
        <v>0</v>
      </c>
      <c r="Z63" s="54">
        <f t="shared" si="28"/>
        <v>0</v>
      </c>
      <c r="AA63" s="55">
        <f t="shared" si="28"/>
        <v>10</v>
      </c>
      <c r="AC63" s="55">
        <f>SUM(AC59:AC62)</f>
        <v>15</v>
      </c>
    </row>
    <row r="64" spans="1:29" ht="15.75" customHeight="1">
      <c r="A64" s="104">
        <v>0.625</v>
      </c>
      <c r="B64" s="38">
        <v>2</v>
      </c>
      <c r="C64" s="39">
        <v>0</v>
      </c>
      <c r="D64" s="39">
        <v>0</v>
      </c>
      <c r="E64" s="39">
        <v>0</v>
      </c>
      <c r="F64" s="39">
        <v>0</v>
      </c>
      <c r="G64" s="39">
        <v>0</v>
      </c>
      <c r="H64" s="40">
        <v>0</v>
      </c>
      <c r="I64" s="105">
        <f>SUM(B64:H64)</f>
        <v>2</v>
      </c>
      <c r="K64" s="38">
        <v>0</v>
      </c>
      <c r="L64" s="39">
        <v>0</v>
      </c>
      <c r="M64" s="39">
        <v>0</v>
      </c>
      <c r="N64" s="39">
        <v>0</v>
      </c>
      <c r="O64" s="39">
        <v>0</v>
      </c>
      <c r="P64" s="39">
        <v>0</v>
      </c>
      <c r="Q64" s="40">
        <v>0</v>
      </c>
      <c r="R64" s="105">
        <f>SUM(K64:Q64)</f>
        <v>0</v>
      </c>
      <c r="T64" s="38">
        <v>0</v>
      </c>
      <c r="U64" s="39">
        <v>0</v>
      </c>
      <c r="V64" s="39">
        <v>0</v>
      </c>
      <c r="W64" s="39">
        <v>0</v>
      </c>
      <c r="X64" s="39">
        <v>0</v>
      </c>
      <c r="Y64" s="39">
        <v>0</v>
      </c>
      <c r="Z64" s="40">
        <v>0</v>
      </c>
      <c r="AA64" s="105">
        <f>SUM(T64:Z64)</f>
        <v>0</v>
      </c>
      <c r="AC64" s="105">
        <f>SUM(I64+R64+AA64)</f>
        <v>2</v>
      </c>
    </row>
    <row r="65" spans="1:29" ht="15.75" customHeight="1">
      <c r="A65" s="106">
        <v>0.63541666666666663</v>
      </c>
      <c r="B65" s="42">
        <v>3</v>
      </c>
      <c r="C65" s="43">
        <v>1</v>
      </c>
      <c r="D65" s="43">
        <v>0</v>
      </c>
      <c r="E65" s="43">
        <v>0</v>
      </c>
      <c r="F65" s="43">
        <v>0</v>
      </c>
      <c r="G65" s="43">
        <v>0</v>
      </c>
      <c r="H65" s="46">
        <v>0</v>
      </c>
      <c r="I65" s="107">
        <f>SUM(B65:H65)</f>
        <v>4</v>
      </c>
      <c r="K65" s="42">
        <v>0</v>
      </c>
      <c r="L65" s="43">
        <v>0</v>
      </c>
      <c r="M65" s="43">
        <v>0</v>
      </c>
      <c r="N65" s="43">
        <v>0</v>
      </c>
      <c r="O65" s="43">
        <v>0</v>
      </c>
      <c r="P65" s="43">
        <v>0</v>
      </c>
      <c r="Q65" s="46">
        <v>0</v>
      </c>
      <c r="R65" s="107">
        <f>SUM(K65:Q65)</f>
        <v>0</v>
      </c>
      <c r="T65" s="42">
        <v>1</v>
      </c>
      <c r="U65" s="43">
        <v>1</v>
      </c>
      <c r="V65" s="43">
        <v>0</v>
      </c>
      <c r="W65" s="43">
        <v>0</v>
      </c>
      <c r="X65" s="43">
        <v>0</v>
      </c>
      <c r="Y65" s="43">
        <v>0</v>
      </c>
      <c r="Z65" s="46">
        <v>1</v>
      </c>
      <c r="AA65" s="107">
        <f>SUM(T65:Z65)</f>
        <v>3</v>
      </c>
      <c r="AC65" s="107">
        <f>SUM(I65+R65+AA65)</f>
        <v>7</v>
      </c>
    </row>
    <row r="66" spans="1:29" ht="15.75" customHeight="1">
      <c r="A66" s="106">
        <v>0.64583333333333337</v>
      </c>
      <c r="B66" s="42">
        <v>2</v>
      </c>
      <c r="C66" s="43">
        <v>0</v>
      </c>
      <c r="D66" s="43">
        <v>0</v>
      </c>
      <c r="E66" s="43">
        <v>0</v>
      </c>
      <c r="F66" s="43">
        <v>0</v>
      </c>
      <c r="G66" s="43">
        <v>0</v>
      </c>
      <c r="H66" s="46">
        <v>0</v>
      </c>
      <c r="I66" s="107">
        <f>SUM(B66:H66)</f>
        <v>2</v>
      </c>
      <c r="K66" s="42">
        <v>0</v>
      </c>
      <c r="L66" s="43">
        <v>0</v>
      </c>
      <c r="M66" s="43">
        <v>0</v>
      </c>
      <c r="N66" s="43">
        <v>0</v>
      </c>
      <c r="O66" s="43">
        <v>0</v>
      </c>
      <c r="P66" s="43">
        <v>0</v>
      </c>
      <c r="Q66" s="46">
        <v>0</v>
      </c>
      <c r="R66" s="107">
        <f>SUM(K66:Q66)</f>
        <v>0</v>
      </c>
      <c r="T66" s="42">
        <v>1</v>
      </c>
      <c r="U66" s="43">
        <v>0</v>
      </c>
      <c r="V66" s="43">
        <v>0</v>
      </c>
      <c r="W66" s="43">
        <v>0</v>
      </c>
      <c r="X66" s="43">
        <v>0</v>
      </c>
      <c r="Y66" s="43">
        <v>0</v>
      </c>
      <c r="Z66" s="46">
        <v>1</v>
      </c>
      <c r="AA66" s="107">
        <f>SUM(T66:Z66)</f>
        <v>2</v>
      </c>
      <c r="AC66" s="107">
        <f>SUM(I66+R66+AA66)</f>
        <v>4</v>
      </c>
    </row>
    <row r="67" spans="1:29" ht="15.75" customHeight="1">
      <c r="A67" s="108">
        <v>0.65625</v>
      </c>
      <c r="B67" s="48">
        <v>2</v>
      </c>
      <c r="C67" s="49">
        <v>0</v>
      </c>
      <c r="D67" s="49">
        <v>0</v>
      </c>
      <c r="E67" s="49">
        <v>0</v>
      </c>
      <c r="F67" s="49">
        <v>0</v>
      </c>
      <c r="G67" s="49">
        <v>0</v>
      </c>
      <c r="H67" s="50">
        <v>0</v>
      </c>
      <c r="I67" s="109">
        <f>SUM(B67:H67)</f>
        <v>2</v>
      </c>
      <c r="K67" s="48">
        <v>0</v>
      </c>
      <c r="L67" s="49">
        <v>0</v>
      </c>
      <c r="M67" s="49">
        <v>0</v>
      </c>
      <c r="N67" s="49">
        <v>0</v>
      </c>
      <c r="O67" s="49">
        <v>0</v>
      </c>
      <c r="P67" s="49">
        <v>0</v>
      </c>
      <c r="Q67" s="50">
        <v>0</v>
      </c>
      <c r="R67" s="109">
        <f>SUM(K67:Q67)</f>
        <v>0</v>
      </c>
      <c r="T67" s="48">
        <v>4</v>
      </c>
      <c r="U67" s="49">
        <v>0</v>
      </c>
      <c r="V67" s="49">
        <v>0</v>
      </c>
      <c r="W67" s="49">
        <v>0</v>
      </c>
      <c r="X67" s="49">
        <v>0</v>
      </c>
      <c r="Y67" s="49">
        <v>0</v>
      </c>
      <c r="Z67" s="50">
        <v>0</v>
      </c>
      <c r="AA67" s="109">
        <f>SUM(T67:Z67)</f>
        <v>4</v>
      </c>
      <c r="AC67" s="109">
        <f>SUM(I67+R67+AA67)</f>
        <v>6</v>
      </c>
    </row>
    <row r="68" spans="1:29" ht="15.75" customHeight="1">
      <c r="A68" s="55" t="s">
        <v>24</v>
      </c>
      <c r="B68" s="52">
        <f t="shared" ref="B68:I68" si="29">SUM(B64:B67)</f>
        <v>9</v>
      </c>
      <c r="C68" s="53">
        <f t="shared" si="29"/>
        <v>1</v>
      </c>
      <c r="D68" s="53">
        <f t="shared" si="29"/>
        <v>0</v>
      </c>
      <c r="E68" s="53">
        <f t="shared" si="29"/>
        <v>0</v>
      </c>
      <c r="F68" s="53">
        <f t="shared" si="29"/>
        <v>0</v>
      </c>
      <c r="G68" s="53">
        <f t="shared" si="29"/>
        <v>0</v>
      </c>
      <c r="H68" s="54">
        <f t="shared" si="29"/>
        <v>0</v>
      </c>
      <c r="I68" s="55">
        <f t="shared" si="29"/>
        <v>10</v>
      </c>
      <c r="K68" s="52">
        <f t="shared" ref="K68:R68" si="30">SUM(K64:K67)</f>
        <v>0</v>
      </c>
      <c r="L68" s="53">
        <f t="shared" si="30"/>
        <v>0</v>
      </c>
      <c r="M68" s="53">
        <f t="shared" si="30"/>
        <v>0</v>
      </c>
      <c r="N68" s="53">
        <f t="shared" si="30"/>
        <v>0</v>
      </c>
      <c r="O68" s="53">
        <f t="shared" si="30"/>
        <v>0</v>
      </c>
      <c r="P68" s="53">
        <f t="shared" si="30"/>
        <v>0</v>
      </c>
      <c r="Q68" s="54">
        <f t="shared" si="30"/>
        <v>0</v>
      </c>
      <c r="R68" s="55">
        <f t="shared" si="30"/>
        <v>0</v>
      </c>
      <c r="T68" s="52">
        <f t="shared" ref="T68:AA68" si="31">SUM(T64:T67)</f>
        <v>6</v>
      </c>
      <c r="U68" s="53">
        <f t="shared" si="31"/>
        <v>1</v>
      </c>
      <c r="V68" s="53">
        <f t="shared" si="31"/>
        <v>0</v>
      </c>
      <c r="W68" s="53">
        <f t="shared" si="31"/>
        <v>0</v>
      </c>
      <c r="X68" s="53">
        <f t="shared" si="31"/>
        <v>0</v>
      </c>
      <c r="Y68" s="53">
        <f t="shared" si="31"/>
        <v>0</v>
      </c>
      <c r="Z68" s="54">
        <f t="shared" si="31"/>
        <v>2</v>
      </c>
      <c r="AA68" s="55">
        <f t="shared" si="31"/>
        <v>9</v>
      </c>
      <c r="AC68" s="55">
        <f>SUM(AC64:AC67)</f>
        <v>19</v>
      </c>
    </row>
    <row r="70" spans="1:29" ht="15.75" customHeight="1">
      <c r="A70" s="55" t="s">
        <v>22</v>
      </c>
      <c r="B70" s="52">
        <f t="shared" ref="B70:I70" si="32">SUM(B68+B63+B58+B53+B48)</f>
        <v>61</v>
      </c>
      <c r="C70" s="53">
        <f t="shared" si="32"/>
        <v>7</v>
      </c>
      <c r="D70" s="53">
        <f t="shared" si="32"/>
        <v>1</v>
      </c>
      <c r="E70" s="53">
        <f t="shared" si="32"/>
        <v>0</v>
      </c>
      <c r="F70" s="53">
        <f t="shared" si="32"/>
        <v>0</v>
      </c>
      <c r="G70" s="53">
        <f t="shared" si="32"/>
        <v>0</v>
      </c>
      <c r="H70" s="54">
        <f t="shared" si="32"/>
        <v>0</v>
      </c>
      <c r="I70" s="55">
        <f t="shared" si="32"/>
        <v>69</v>
      </c>
      <c r="K70" s="52">
        <f t="shared" ref="K70:R70" si="33">SUM(K68+K63+K58+K53+K48)</f>
        <v>0</v>
      </c>
      <c r="L70" s="53">
        <f t="shared" si="33"/>
        <v>0</v>
      </c>
      <c r="M70" s="53">
        <f t="shared" si="33"/>
        <v>0</v>
      </c>
      <c r="N70" s="53">
        <f t="shared" si="33"/>
        <v>0</v>
      </c>
      <c r="O70" s="53">
        <f t="shared" si="33"/>
        <v>0</v>
      </c>
      <c r="P70" s="53">
        <f t="shared" si="33"/>
        <v>0</v>
      </c>
      <c r="Q70" s="54">
        <f t="shared" si="33"/>
        <v>0</v>
      </c>
      <c r="R70" s="55">
        <f t="shared" si="33"/>
        <v>0</v>
      </c>
      <c r="T70" s="52">
        <f t="shared" ref="T70:AA70" si="34">SUM(T68+T63+T58+T53+T48)</f>
        <v>42</v>
      </c>
      <c r="U70" s="53">
        <f t="shared" si="34"/>
        <v>7</v>
      </c>
      <c r="V70" s="53">
        <f t="shared" si="34"/>
        <v>0</v>
      </c>
      <c r="W70" s="53">
        <f t="shared" si="34"/>
        <v>0</v>
      </c>
      <c r="X70" s="53">
        <f t="shared" si="34"/>
        <v>0</v>
      </c>
      <c r="Y70" s="53">
        <f t="shared" si="34"/>
        <v>0</v>
      </c>
      <c r="Z70" s="54">
        <f t="shared" si="34"/>
        <v>2</v>
      </c>
      <c r="AA70" s="55">
        <f t="shared" si="34"/>
        <v>51</v>
      </c>
      <c r="AC70" s="55">
        <f>SUM(AC68+AC63+AC58+AC53+AC48)</f>
        <v>120</v>
      </c>
    </row>
    <row r="71" spans="1:29" s="102" customFormat="1" ht="15.75" customHeight="1">
      <c r="A71" s="102" t="s">
        <v>56</v>
      </c>
      <c r="I71" s="102">
        <f>SUM(B44:H47,B49:H52,B54:H57,B59:H62,B64:H67)</f>
        <v>69</v>
      </c>
      <c r="R71" s="102">
        <f>SUM(K44:Q47,K49:Q52,K54:Q57,K59:Q62,K64:Q67)</f>
        <v>0</v>
      </c>
      <c r="AA71" s="102">
        <f>SUM(T44:Z47,T49:Z52,T54:Z57,T59:Z62,T64:Z67)</f>
        <v>51</v>
      </c>
      <c r="AC71" s="102">
        <f>SUM(B71:AA71)</f>
        <v>120</v>
      </c>
    </row>
    <row r="72" spans="1:29" ht="15.75" customHeight="1">
      <c r="A72" s="51" t="s">
        <v>13</v>
      </c>
      <c r="B72" s="51" t="str">
        <f>$V$9</f>
        <v>C - Fishponds Road (W)</v>
      </c>
    </row>
    <row r="73" spans="1:29" ht="15.75" customHeight="1">
      <c r="B73" s="52" t="s">
        <v>14</v>
      </c>
      <c r="C73" s="53"/>
      <c r="D73" s="53" t="str">
        <f>$D$9</f>
        <v>A - Fishponds Road (E)</v>
      </c>
      <c r="E73" s="53"/>
      <c r="F73" s="53"/>
      <c r="G73" s="53"/>
      <c r="H73" s="54"/>
      <c r="I73" s="55"/>
      <c r="K73" s="52" t="s">
        <v>14</v>
      </c>
      <c r="L73" s="53"/>
      <c r="M73" s="53" t="str">
        <f>$M$9</f>
        <v>B - Drummond Road</v>
      </c>
      <c r="N73" s="53"/>
      <c r="O73" s="53"/>
      <c r="P73" s="53"/>
      <c r="Q73" s="54"/>
      <c r="R73" s="55"/>
      <c r="T73" s="52" t="s">
        <v>14</v>
      </c>
      <c r="U73" s="53"/>
      <c r="V73" s="53" t="str">
        <f>$V$9</f>
        <v>C - Fishponds Road (W)</v>
      </c>
      <c r="W73" s="53"/>
      <c r="X73" s="53"/>
      <c r="Y73" s="53"/>
      <c r="Z73" s="54"/>
      <c r="AA73" s="55"/>
      <c r="AC73" s="116" t="s">
        <v>23</v>
      </c>
    </row>
    <row r="74" spans="1:29" s="56" customFormat="1" ht="15.75" customHeight="1">
      <c r="B74" s="57" t="str">
        <f>$B$10</f>
        <v>CAR</v>
      </c>
      <c r="C74" s="58" t="str">
        <f>$C$10</f>
        <v>LGV</v>
      </c>
      <c r="D74" s="58" t="str">
        <f>$D$10</f>
        <v>OGV1</v>
      </c>
      <c r="E74" s="58" t="str">
        <f>$E$10</f>
        <v>OGV2</v>
      </c>
      <c r="F74" s="58" t="str">
        <f>$F$10</f>
        <v>PSV</v>
      </c>
      <c r="G74" s="58" t="str">
        <f>$G$10</f>
        <v>MC</v>
      </c>
      <c r="H74" s="59" t="str">
        <f>$H$10</f>
        <v>PC</v>
      </c>
      <c r="I74" s="103" t="s">
        <v>22</v>
      </c>
      <c r="K74" s="57" t="str">
        <f>$B$10</f>
        <v>CAR</v>
      </c>
      <c r="L74" s="58" t="str">
        <f>$C$10</f>
        <v>LGV</v>
      </c>
      <c r="M74" s="58" t="str">
        <f>$D$10</f>
        <v>OGV1</v>
      </c>
      <c r="N74" s="58" t="str">
        <f>$E$10</f>
        <v>OGV2</v>
      </c>
      <c r="O74" s="58" t="str">
        <f>$F$10</f>
        <v>PSV</v>
      </c>
      <c r="P74" s="58" t="str">
        <f>$G$10</f>
        <v>MC</v>
      </c>
      <c r="Q74" s="59" t="str">
        <f>$H$10</f>
        <v>PC</v>
      </c>
      <c r="R74" s="103" t="s">
        <v>22</v>
      </c>
      <c r="T74" s="57" t="str">
        <f>$B$10</f>
        <v>CAR</v>
      </c>
      <c r="U74" s="58" t="str">
        <f>$C$10</f>
        <v>LGV</v>
      </c>
      <c r="V74" s="58" t="str">
        <f>$D$10</f>
        <v>OGV1</v>
      </c>
      <c r="W74" s="58" t="str">
        <f>$E$10</f>
        <v>OGV2</v>
      </c>
      <c r="X74" s="58" t="str">
        <f>$F$10</f>
        <v>PSV</v>
      </c>
      <c r="Y74" s="58" t="str">
        <f>$G$10</f>
        <v>MC</v>
      </c>
      <c r="Z74" s="59" t="str">
        <f>$H$10</f>
        <v>PC</v>
      </c>
      <c r="AA74" s="103" t="s">
        <v>22</v>
      </c>
      <c r="AC74" s="117"/>
    </row>
    <row r="76" spans="1:29" ht="15.75" customHeight="1">
      <c r="A76" s="104">
        <v>0.45833333333333331</v>
      </c>
      <c r="B76" s="38">
        <v>116</v>
      </c>
      <c r="C76" s="39">
        <v>14</v>
      </c>
      <c r="D76" s="39">
        <v>1</v>
      </c>
      <c r="E76" s="39">
        <v>0</v>
      </c>
      <c r="F76" s="39">
        <v>5</v>
      </c>
      <c r="G76" s="39">
        <v>2</v>
      </c>
      <c r="H76" s="40">
        <v>0</v>
      </c>
      <c r="I76" s="105">
        <f>SUM(B76:H76)</f>
        <v>138</v>
      </c>
      <c r="K76" s="38">
        <v>1</v>
      </c>
      <c r="L76" s="39">
        <v>2</v>
      </c>
      <c r="M76" s="39">
        <v>0</v>
      </c>
      <c r="N76" s="39">
        <v>0</v>
      </c>
      <c r="O76" s="39">
        <v>0</v>
      </c>
      <c r="P76" s="39">
        <v>0</v>
      </c>
      <c r="Q76" s="40">
        <v>0</v>
      </c>
      <c r="R76" s="105">
        <f>SUM(K76:Q76)</f>
        <v>3</v>
      </c>
      <c r="T76" s="38">
        <v>0</v>
      </c>
      <c r="U76" s="39">
        <v>0</v>
      </c>
      <c r="V76" s="39">
        <v>0</v>
      </c>
      <c r="W76" s="39">
        <v>0</v>
      </c>
      <c r="X76" s="39">
        <v>0</v>
      </c>
      <c r="Y76" s="39">
        <v>0</v>
      </c>
      <c r="Z76" s="40">
        <v>0</v>
      </c>
      <c r="AA76" s="105">
        <f>SUM(T76:Z76)</f>
        <v>0</v>
      </c>
      <c r="AC76" s="105">
        <f>SUM(I76+R76+AA76)</f>
        <v>141</v>
      </c>
    </row>
    <row r="77" spans="1:29" ht="15.75" customHeight="1">
      <c r="A77" s="106">
        <v>0.46875</v>
      </c>
      <c r="B77" s="42">
        <v>146</v>
      </c>
      <c r="C77" s="43">
        <v>13</v>
      </c>
      <c r="D77" s="43">
        <v>1</v>
      </c>
      <c r="E77" s="43">
        <v>0</v>
      </c>
      <c r="F77" s="43">
        <v>5</v>
      </c>
      <c r="G77" s="43">
        <v>0</v>
      </c>
      <c r="H77" s="46">
        <v>2</v>
      </c>
      <c r="I77" s="107">
        <f>SUM(B77:H77)</f>
        <v>167</v>
      </c>
      <c r="K77" s="42">
        <v>2</v>
      </c>
      <c r="L77" s="43">
        <v>0</v>
      </c>
      <c r="M77" s="43">
        <v>0</v>
      </c>
      <c r="N77" s="43">
        <v>0</v>
      </c>
      <c r="O77" s="43">
        <v>0</v>
      </c>
      <c r="P77" s="43">
        <v>0</v>
      </c>
      <c r="Q77" s="46">
        <v>0</v>
      </c>
      <c r="R77" s="107">
        <f>SUM(K77:Q77)</f>
        <v>2</v>
      </c>
      <c r="T77" s="42">
        <v>0</v>
      </c>
      <c r="U77" s="43">
        <v>0</v>
      </c>
      <c r="V77" s="43">
        <v>0</v>
      </c>
      <c r="W77" s="43">
        <v>0</v>
      </c>
      <c r="X77" s="43">
        <v>0</v>
      </c>
      <c r="Y77" s="43">
        <v>0</v>
      </c>
      <c r="Z77" s="46">
        <v>0</v>
      </c>
      <c r="AA77" s="107">
        <f>SUM(T77:Z77)</f>
        <v>0</v>
      </c>
      <c r="AC77" s="107">
        <f>SUM(I77+R77+AA77)</f>
        <v>169</v>
      </c>
    </row>
    <row r="78" spans="1:29" ht="15.75" customHeight="1">
      <c r="A78" s="106">
        <v>0.47916666666666669</v>
      </c>
      <c r="B78" s="42">
        <v>158</v>
      </c>
      <c r="C78" s="43">
        <v>19</v>
      </c>
      <c r="D78" s="43">
        <v>0</v>
      </c>
      <c r="E78" s="43">
        <v>1</v>
      </c>
      <c r="F78" s="43">
        <v>4</v>
      </c>
      <c r="G78" s="43">
        <v>2</v>
      </c>
      <c r="H78" s="46">
        <v>2</v>
      </c>
      <c r="I78" s="107">
        <f>SUM(B78:H78)</f>
        <v>186</v>
      </c>
      <c r="K78" s="42">
        <v>1</v>
      </c>
      <c r="L78" s="43">
        <v>2</v>
      </c>
      <c r="M78" s="43">
        <v>0</v>
      </c>
      <c r="N78" s="43">
        <v>0</v>
      </c>
      <c r="O78" s="43">
        <v>0</v>
      </c>
      <c r="P78" s="43">
        <v>0</v>
      </c>
      <c r="Q78" s="46">
        <v>0</v>
      </c>
      <c r="R78" s="107">
        <f>SUM(K78:Q78)</f>
        <v>3</v>
      </c>
      <c r="T78" s="42">
        <v>0</v>
      </c>
      <c r="U78" s="43">
        <v>0</v>
      </c>
      <c r="V78" s="43">
        <v>0</v>
      </c>
      <c r="W78" s="43">
        <v>0</v>
      </c>
      <c r="X78" s="43">
        <v>0</v>
      </c>
      <c r="Y78" s="43">
        <v>0</v>
      </c>
      <c r="Z78" s="46">
        <v>0</v>
      </c>
      <c r="AA78" s="107">
        <f>SUM(T78:Z78)</f>
        <v>0</v>
      </c>
      <c r="AC78" s="107">
        <f>SUM(I78+R78+AA78)</f>
        <v>189</v>
      </c>
    </row>
    <row r="79" spans="1:29" ht="15.75" customHeight="1">
      <c r="A79" s="108">
        <v>0.48958333333333331</v>
      </c>
      <c r="B79" s="48">
        <v>168</v>
      </c>
      <c r="C79" s="49">
        <v>13</v>
      </c>
      <c r="D79" s="49">
        <v>0</v>
      </c>
      <c r="E79" s="49">
        <v>0</v>
      </c>
      <c r="F79" s="49">
        <v>5</v>
      </c>
      <c r="G79" s="49">
        <v>0</v>
      </c>
      <c r="H79" s="50">
        <v>1</v>
      </c>
      <c r="I79" s="109">
        <f>SUM(B79:H79)</f>
        <v>187</v>
      </c>
      <c r="K79" s="48">
        <v>1</v>
      </c>
      <c r="L79" s="49">
        <v>0</v>
      </c>
      <c r="M79" s="49">
        <v>0</v>
      </c>
      <c r="N79" s="49">
        <v>0</v>
      </c>
      <c r="O79" s="49">
        <v>0</v>
      </c>
      <c r="P79" s="49">
        <v>0</v>
      </c>
      <c r="Q79" s="50">
        <v>0</v>
      </c>
      <c r="R79" s="109">
        <f>SUM(K79:Q79)</f>
        <v>1</v>
      </c>
      <c r="T79" s="48">
        <v>0</v>
      </c>
      <c r="U79" s="49">
        <v>0</v>
      </c>
      <c r="V79" s="49">
        <v>0</v>
      </c>
      <c r="W79" s="49">
        <v>0</v>
      </c>
      <c r="X79" s="49">
        <v>0</v>
      </c>
      <c r="Y79" s="49">
        <v>0</v>
      </c>
      <c r="Z79" s="50">
        <v>0</v>
      </c>
      <c r="AA79" s="109">
        <f>SUM(T79:Z79)</f>
        <v>0</v>
      </c>
      <c r="AC79" s="109">
        <f>SUM(I79+R79+AA79)</f>
        <v>188</v>
      </c>
    </row>
    <row r="80" spans="1:29" ht="15.75" customHeight="1">
      <c r="A80" s="55" t="s">
        <v>24</v>
      </c>
      <c r="B80" s="52">
        <f t="shared" ref="B80:I80" si="35">SUM(B76:B79)</f>
        <v>588</v>
      </c>
      <c r="C80" s="53">
        <f t="shared" si="35"/>
        <v>59</v>
      </c>
      <c r="D80" s="53">
        <f t="shared" si="35"/>
        <v>2</v>
      </c>
      <c r="E80" s="53">
        <f t="shared" si="35"/>
        <v>1</v>
      </c>
      <c r="F80" s="53">
        <f t="shared" si="35"/>
        <v>19</v>
      </c>
      <c r="G80" s="53">
        <f t="shared" si="35"/>
        <v>4</v>
      </c>
      <c r="H80" s="54">
        <f t="shared" si="35"/>
        <v>5</v>
      </c>
      <c r="I80" s="55">
        <f t="shared" si="35"/>
        <v>678</v>
      </c>
      <c r="K80" s="52">
        <f t="shared" ref="K80:R80" si="36">SUM(K76:K79)</f>
        <v>5</v>
      </c>
      <c r="L80" s="53">
        <f t="shared" si="36"/>
        <v>4</v>
      </c>
      <c r="M80" s="53">
        <f t="shared" si="36"/>
        <v>0</v>
      </c>
      <c r="N80" s="53">
        <f t="shared" si="36"/>
        <v>0</v>
      </c>
      <c r="O80" s="53">
        <f t="shared" si="36"/>
        <v>0</v>
      </c>
      <c r="P80" s="53">
        <f t="shared" si="36"/>
        <v>0</v>
      </c>
      <c r="Q80" s="54">
        <f t="shared" si="36"/>
        <v>0</v>
      </c>
      <c r="R80" s="55">
        <f t="shared" si="36"/>
        <v>9</v>
      </c>
      <c r="T80" s="52">
        <f t="shared" ref="T80:AA80" si="37">SUM(T76:T79)</f>
        <v>0</v>
      </c>
      <c r="U80" s="53">
        <f t="shared" si="37"/>
        <v>0</v>
      </c>
      <c r="V80" s="53">
        <f t="shared" si="37"/>
        <v>0</v>
      </c>
      <c r="W80" s="53">
        <f t="shared" si="37"/>
        <v>0</v>
      </c>
      <c r="X80" s="53">
        <f t="shared" si="37"/>
        <v>0</v>
      </c>
      <c r="Y80" s="53">
        <f t="shared" si="37"/>
        <v>0</v>
      </c>
      <c r="Z80" s="54">
        <f t="shared" si="37"/>
        <v>0</v>
      </c>
      <c r="AA80" s="55">
        <f t="shared" si="37"/>
        <v>0</v>
      </c>
      <c r="AC80" s="55">
        <f>SUM(AC76:AC79)</f>
        <v>687</v>
      </c>
    </row>
    <row r="81" spans="1:29" ht="15.75" customHeight="1">
      <c r="A81" s="104">
        <v>0.5</v>
      </c>
      <c r="B81" s="38">
        <v>138</v>
      </c>
      <c r="C81" s="39">
        <v>8</v>
      </c>
      <c r="D81" s="39">
        <v>1</v>
      </c>
      <c r="E81" s="39">
        <v>0</v>
      </c>
      <c r="F81" s="39">
        <v>5</v>
      </c>
      <c r="G81" s="39">
        <v>4</v>
      </c>
      <c r="H81" s="40">
        <v>1</v>
      </c>
      <c r="I81" s="105">
        <f>SUM(B81:H81)</f>
        <v>157</v>
      </c>
      <c r="K81" s="38">
        <v>3</v>
      </c>
      <c r="L81" s="39">
        <v>0</v>
      </c>
      <c r="M81" s="39">
        <v>0</v>
      </c>
      <c r="N81" s="39">
        <v>0</v>
      </c>
      <c r="O81" s="39">
        <v>0</v>
      </c>
      <c r="P81" s="39">
        <v>0</v>
      </c>
      <c r="Q81" s="40">
        <v>0</v>
      </c>
      <c r="R81" s="105">
        <f>SUM(K81:Q81)</f>
        <v>3</v>
      </c>
      <c r="T81" s="38">
        <v>0</v>
      </c>
      <c r="U81" s="39">
        <v>0</v>
      </c>
      <c r="V81" s="39">
        <v>0</v>
      </c>
      <c r="W81" s="39">
        <v>0</v>
      </c>
      <c r="X81" s="39">
        <v>0</v>
      </c>
      <c r="Y81" s="39">
        <v>0</v>
      </c>
      <c r="Z81" s="40">
        <v>0</v>
      </c>
      <c r="AA81" s="105">
        <f>SUM(T81:Z81)</f>
        <v>0</v>
      </c>
      <c r="AC81" s="105">
        <f>SUM(I81+R81+AA81)</f>
        <v>160</v>
      </c>
    </row>
    <row r="82" spans="1:29" ht="15.75" customHeight="1">
      <c r="A82" s="106">
        <v>0.51041666666666663</v>
      </c>
      <c r="B82" s="42">
        <v>152</v>
      </c>
      <c r="C82" s="43">
        <v>6</v>
      </c>
      <c r="D82" s="43">
        <v>0</v>
      </c>
      <c r="E82" s="43">
        <v>0</v>
      </c>
      <c r="F82" s="43">
        <v>5</v>
      </c>
      <c r="G82" s="43">
        <v>2</v>
      </c>
      <c r="H82" s="46">
        <v>1</v>
      </c>
      <c r="I82" s="107">
        <f>SUM(B82:H82)</f>
        <v>166</v>
      </c>
      <c r="K82" s="42">
        <v>4</v>
      </c>
      <c r="L82" s="43">
        <v>1</v>
      </c>
      <c r="M82" s="43">
        <v>0</v>
      </c>
      <c r="N82" s="43">
        <v>0</v>
      </c>
      <c r="O82" s="43">
        <v>0</v>
      </c>
      <c r="P82" s="43">
        <v>0</v>
      </c>
      <c r="Q82" s="46">
        <v>0</v>
      </c>
      <c r="R82" s="107">
        <f>SUM(K82:Q82)</f>
        <v>5</v>
      </c>
      <c r="T82" s="42">
        <v>0</v>
      </c>
      <c r="U82" s="43">
        <v>0</v>
      </c>
      <c r="V82" s="43">
        <v>0</v>
      </c>
      <c r="W82" s="43">
        <v>0</v>
      </c>
      <c r="X82" s="43">
        <v>0</v>
      </c>
      <c r="Y82" s="43">
        <v>0</v>
      </c>
      <c r="Z82" s="46">
        <v>0</v>
      </c>
      <c r="AA82" s="107">
        <f>SUM(T82:Z82)</f>
        <v>0</v>
      </c>
      <c r="AC82" s="107">
        <f>SUM(I82+R82+AA82)</f>
        <v>171</v>
      </c>
    </row>
    <row r="83" spans="1:29" ht="15.75" customHeight="1">
      <c r="A83" s="106">
        <v>0.52083333333333337</v>
      </c>
      <c r="B83" s="42">
        <v>150</v>
      </c>
      <c r="C83" s="43">
        <v>10</v>
      </c>
      <c r="D83" s="43">
        <v>0</v>
      </c>
      <c r="E83" s="43">
        <v>0</v>
      </c>
      <c r="F83" s="43">
        <v>4</v>
      </c>
      <c r="G83" s="43">
        <v>1</v>
      </c>
      <c r="H83" s="46">
        <v>3</v>
      </c>
      <c r="I83" s="107">
        <f>SUM(B83:H83)</f>
        <v>168</v>
      </c>
      <c r="K83" s="42">
        <v>0</v>
      </c>
      <c r="L83" s="43">
        <v>0</v>
      </c>
      <c r="M83" s="43">
        <v>0</v>
      </c>
      <c r="N83" s="43">
        <v>0</v>
      </c>
      <c r="O83" s="43">
        <v>0</v>
      </c>
      <c r="P83" s="43">
        <v>0</v>
      </c>
      <c r="Q83" s="46">
        <v>0</v>
      </c>
      <c r="R83" s="107">
        <f>SUM(K83:Q83)</f>
        <v>0</v>
      </c>
      <c r="T83" s="42">
        <v>0</v>
      </c>
      <c r="U83" s="43">
        <v>0</v>
      </c>
      <c r="V83" s="43">
        <v>0</v>
      </c>
      <c r="W83" s="43">
        <v>0</v>
      </c>
      <c r="X83" s="43">
        <v>0</v>
      </c>
      <c r="Y83" s="43">
        <v>0</v>
      </c>
      <c r="Z83" s="46">
        <v>0</v>
      </c>
      <c r="AA83" s="107">
        <f>SUM(T83:Z83)</f>
        <v>0</v>
      </c>
      <c r="AC83" s="107">
        <f>SUM(I83+R83+AA83)</f>
        <v>168</v>
      </c>
    </row>
    <row r="84" spans="1:29" ht="15.75" customHeight="1">
      <c r="A84" s="108">
        <v>0.53125</v>
      </c>
      <c r="B84" s="48">
        <v>166</v>
      </c>
      <c r="C84" s="49">
        <v>12</v>
      </c>
      <c r="D84" s="49">
        <v>0</v>
      </c>
      <c r="E84" s="49">
        <v>0</v>
      </c>
      <c r="F84" s="49">
        <v>6</v>
      </c>
      <c r="G84" s="49">
        <v>1</v>
      </c>
      <c r="H84" s="50">
        <v>0</v>
      </c>
      <c r="I84" s="109">
        <f>SUM(B84:H84)</f>
        <v>185</v>
      </c>
      <c r="K84" s="48">
        <v>3</v>
      </c>
      <c r="L84" s="49">
        <v>0</v>
      </c>
      <c r="M84" s="49">
        <v>0</v>
      </c>
      <c r="N84" s="49">
        <v>0</v>
      </c>
      <c r="O84" s="49">
        <v>0</v>
      </c>
      <c r="P84" s="49">
        <v>0</v>
      </c>
      <c r="Q84" s="50">
        <v>0</v>
      </c>
      <c r="R84" s="109">
        <f>SUM(K84:Q84)</f>
        <v>3</v>
      </c>
      <c r="T84" s="48">
        <v>0</v>
      </c>
      <c r="U84" s="49">
        <v>0</v>
      </c>
      <c r="V84" s="49">
        <v>0</v>
      </c>
      <c r="W84" s="49">
        <v>0</v>
      </c>
      <c r="X84" s="49">
        <v>0</v>
      </c>
      <c r="Y84" s="49">
        <v>0</v>
      </c>
      <c r="Z84" s="50">
        <v>0</v>
      </c>
      <c r="AA84" s="109">
        <f>SUM(T84:Z84)</f>
        <v>0</v>
      </c>
      <c r="AC84" s="109">
        <f>SUM(I84+R84+AA84)</f>
        <v>188</v>
      </c>
    </row>
    <row r="85" spans="1:29" ht="15.75" customHeight="1">
      <c r="A85" s="55" t="s">
        <v>24</v>
      </c>
      <c r="B85" s="52">
        <f t="shared" ref="B85:I85" si="38">SUM(B81:B84)</f>
        <v>606</v>
      </c>
      <c r="C85" s="53">
        <f t="shared" si="38"/>
        <v>36</v>
      </c>
      <c r="D85" s="53">
        <f t="shared" si="38"/>
        <v>1</v>
      </c>
      <c r="E85" s="53">
        <f t="shared" si="38"/>
        <v>0</v>
      </c>
      <c r="F85" s="53">
        <f t="shared" si="38"/>
        <v>20</v>
      </c>
      <c r="G85" s="53">
        <f t="shared" si="38"/>
        <v>8</v>
      </c>
      <c r="H85" s="54">
        <f t="shared" si="38"/>
        <v>5</v>
      </c>
      <c r="I85" s="55">
        <f t="shared" si="38"/>
        <v>676</v>
      </c>
      <c r="K85" s="52">
        <f t="shared" ref="K85:R85" si="39">SUM(K81:K84)</f>
        <v>10</v>
      </c>
      <c r="L85" s="53">
        <f t="shared" si="39"/>
        <v>1</v>
      </c>
      <c r="M85" s="53">
        <f t="shared" si="39"/>
        <v>0</v>
      </c>
      <c r="N85" s="53">
        <f t="shared" si="39"/>
        <v>0</v>
      </c>
      <c r="O85" s="53">
        <f t="shared" si="39"/>
        <v>0</v>
      </c>
      <c r="P85" s="53">
        <f t="shared" si="39"/>
        <v>0</v>
      </c>
      <c r="Q85" s="54">
        <f t="shared" si="39"/>
        <v>0</v>
      </c>
      <c r="R85" s="55">
        <f t="shared" si="39"/>
        <v>11</v>
      </c>
      <c r="T85" s="52">
        <f t="shared" ref="T85:AA85" si="40">SUM(T81:T84)</f>
        <v>0</v>
      </c>
      <c r="U85" s="53">
        <f t="shared" si="40"/>
        <v>0</v>
      </c>
      <c r="V85" s="53">
        <f t="shared" si="40"/>
        <v>0</v>
      </c>
      <c r="W85" s="53">
        <f t="shared" si="40"/>
        <v>0</v>
      </c>
      <c r="X85" s="53">
        <f t="shared" si="40"/>
        <v>0</v>
      </c>
      <c r="Y85" s="53">
        <f t="shared" si="40"/>
        <v>0</v>
      </c>
      <c r="Z85" s="54">
        <f t="shared" si="40"/>
        <v>0</v>
      </c>
      <c r="AA85" s="55">
        <f t="shared" si="40"/>
        <v>0</v>
      </c>
      <c r="AC85" s="55">
        <f>SUM(AC81:AC84)</f>
        <v>687</v>
      </c>
    </row>
    <row r="86" spans="1:29" ht="15.75" customHeight="1">
      <c r="A86" s="104">
        <v>0.54166666666666663</v>
      </c>
      <c r="B86" s="38">
        <v>183</v>
      </c>
      <c r="C86" s="39">
        <v>8</v>
      </c>
      <c r="D86" s="39">
        <v>0</v>
      </c>
      <c r="E86" s="39">
        <v>0</v>
      </c>
      <c r="F86" s="39">
        <v>4</v>
      </c>
      <c r="G86" s="39">
        <v>0</v>
      </c>
      <c r="H86" s="40">
        <v>1</v>
      </c>
      <c r="I86" s="105">
        <f>SUM(B86:H86)</f>
        <v>196</v>
      </c>
      <c r="K86" s="38">
        <v>2</v>
      </c>
      <c r="L86" s="39">
        <v>0</v>
      </c>
      <c r="M86" s="39">
        <v>0</v>
      </c>
      <c r="N86" s="39">
        <v>0</v>
      </c>
      <c r="O86" s="39">
        <v>0</v>
      </c>
      <c r="P86" s="39">
        <v>0</v>
      </c>
      <c r="Q86" s="40">
        <v>0</v>
      </c>
      <c r="R86" s="105">
        <f>SUM(K86:Q86)</f>
        <v>2</v>
      </c>
      <c r="T86" s="38">
        <v>0</v>
      </c>
      <c r="U86" s="39">
        <v>0</v>
      </c>
      <c r="V86" s="39">
        <v>0</v>
      </c>
      <c r="W86" s="39">
        <v>0</v>
      </c>
      <c r="X86" s="39">
        <v>0</v>
      </c>
      <c r="Y86" s="39">
        <v>0</v>
      </c>
      <c r="Z86" s="40">
        <v>0</v>
      </c>
      <c r="AA86" s="105">
        <f>SUM(T86:Z86)</f>
        <v>0</v>
      </c>
      <c r="AC86" s="105">
        <f>SUM(I86+R86+AA86)</f>
        <v>198</v>
      </c>
    </row>
    <row r="87" spans="1:29" ht="15.75" customHeight="1">
      <c r="A87" s="106">
        <v>0.55208333333333337</v>
      </c>
      <c r="B87" s="42">
        <v>155</v>
      </c>
      <c r="C87" s="43">
        <v>12</v>
      </c>
      <c r="D87" s="43">
        <v>1</v>
      </c>
      <c r="E87" s="43">
        <v>0</v>
      </c>
      <c r="F87" s="43">
        <v>4</v>
      </c>
      <c r="G87" s="43">
        <v>0</v>
      </c>
      <c r="H87" s="46">
        <v>0</v>
      </c>
      <c r="I87" s="107">
        <f>SUM(B87:H87)</f>
        <v>172</v>
      </c>
      <c r="K87" s="42">
        <v>2</v>
      </c>
      <c r="L87" s="43">
        <v>0</v>
      </c>
      <c r="M87" s="43">
        <v>0</v>
      </c>
      <c r="N87" s="43">
        <v>0</v>
      </c>
      <c r="O87" s="43">
        <v>0</v>
      </c>
      <c r="P87" s="43">
        <v>0</v>
      </c>
      <c r="Q87" s="46">
        <v>0</v>
      </c>
      <c r="R87" s="107">
        <f>SUM(K87:Q87)</f>
        <v>2</v>
      </c>
      <c r="T87" s="42">
        <v>0</v>
      </c>
      <c r="U87" s="43">
        <v>0</v>
      </c>
      <c r="V87" s="43">
        <v>0</v>
      </c>
      <c r="W87" s="43">
        <v>0</v>
      </c>
      <c r="X87" s="43">
        <v>0</v>
      </c>
      <c r="Y87" s="43">
        <v>0</v>
      </c>
      <c r="Z87" s="46">
        <v>0</v>
      </c>
      <c r="AA87" s="107">
        <f>SUM(T87:Z87)</f>
        <v>0</v>
      </c>
      <c r="AC87" s="107">
        <f>SUM(I87+R87+AA87)</f>
        <v>174</v>
      </c>
    </row>
    <row r="88" spans="1:29" ht="15.75" customHeight="1">
      <c r="A88" s="106">
        <v>0.5625</v>
      </c>
      <c r="B88" s="42">
        <v>155</v>
      </c>
      <c r="C88" s="43">
        <v>12</v>
      </c>
      <c r="D88" s="43">
        <v>0</v>
      </c>
      <c r="E88" s="43">
        <v>0</v>
      </c>
      <c r="F88" s="43">
        <v>6</v>
      </c>
      <c r="G88" s="43">
        <v>2</v>
      </c>
      <c r="H88" s="46">
        <v>0</v>
      </c>
      <c r="I88" s="107">
        <f>SUM(B88:H88)</f>
        <v>175</v>
      </c>
      <c r="K88" s="42">
        <v>3</v>
      </c>
      <c r="L88" s="43">
        <v>0</v>
      </c>
      <c r="M88" s="43">
        <v>0</v>
      </c>
      <c r="N88" s="43">
        <v>0</v>
      </c>
      <c r="O88" s="43">
        <v>0</v>
      </c>
      <c r="P88" s="43">
        <v>0</v>
      </c>
      <c r="Q88" s="46">
        <v>0</v>
      </c>
      <c r="R88" s="107">
        <f>SUM(K88:Q88)</f>
        <v>3</v>
      </c>
      <c r="T88" s="42">
        <v>0</v>
      </c>
      <c r="U88" s="43">
        <v>0</v>
      </c>
      <c r="V88" s="43">
        <v>0</v>
      </c>
      <c r="W88" s="43">
        <v>0</v>
      </c>
      <c r="X88" s="43">
        <v>0</v>
      </c>
      <c r="Y88" s="43">
        <v>0</v>
      </c>
      <c r="Z88" s="46">
        <v>0</v>
      </c>
      <c r="AA88" s="107">
        <f>SUM(T88:Z88)</f>
        <v>0</v>
      </c>
      <c r="AC88" s="107">
        <f>SUM(I88+R88+AA88)</f>
        <v>178</v>
      </c>
    </row>
    <row r="89" spans="1:29" ht="15.75" customHeight="1">
      <c r="A89" s="108">
        <v>0.57291666666666663</v>
      </c>
      <c r="B89" s="48">
        <v>151</v>
      </c>
      <c r="C89" s="49">
        <v>9</v>
      </c>
      <c r="D89" s="49">
        <v>0</v>
      </c>
      <c r="E89" s="49">
        <v>1</v>
      </c>
      <c r="F89" s="49">
        <v>3</v>
      </c>
      <c r="G89" s="49">
        <v>0</v>
      </c>
      <c r="H89" s="50">
        <v>0</v>
      </c>
      <c r="I89" s="109">
        <f>SUM(B89:H89)</f>
        <v>164</v>
      </c>
      <c r="K89" s="48">
        <v>0</v>
      </c>
      <c r="L89" s="49">
        <v>0</v>
      </c>
      <c r="M89" s="49">
        <v>0</v>
      </c>
      <c r="N89" s="49">
        <v>0</v>
      </c>
      <c r="O89" s="49">
        <v>0</v>
      </c>
      <c r="P89" s="49">
        <v>0</v>
      </c>
      <c r="Q89" s="50">
        <v>0</v>
      </c>
      <c r="R89" s="109">
        <f>SUM(K89:Q89)</f>
        <v>0</v>
      </c>
      <c r="T89" s="48">
        <v>0</v>
      </c>
      <c r="U89" s="49">
        <v>0</v>
      </c>
      <c r="V89" s="49">
        <v>0</v>
      </c>
      <c r="W89" s="49">
        <v>0</v>
      </c>
      <c r="X89" s="49">
        <v>0</v>
      </c>
      <c r="Y89" s="49">
        <v>0</v>
      </c>
      <c r="Z89" s="50">
        <v>0</v>
      </c>
      <c r="AA89" s="109">
        <f>SUM(T89:Z89)</f>
        <v>0</v>
      </c>
      <c r="AC89" s="109">
        <f>SUM(I89+R89+AA89)</f>
        <v>164</v>
      </c>
    </row>
    <row r="90" spans="1:29" ht="15.75" customHeight="1">
      <c r="A90" s="55" t="s">
        <v>24</v>
      </c>
      <c r="B90" s="52">
        <f t="shared" ref="B90:I90" si="41">SUM(B86:B89)</f>
        <v>644</v>
      </c>
      <c r="C90" s="53">
        <f t="shared" si="41"/>
        <v>41</v>
      </c>
      <c r="D90" s="53">
        <f t="shared" si="41"/>
        <v>1</v>
      </c>
      <c r="E90" s="53">
        <f t="shared" si="41"/>
        <v>1</v>
      </c>
      <c r="F90" s="53">
        <f t="shared" si="41"/>
        <v>17</v>
      </c>
      <c r="G90" s="53">
        <f t="shared" si="41"/>
        <v>2</v>
      </c>
      <c r="H90" s="54">
        <f t="shared" si="41"/>
        <v>1</v>
      </c>
      <c r="I90" s="55">
        <f t="shared" si="41"/>
        <v>707</v>
      </c>
      <c r="K90" s="52">
        <f t="shared" ref="K90:R90" si="42">SUM(K86:K89)</f>
        <v>7</v>
      </c>
      <c r="L90" s="53">
        <f t="shared" si="42"/>
        <v>0</v>
      </c>
      <c r="M90" s="53">
        <f t="shared" si="42"/>
        <v>0</v>
      </c>
      <c r="N90" s="53">
        <f t="shared" si="42"/>
        <v>0</v>
      </c>
      <c r="O90" s="53">
        <f t="shared" si="42"/>
        <v>0</v>
      </c>
      <c r="P90" s="53">
        <f t="shared" si="42"/>
        <v>0</v>
      </c>
      <c r="Q90" s="54">
        <f t="shared" si="42"/>
        <v>0</v>
      </c>
      <c r="R90" s="55">
        <f t="shared" si="42"/>
        <v>7</v>
      </c>
      <c r="T90" s="52">
        <f t="shared" ref="T90:AA90" si="43">SUM(T86:T89)</f>
        <v>0</v>
      </c>
      <c r="U90" s="53">
        <f t="shared" si="43"/>
        <v>0</v>
      </c>
      <c r="V90" s="53">
        <f t="shared" si="43"/>
        <v>0</v>
      </c>
      <c r="W90" s="53">
        <f t="shared" si="43"/>
        <v>0</v>
      </c>
      <c r="X90" s="53">
        <f t="shared" si="43"/>
        <v>0</v>
      </c>
      <c r="Y90" s="53">
        <f t="shared" si="43"/>
        <v>0</v>
      </c>
      <c r="Z90" s="54">
        <f t="shared" si="43"/>
        <v>0</v>
      </c>
      <c r="AA90" s="55">
        <f t="shared" si="43"/>
        <v>0</v>
      </c>
      <c r="AC90" s="55">
        <f>SUM(AC86:AC89)</f>
        <v>714</v>
      </c>
    </row>
    <row r="91" spans="1:29" ht="15.75" customHeight="1">
      <c r="A91" s="104">
        <v>0.58333333333333337</v>
      </c>
      <c r="B91" s="38">
        <v>154</v>
      </c>
      <c r="C91" s="39">
        <v>13</v>
      </c>
      <c r="D91" s="39">
        <v>0</v>
      </c>
      <c r="E91" s="39">
        <v>0</v>
      </c>
      <c r="F91" s="39">
        <v>6</v>
      </c>
      <c r="G91" s="39">
        <v>0</v>
      </c>
      <c r="H91" s="40">
        <v>0</v>
      </c>
      <c r="I91" s="105">
        <f>SUM(B91:H91)</f>
        <v>173</v>
      </c>
      <c r="K91" s="38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40">
        <v>0</v>
      </c>
      <c r="R91" s="105">
        <f>SUM(K91:Q91)</f>
        <v>0</v>
      </c>
      <c r="T91" s="38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40">
        <v>0</v>
      </c>
      <c r="AA91" s="105">
        <f>SUM(T91:Z91)</f>
        <v>0</v>
      </c>
      <c r="AC91" s="105">
        <f>SUM(I91+R91+AA91)</f>
        <v>173</v>
      </c>
    </row>
    <row r="92" spans="1:29" ht="15.75" customHeight="1">
      <c r="A92" s="106">
        <v>0.59375</v>
      </c>
      <c r="B92" s="42">
        <v>145</v>
      </c>
      <c r="C92" s="43">
        <v>11</v>
      </c>
      <c r="D92" s="43">
        <v>1</v>
      </c>
      <c r="E92" s="43">
        <v>0</v>
      </c>
      <c r="F92" s="43">
        <v>3</v>
      </c>
      <c r="G92" s="43">
        <v>1</v>
      </c>
      <c r="H92" s="46">
        <v>1</v>
      </c>
      <c r="I92" s="107">
        <f>SUM(B92:H92)</f>
        <v>162</v>
      </c>
      <c r="K92" s="42">
        <v>2</v>
      </c>
      <c r="L92" s="43">
        <v>0</v>
      </c>
      <c r="M92" s="43">
        <v>0</v>
      </c>
      <c r="N92" s="43">
        <v>0</v>
      </c>
      <c r="O92" s="43">
        <v>0</v>
      </c>
      <c r="P92" s="43">
        <v>0</v>
      </c>
      <c r="Q92" s="46">
        <v>0</v>
      </c>
      <c r="R92" s="107">
        <f>SUM(K92:Q92)</f>
        <v>2</v>
      </c>
      <c r="T92" s="42">
        <v>0</v>
      </c>
      <c r="U92" s="43">
        <v>0</v>
      </c>
      <c r="V92" s="43">
        <v>0</v>
      </c>
      <c r="W92" s="43">
        <v>0</v>
      </c>
      <c r="X92" s="43">
        <v>0</v>
      </c>
      <c r="Y92" s="43">
        <v>0</v>
      </c>
      <c r="Z92" s="46">
        <v>0</v>
      </c>
      <c r="AA92" s="107">
        <f>SUM(T92:Z92)</f>
        <v>0</v>
      </c>
      <c r="AC92" s="107">
        <f>SUM(I92+R92+AA92)</f>
        <v>164</v>
      </c>
    </row>
    <row r="93" spans="1:29" ht="15.75" customHeight="1">
      <c r="A93" s="106">
        <v>0.60416666666666663</v>
      </c>
      <c r="B93" s="42">
        <v>158</v>
      </c>
      <c r="C93" s="43">
        <v>10</v>
      </c>
      <c r="D93" s="43">
        <v>1</v>
      </c>
      <c r="E93" s="43">
        <v>0</v>
      </c>
      <c r="F93" s="43">
        <v>8</v>
      </c>
      <c r="G93" s="43">
        <v>1</v>
      </c>
      <c r="H93" s="46">
        <v>0</v>
      </c>
      <c r="I93" s="107">
        <f>SUM(B93:H93)</f>
        <v>178</v>
      </c>
      <c r="K93" s="42">
        <v>1</v>
      </c>
      <c r="L93" s="43">
        <v>0</v>
      </c>
      <c r="M93" s="43">
        <v>0</v>
      </c>
      <c r="N93" s="43">
        <v>0</v>
      </c>
      <c r="O93" s="43">
        <v>0</v>
      </c>
      <c r="P93" s="43">
        <v>0</v>
      </c>
      <c r="Q93" s="46">
        <v>0</v>
      </c>
      <c r="R93" s="107">
        <f>SUM(K93:Q93)</f>
        <v>1</v>
      </c>
      <c r="T93" s="42">
        <v>0</v>
      </c>
      <c r="U93" s="43">
        <v>0</v>
      </c>
      <c r="V93" s="43">
        <v>0</v>
      </c>
      <c r="W93" s="43">
        <v>0</v>
      </c>
      <c r="X93" s="43">
        <v>0</v>
      </c>
      <c r="Y93" s="43">
        <v>0</v>
      </c>
      <c r="Z93" s="46">
        <v>0</v>
      </c>
      <c r="AA93" s="107">
        <f>SUM(T93:Z93)</f>
        <v>0</v>
      </c>
      <c r="AC93" s="107">
        <f>SUM(I93+R93+AA93)</f>
        <v>179</v>
      </c>
    </row>
    <row r="94" spans="1:29" ht="15.75" customHeight="1">
      <c r="A94" s="108">
        <v>0.61458333333333337</v>
      </c>
      <c r="B94" s="48">
        <v>155</v>
      </c>
      <c r="C94" s="49">
        <v>9</v>
      </c>
      <c r="D94" s="49">
        <v>0</v>
      </c>
      <c r="E94" s="49">
        <v>0</v>
      </c>
      <c r="F94" s="49">
        <v>3</v>
      </c>
      <c r="G94" s="49">
        <v>0</v>
      </c>
      <c r="H94" s="50">
        <v>0</v>
      </c>
      <c r="I94" s="109">
        <f>SUM(B94:H94)</f>
        <v>167</v>
      </c>
      <c r="K94" s="48">
        <v>3</v>
      </c>
      <c r="L94" s="49">
        <v>0</v>
      </c>
      <c r="M94" s="49">
        <v>0</v>
      </c>
      <c r="N94" s="49">
        <v>0</v>
      </c>
      <c r="O94" s="49">
        <v>0</v>
      </c>
      <c r="P94" s="49">
        <v>0</v>
      </c>
      <c r="Q94" s="50">
        <v>0</v>
      </c>
      <c r="R94" s="109">
        <f>SUM(K94:Q94)</f>
        <v>3</v>
      </c>
      <c r="T94" s="48">
        <v>0</v>
      </c>
      <c r="U94" s="49">
        <v>0</v>
      </c>
      <c r="V94" s="49">
        <v>0</v>
      </c>
      <c r="W94" s="49">
        <v>0</v>
      </c>
      <c r="X94" s="49">
        <v>0</v>
      </c>
      <c r="Y94" s="49">
        <v>0</v>
      </c>
      <c r="Z94" s="50">
        <v>0</v>
      </c>
      <c r="AA94" s="109">
        <f>SUM(T94:Z94)</f>
        <v>0</v>
      </c>
      <c r="AC94" s="109">
        <f>SUM(I94+R94+AA94)</f>
        <v>170</v>
      </c>
    </row>
    <row r="95" spans="1:29" ht="15.75" customHeight="1">
      <c r="A95" s="55" t="s">
        <v>24</v>
      </c>
      <c r="B95" s="52">
        <f t="shared" ref="B95:I95" si="44">SUM(B91:B94)</f>
        <v>612</v>
      </c>
      <c r="C95" s="53">
        <f t="shared" si="44"/>
        <v>43</v>
      </c>
      <c r="D95" s="53">
        <f t="shared" si="44"/>
        <v>2</v>
      </c>
      <c r="E95" s="53">
        <f t="shared" si="44"/>
        <v>0</v>
      </c>
      <c r="F95" s="53">
        <f t="shared" si="44"/>
        <v>20</v>
      </c>
      <c r="G95" s="53">
        <f t="shared" si="44"/>
        <v>2</v>
      </c>
      <c r="H95" s="54">
        <f t="shared" si="44"/>
        <v>1</v>
      </c>
      <c r="I95" s="55">
        <f t="shared" si="44"/>
        <v>680</v>
      </c>
      <c r="K95" s="52">
        <f t="shared" ref="K95:R95" si="45">SUM(K91:K94)</f>
        <v>6</v>
      </c>
      <c r="L95" s="53">
        <f t="shared" si="45"/>
        <v>0</v>
      </c>
      <c r="M95" s="53">
        <f t="shared" si="45"/>
        <v>0</v>
      </c>
      <c r="N95" s="53">
        <f t="shared" si="45"/>
        <v>0</v>
      </c>
      <c r="O95" s="53">
        <f t="shared" si="45"/>
        <v>0</v>
      </c>
      <c r="P95" s="53">
        <f t="shared" si="45"/>
        <v>0</v>
      </c>
      <c r="Q95" s="54">
        <f t="shared" si="45"/>
        <v>0</v>
      </c>
      <c r="R95" s="55">
        <f t="shared" si="45"/>
        <v>6</v>
      </c>
      <c r="T95" s="52">
        <f t="shared" ref="T95:AA95" si="46">SUM(T91:T94)</f>
        <v>0</v>
      </c>
      <c r="U95" s="53">
        <f t="shared" si="46"/>
        <v>0</v>
      </c>
      <c r="V95" s="53">
        <f t="shared" si="46"/>
        <v>0</v>
      </c>
      <c r="W95" s="53">
        <f t="shared" si="46"/>
        <v>0</v>
      </c>
      <c r="X95" s="53">
        <f t="shared" si="46"/>
        <v>0</v>
      </c>
      <c r="Y95" s="53">
        <f t="shared" si="46"/>
        <v>0</v>
      </c>
      <c r="Z95" s="54">
        <f t="shared" si="46"/>
        <v>0</v>
      </c>
      <c r="AA95" s="55">
        <f t="shared" si="46"/>
        <v>0</v>
      </c>
      <c r="AC95" s="55">
        <f>SUM(AC91:AC94)</f>
        <v>686</v>
      </c>
    </row>
    <row r="96" spans="1:29" ht="15.75" customHeight="1">
      <c r="A96" s="104">
        <v>0.625</v>
      </c>
      <c r="B96" s="38">
        <v>146</v>
      </c>
      <c r="C96" s="39">
        <v>12</v>
      </c>
      <c r="D96" s="39">
        <v>0</v>
      </c>
      <c r="E96" s="39">
        <v>0</v>
      </c>
      <c r="F96" s="39">
        <v>3</v>
      </c>
      <c r="G96" s="39">
        <v>0</v>
      </c>
      <c r="H96" s="40">
        <v>3</v>
      </c>
      <c r="I96" s="105">
        <f>SUM(B96:H96)</f>
        <v>164</v>
      </c>
      <c r="K96" s="38">
        <v>1</v>
      </c>
      <c r="L96" s="39">
        <v>0</v>
      </c>
      <c r="M96" s="39">
        <v>0</v>
      </c>
      <c r="N96" s="39">
        <v>0</v>
      </c>
      <c r="O96" s="39">
        <v>0</v>
      </c>
      <c r="P96" s="39">
        <v>0</v>
      </c>
      <c r="Q96" s="40">
        <v>0</v>
      </c>
      <c r="R96" s="105">
        <f>SUM(K96:Q96)</f>
        <v>1</v>
      </c>
      <c r="T96" s="38">
        <v>0</v>
      </c>
      <c r="U96" s="39">
        <v>0</v>
      </c>
      <c r="V96" s="39">
        <v>0</v>
      </c>
      <c r="W96" s="39">
        <v>0</v>
      </c>
      <c r="X96" s="39">
        <v>0</v>
      </c>
      <c r="Y96" s="39">
        <v>0</v>
      </c>
      <c r="Z96" s="40">
        <v>0</v>
      </c>
      <c r="AA96" s="105">
        <f>SUM(T96:Z96)</f>
        <v>0</v>
      </c>
      <c r="AC96" s="105">
        <f>SUM(I96+R96+AA96)</f>
        <v>165</v>
      </c>
    </row>
    <row r="97" spans="1:29" ht="15.75" customHeight="1">
      <c r="A97" s="106">
        <v>0.63541666666666663</v>
      </c>
      <c r="B97" s="42">
        <v>130</v>
      </c>
      <c r="C97" s="43">
        <v>9</v>
      </c>
      <c r="D97" s="43">
        <v>0</v>
      </c>
      <c r="E97" s="43">
        <v>0</v>
      </c>
      <c r="F97" s="43">
        <v>7</v>
      </c>
      <c r="G97" s="43">
        <v>0</v>
      </c>
      <c r="H97" s="46">
        <v>2</v>
      </c>
      <c r="I97" s="107">
        <f>SUM(B97:H97)</f>
        <v>148</v>
      </c>
      <c r="K97" s="42">
        <v>4</v>
      </c>
      <c r="L97" s="43">
        <v>0</v>
      </c>
      <c r="M97" s="43">
        <v>0</v>
      </c>
      <c r="N97" s="43">
        <v>0</v>
      </c>
      <c r="O97" s="43">
        <v>0</v>
      </c>
      <c r="P97" s="43">
        <v>0</v>
      </c>
      <c r="Q97" s="46">
        <v>0</v>
      </c>
      <c r="R97" s="107">
        <f>SUM(K97:Q97)</f>
        <v>4</v>
      </c>
      <c r="T97" s="42">
        <v>0</v>
      </c>
      <c r="U97" s="43">
        <v>0</v>
      </c>
      <c r="V97" s="43">
        <v>0</v>
      </c>
      <c r="W97" s="43">
        <v>0</v>
      </c>
      <c r="X97" s="43">
        <v>0</v>
      </c>
      <c r="Y97" s="43">
        <v>0</v>
      </c>
      <c r="Z97" s="46">
        <v>0</v>
      </c>
      <c r="AA97" s="107">
        <f>SUM(T97:Z97)</f>
        <v>0</v>
      </c>
      <c r="AC97" s="107">
        <f>SUM(I97+R97+AA97)</f>
        <v>152</v>
      </c>
    </row>
    <row r="98" spans="1:29" ht="15.75" customHeight="1">
      <c r="A98" s="106">
        <v>0.64583333333333337</v>
      </c>
      <c r="B98" s="42">
        <v>176</v>
      </c>
      <c r="C98" s="43">
        <v>11</v>
      </c>
      <c r="D98" s="43">
        <v>1</v>
      </c>
      <c r="E98" s="43">
        <v>0</v>
      </c>
      <c r="F98" s="43">
        <v>3</v>
      </c>
      <c r="G98" s="43">
        <v>0</v>
      </c>
      <c r="H98" s="46">
        <v>1</v>
      </c>
      <c r="I98" s="107">
        <f>SUM(B98:H98)</f>
        <v>192</v>
      </c>
      <c r="K98" s="42">
        <v>3</v>
      </c>
      <c r="L98" s="43">
        <v>0</v>
      </c>
      <c r="M98" s="43">
        <v>0</v>
      </c>
      <c r="N98" s="43">
        <v>0</v>
      </c>
      <c r="O98" s="43">
        <v>0</v>
      </c>
      <c r="P98" s="43">
        <v>0</v>
      </c>
      <c r="Q98" s="46">
        <v>0</v>
      </c>
      <c r="R98" s="107">
        <f>SUM(K98:Q98)</f>
        <v>3</v>
      </c>
      <c r="T98" s="42">
        <v>0</v>
      </c>
      <c r="U98" s="43">
        <v>0</v>
      </c>
      <c r="V98" s="43">
        <v>0</v>
      </c>
      <c r="W98" s="43">
        <v>0</v>
      </c>
      <c r="X98" s="43">
        <v>0</v>
      </c>
      <c r="Y98" s="43">
        <v>0</v>
      </c>
      <c r="Z98" s="46">
        <v>0</v>
      </c>
      <c r="AA98" s="107">
        <f>SUM(T98:Z98)</f>
        <v>0</v>
      </c>
      <c r="AC98" s="107">
        <f>SUM(I98+R98+AA98)</f>
        <v>195</v>
      </c>
    </row>
    <row r="99" spans="1:29" ht="15.75" customHeight="1">
      <c r="A99" s="108">
        <v>0.65625</v>
      </c>
      <c r="B99" s="48">
        <v>150</v>
      </c>
      <c r="C99" s="49">
        <v>15</v>
      </c>
      <c r="D99" s="49">
        <v>0</v>
      </c>
      <c r="E99" s="49">
        <v>0</v>
      </c>
      <c r="F99" s="49">
        <v>10</v>
      </c>
      <c r="G99" s="49">
        <v>0</v>
      </c>
      <c r="H99" s="50">
        <v>0</v>
      </c>
      <c r="I99" s="109">
        <f>SUM(B99:H99)</f>
        <v>175</v>
      </c>
      <c r="K99" s="48">
        <v>4</v>
      </c>
      <c r="L99" s="49">
        <v>1</v>
      </c>
      <c r="M99" s="49">
        <v>0</v>
      </c>
      <c r="N99" s="49">
        <v>0</v>
      </c>
      <c r="O99" s="49">
        <v>0</v>
      </c>
      <c r="P99" s="49">
        <v>0</v>
      </c>
      <c r="Q99" s="50">
        <v>0</v>
      </c>
      <c r="R99" s="109">
        <f>SUM(K99:Q99)</f>
        <v>5</v>
      </c>
      <c r="T99" s="48">
        <v>0</v>
      </c>
      <c r="U99" s="49">
        <v>0</v>
      </c>
      <c r="V99" s="49">
        <v>0</v>
      </c>
      <c r="W99" s="49">
        <v>0</v>
      </c>
      <c r="X99" s="49">
        <v>0</v>
      </c>
      <c r="Y99" s="49">
        <v>0</v>
      </c>
      <c r="Z99" s="50">
        <v>0</v>
      </c>
      <c r="AA99" s="109">
        <f>SUM(T99:Z99)</f>
        <v>0</v>
      </c>
      <c r="AC99" s="109">
        <f>SUM(I99+R99+AA99)</f>
        <v>180</v>
      </c>
    </row>
    <row r="100" spans="1:29" ht="15.75" customHeight="1">
      <c r="A100" s="55" t="s">
        <v>24</v>
      </c>
      <c r="B100" s="52">
        <f t="shared" ref="B100:I100" si="47">SUM(B96:B99)</f>
        <v>602</v>
      </c>
      <c r="C100" s="53">
        <f t="shared" si="47"/>
        <v>47</v>
      </c>
      <c r="D100" s="53">
        <f t="shared" si="47"/>
        <v>1</v>
      </c>
      <c r="E100" s="53">
        <f t="shared" si="47"/>
        <v>0</v>
      </c>
      <c r="F100" s="53">
        <f t="shared" si="47"/>
        <v>23</v>
      </c>
      <c r="G100" s="53">
        <f t="shared" si="47"/>
        <v>0</v>
      </c>
      <c r="H100" s="54">
        <f t="shared" si="47"/>
        <v>6</v>
      </c>
      <c r="I100" s="55">
        <f t="shared" si="47"/>
        <v>679</v>
      </c>
      <c r="K100" s="52">
        <f t="shared" ref="K100:R100" si="48">SUM(K96:K99)</f>
        <v>12</v>
      </c>
      <c r="L100" s="53">
        <f t="shared" si="48"/>
        <v>1</v>
      </c>
      <c r="M100" s="53">
        <f t="shared" si="48"/>
        <v>0</v>
      </c>
      <c r="N100" s="53">
        <f t="shared" si="48"/>
        <v>0</v>
      </c>
      <c r="O100" s="53">
        <f t="shared" si="48"/>
        <v>0</v>
      </c>
      <c r="P100" s="53">
        <f t="shared" si="48"/>
        <v>0</v>
      </c>
      <c r="Q100" s="54">
        <f t="shared" si="48"/>
        <v>0</v>
      </c>
      <c r="R100" s="55">
        <f t="shared" si="48"/>
        <v>13</v>
      </c>
      <c r="T100" s="52">
        <f t="shared" ref="T100:AA100" si="49">SUM(T96:T99)</f>
        <v>0</v>
      </c>
      <c r="U100" s="53">
        <f t="shared" si="49"/>
        <v>0</v>
      </c>
      <c r="V100" s="53">
        <f t="shared" si="49"/>
        <v>0</v>
      </c>
      <c r="W100" s="53">
        <f t="shared" si="49"/>
        <v>0</v>
      </c>
      <c r="X100" s="53">
        <f t="shared" si="49"/>
        <v>0</v>
      </c>
      <c r="Y100" s="53">
        <f t="shared" si="49"/>
        <v>0</v>
      </c>
      <c r="Z100" s="54">
        <f t="shared" si="49"/>
        <v>0</v>
      </c>
      <c r="AA100" s="55">
        <f t="shared" si="49"/>
        <v>0</v>
      </c>
      <c r="AC100" s="55">
        <f>SUM(AC96:AC99)</f>
        <v>692</v>
      </c>
    </row>
    <row r="102" spans="1:29" ht="15.75" customHeight="1">
      <c r="A102" s="55" t="s">
        <v>22</v>
      </c>
      <c r="B102" s="52">
        <f t="shared" ref="B102:I102" si="50">SUM(B100+B95+B90+B85+B80)</f>
        <v>3052</v>
      </c>
      <c r="C102" s="53">
        <f t="shared" si="50"/>
        <v>226</v>
      </c>
      <c r="D102" s="53">
        <f t="shared" si="50"/>
        <v>7</v>
      </c>
      <c r="E102" s="53">
        <f t="shared" si="50"/>
        <v>2</v>
      </c>
      <c r="F102" s="53">
        <f t="shared" si="50"/>
        <v>99</v>
      </c>
      <c r="G102" s="53">
        <f t="shared" si="50"/>
        <v>16</v>
      </c>
      <c r="H102" s="54">
        <f t="shared" si="50"/>
        <v>18</v>
      </c>
      <c r="I102" s="55">
        <f t="shared" si="50"/>
        <v>3420</v>
      </c>
      <c r="K102" s="52">
        <f t="shared" ref="K102:R102" si="51">SUM(K100+K95+K90+K85+K80)</f>
        <v>40</v>
      </c>
      <c r="L102" s="53">
        <f t="shared" si="51"/>
        <v>6</v>
      </c>
      <c r="M102" s="53">
        <f t="shared" si="51"/>
        <v>0</v>
      </c>
      <c r="N102" s="53">
        <f t="shared" si="51"/>
        <v>0</v>
      </c>
      <c r="O102" s="53">
        <f t="shared" si="51"/>
        <v>0</v>
      </c>
      <c r="P102" s="53">
        <f t="shared" si="51"/>
        <v>0</v>
      </c>
      <c r="Q102" s="54">
        <f t="shared" si="51"/>
        <v>0</v>
      </c>
      <c r="R102" s="55">
        <f t="shared" si="51"/>
        <v>46</v>
      </c>
      <c r="T102" s="52">
        <f t="shared" ref="T102:AA102" si="52">SUM(T100+T95+T90+T85+T80)</f>
        <v>0</v>
      </c>
      <c r="U102" s="53">
        <f t="shared" si="52"/>
        <v>0</v>
      </c>
      <c r="V102" s="53">
        <f t="shared" si="52"/>
        <v>0</v>
      </c>
      <c r="W102" s="53">
        <f t="shared" si="52"/>
        <v>0</v>
      </c>
      <c r="X102" s="53">
        <f t="shared" si="52"/>
        <v>0</v>
      </c>
      <c r="Y102" s="53">
        <f t="shared" si="52"/>
        <v>0</v>
      </c>
      <c r="Z102" s="54">
        <f t="shared" si="52"/>
        <v>0</v>
      </c>
      <c r="AA102" s="55">
        <f t="shared" si="52"/>
        <v>0</v>
      </c>
      <c r="AC102" s="55">
        <f>SUM(AC100+AC95+AC90+AC85+AC80)</f>
        <v>3466</v>
      </c>
    </row>
    <row r="103" spans="1:29" s="102" customFormat="1" ht="15.75" customHeight="1">
      <c r="A103" s="102" t="s">
        <v>56</v>
      </c>
      <c r="I103" s="102">
        <f>SUM(B76:H79,B81:H84,B86:H89,B91:H94,B96:H99)</f>
        <v>3420</v>
      </c>
      <c r="R103" s="102">
        <f>SUM(K76:Q79,K81:Q84,K86:Q89,K91:Q94,K96:Q99)</f>
        <v>46</v>
      </c>
      <c r="AA103" s="102">
        <f>SUM(T76:Z79,T81:Z84,T86:Z89,T91:Z94,T96:Z99)</f>
        <v>0</v>
      </c>
      <c r="AC103" s="102">
        <f>SUM(B103:AA103)</f>
        <v>3466</v>
      </c>
    </row>
    <row r="104" spans="1:29" ht="15.75" customHeight="1">
      <c r="A104" s="51" t="s">
        <v>25</v>
      </c>
    </row>
    <row r="105" spans="1:29" ht="15.75" customHeight="1">
      <c r="B105" s="52" t="s">
        <v>26</v>
      </c>
      <c r="C105" s="53"/>
      <c r="D105" s="53" t="str">
        <f>$D$9</f>
        <v>A - Fishponds Road (E)</v>
      </c>
      <c r="E105" s="53"/>
      <c r="F105" s="53"/>
      <c r="G105" s="53"/>
      <c r="H105" s="54"/>
      <c r="I105" s="55"/>
      <c r="K105" s="52" t="s">
        <v>26</v>
      </c>
      <c r="L105" s="53"/>
      <c r="M105" s="53" t="str">
        <f>$M$9</f>
        <v>B - Drummond Road</v>
      </c>
      <c r="N105" s="53"/>
      <c r="O105" s="53"/>
      <c r="P105" s="53"/>
      <c r="Q105" s="54"/>
      <c r="R105" s="55"/>
      <c r="T105" s="52" t="s">
        <v>26</v>
      </c>
      <c r="U105" s="53"/>
      <c r="V105" s="53" t="str">
        <f>$V$9</f>
        <v>C - Fishponds Road (W)</v>
      </c>
      <c r="W105" s="53"/>
      <c r="X105" s="53"/>
      <c r="Y105" s="53"/>
      <c r="Z105" s="54"/>
      <c r="AA105" s="55"/>
      <c r="AC105" s="116" t="s">
        <v>27</v>
      </c>
    </row>
    <row r="106" spans="1:29" s="56" customFormat="1" ht="15.75" customHeight="1">
      <c r="B106" s="57" t="str">
        <f>$B$10</f>
        <v>CAR</v>
      </c>
      <c r="C106" s="58" t="str">
        <f>$C$10</f>
        <v>LGV</v>
      </c>
      <c r="D106" s="58" t="str">
        <f>$D$10</f>
        <v>OGV1</v>
      </c>
      <c r="E106" s="58" t="str">
        <f>$E$10</f>
        <v>OGV2</v>
      </c>
      <c r="F106" s="58" t="str">
        <f>$F$10</f>
        <v>PSV</v>
      </c>
      <c r="G106" s="58" t="str">
        <f>$G$10</f>
        <v>MC</v>
      </c>
      <c r="H106" s="59" t="str">
        <f>$H$10</f>
        <v>PC</v>
      </c>
      <c r="I106" s="103" t="s">
        <v>22</v>
      </c>
      <c r="K106" s="57" t="str">
        <f>$B$10</f>
        <v>CAR</v>
      </c>
      <c r="L106" s="58" t="str">
        <f>$C$10</f>
        <v>LGV</v>
      </c>
      <c r="M106" s="58" t="str">
        <f>$D$10</f>
        <v>OGV1</v>
      </c>
      <c r="N106" s="58" t="str">
        <f>$E$10</f>
        <v>OGV2</v>
      </c>
      <c r="O106" s="58" t="str">
        <f>$F$10</f>
        <v>PSV</v>
      </c>
      <c r="P106" s="58" t="str">
        <f>$G$10</f>
        <v>MC</v>
      </c>
      <c r="Q106" s="59" t="str">
        <f>$H$10</f>
        <v>PC</v>
      </c>
      <c r="R106" s="103" t="s">
        <v>22</v>
      </c>
      <c r="T106" s="57" t="str">
        <f>$B$10</f>
        <v>CAR</v>
      </c>
      <c r="U106" s="58" t="str">
        <f>$C$10</f>
        <v>LGV</v>
      </c>
      <c r="V106" s="58" t="str">
        <f>$D$10</f>
        <v>OGV1</v>
      </c>
      <c r="W106" s="58" t="str">
        <f>$E$10</f>
        <v>OGV2</v>
      </c>
      <c r="X106" s="58" t="str">
        <f>$F$10</f>
        <v>PSV</v>
      </c>
      <c r="Y106" s="58" t="str">
        <f>$G$10</f>
        <v>MC</v>
      </c>
      <c r="Z106" s="59" t="str">
        <f>$H$10</f>
        <v>PC</v>
      </c>
      <c r="AA106" s="103" t="s">
        <v>22</v>
      </c>
      <c r="AC106" s="117"/>
    </row>
    <row r="108" spans="1:29" ht="15.75" customHeight="1">
      <c r="A108" s="104">
        <v>0.45833333333333331</v>
      </c>
      <c r="B108" s="38">
        <f t="shared" ref="B108:H111" si="53">SUM(B12+K12+T12)</f>
        <v>154</v>
      </c>
      <c r="C108" s="39">
        <f t="shared" si="53"/>
        <v>13</v>
      </c>
      <c r="D108" s="39">
        <f t="shared" si="53"/>
        <v>3</v>
      </c>
      <c r="E108" s="39">
        <f t="shared" si="53"/>
        <v>1</v>
      </c>
      <c r="F108" s="39">
        <f t="shared" si="53"/>
        <v>6</v>
      </c>
      <c r="G108" s="39">
        <f t="shared" si="53"/>
        <v>2</v>
      </c>
      <c r="H108" s="40">
        <f t="shared" si="53"/>
        <v>0</v>
      </c>
      <c r="I108" s="105">
        <f>SUM(B108:H108)</f>
        <v>179</v>
      </c>
      <c r="K108" s="38">
        <f t="shared" ref="K108:Q111" si="54">SUM(B44+K44+T44)</f>
        <v>6</v>
      </c>
      <c r="L108" s="39">
        <f t="shared" si="54"/>
        <v>0</v>
      </c>
      <c r="M108" s="39">
        <f t="shared" si="54"/>
        <v>0</v>
      </c>
      <c r="N108" s="39">
        <f t="shared" si="54"/>
        <v>0</v>
      </c>
      <c r="O108" s="39">
        <f t="shared" si="54"/>
        <v>0</v>
      </c>
      <c r="P108" s="39">
        <f t="shared" si="54"/>
        <v>0</v>
      </c>
      <c r="Q108" s="40">
        <f t="shared" si="54"/>
        <v>0</v>
      </c>
      <c r="R108" s="105">
        <f>SUM(K108:Q108)</f>
        <v>6</v>
      </c>
      <c r="T108" s="38">
        <f t="shared" ref="T108:Z111" si="55">SUM(B76+K76+T76)</f>
        <v>117</v>
      </c>
      <c r="U108" s="39">
        <f t="shared" si="55"/>
        <v>16</v>
      </c>
      <c r="V108" s="39">
        <f t="shared" si="55"/>
        <v>1</v>
      </c>
      <c r="W108" s="39">
        <f t="shared" si="55"/>
        <v>0</v>
      </c>
      <c r="X108" s="39">
        <f t="shared" si="55"/>
        <v>5</v>
      </c>
      <c r="Y108" s="39">
        <f t="shared" si="55"/>
        <v>2</v>
      </c>
      <c r="Z108" s="40">
        <f t="shared" si="55"/>
        <v>0</v>
      </c>
      <c r="AA108" s="105">
        <f>SUM(T108:Z108)</f>
        <v>141</v>
      </c>
      <c r="AC108" s="105">
        <f>SUM(I108+R108+AA108)</f>
        <v>326</v>
      </c>
    </row>
    <row r="109" spans="1:29" ht="15.75" customHeight="1">
      <c r="A109" s="106">
        <v>0.46875</v>
      </c>
      <c r="B109" s="42">
        <f t="shared" si="53"/>
        <v>152</v>
      </c>
      <c r="C109" s="43">
        <f t="shared" si="53"/>
        <v>14</v>
      </c>
      <c r="D109" s="43">
        <f t="shared" si="53"/>
        <v>5</v>
      </c>
      <c r="E109" s="43">
        <f t="shared" si="53"/>
        <v>1</v>
      </c>
      <c r="F109" s="43">
        <f t="shared" si="53"/>
        <v>3</v>
      </c>
      <c r="G109" s="43">
        <f t="shared" si="53"/>
        <v>0</v>
      </c>
      <c r="H109" s="46">
        <f t="shared" si="53"/>
        <v>1</v>
      </c>
      <c r="I109" s="107">
        <f>SUM(B109:H109)</f>
        <v>176</v>
      </c>
      <c r="K109" s="42">
        <f t="shared" si="54"/>
        <v>7</v>
      </c>
      <c r="L109" s="43">
        <f t="shared" si="54"/>
        <v>1</v>
      </c>
      <c r="M109" s="43">
        <f t="shared" si="54"/>
        <v>0</v>
      </c>
      <c r="N109" s="43">
        <f t="shared" si="54"/>
        <v>0</v>
      </c>
      <c r="O109" s="43">
        <f t="shared" si="54"/>
        <v>0</v>
      </c>
      <c r="P109" s="43">
        <f t="shared" si="54"/>
        <v>0</v>
      </c>
      <c r="Q109" s="46">
        <f t="shared" si="54"/>
        <v>0</v>
      </c>
      <c r="R109" s="107">
        <f>SUM(K109:Q109)</f>
        <v>8</v>
      </c>
      <c r="T109" s="42">
        <f t="shared" si="55"/>
        <v>148</v>
      </c>
      <c r="U109" s="43">
        <f t="shared" si="55"/>
        <v>13</v>
      </c>
      <c r="V109" s="43">
        <f t="shared" si="55"/>
        <v>1</v>
      </c>
      <c r="W109" s="43">
        <f t="shared" si="55"/>
        <v>0</v>
      </c>
      <c r="X109" s="43">
        <f t="shared" si="55"/>
        <v>5</v>
      </c>
      <c r="Y109" s="43">
        <f t="shared" si="55"/>
        <v>0</v>
      </c>
      <c r="Z109" s="46">
        <f t="shared" si="55"/>
        <v>2</v>
      </c>
      <c r="AA109" s="107">
        <f>SUM(T109:Z109)</f>
        <v>169</v>
      </c>
      <c r="AC109" s="107">
        <f>SUM(I109+R109+AA109)</f>
        <v>353</v>
      </c>
    </row>
    <row r="110" spans="1:29" ht="15.75" customHeight="1">
      <c r="A110" s="106">
        <v>0.47916666666666669</v>
      </c>
      <c r="B110" s="42">
        <f t="shared" si="53"/>
        <v>171</v>
      </c>
      <c r="C110" s="43">
        <f t="shared" si="53"/>
        <v>10</v>
      </c>
      <c r="D110" s="43">
        <f t="shared" si="53"/>
        <v>0</v>
      </c>
      <c r="E110" s="43">
        <f t="shared" si="53"/>
        <v>0</v>
      </c>
      <c r="F110" s="43">
        <f t="shared" si="53"/>
        <v>3</v>
      </c>
      <c r="G110" s="43">
        <f t="shared" si="53"/>
        <v>2</v>
      </c>
      <c r="H110" s="46">
        <f t="shared" si="53"/>
        <v>1</v>
      </c>
      <c r="I110" s="107">
        <f>SUM(B110:H110)</f>
        <v>187</v>
      </c>
      <c r="K110" s="42">
        <f t="shared" si="54"/>
        <v>6</v>
      </c>
      <c r="L110" s="43">
        <f t="shared" si="54"/>
        <v>1</v>
      </c>
      <c r="M110" s="43">
        <f t="shared" si="54"/>
        <v>1</v>
      </c>
      <c r="N110" s="43">
        <f t="shared" si="54"/>
        <v>0</v>
      </c>
      <c r="O110" s="43">
        <f t="shared" si="54"/>
        <v>0</v>
      </c>
      <c r="P110" s="43">
        <f t="shared" si="54"/>
        <v>0</v>
      </c>
      <c r="Q110" s="46">
        <f t="shared" si="54"/>
        <v>0</v>
      </c>
      <c r="R110" s="107">
        <f>SUM(K110:Q110)</f>
        <v>8</v>
      </c>
      <c r="T110" s="42">
        <f t="shared" si="55"/>
        <v>159</v>
      </c>
      <c r="U110" s="43">
        <f t="shared" si="55"/>
        <v>21</v>
      </c>
      <c r="V110" s="43">
        <f t="shared" si="55"/>
        <v>0</v>
      </c>
      <c r="W110" s="43">
        <f t="shared" si="55"/>
        <v>1</v>
      </c>
      <c r="X110" s="43">
        <f t="shared" si="55"/>
        <v>4</v>
      </c>
      <c r="Y110" s="43">
        <f t="shared" si="55"/>
        <v>2</v>
      </c>
      <c r="Z110" s="46">
        <f t="shared" si="55"/>
        <v>2</v>
      </c>
      <c r="AA110" s="107">
        <f>SUM(T110:Z110)</f>
        <v>189</v>
      </c>
      <c r="AC110" s="107">
        <f>SUM(I110+R110+AA110)</f>
        <v>384</v>
      </c>
    </row>
    <row r="111" spans="1:29" ht="15.75" customHeight="1">
      <c r="A111" s="108">
        <v>0.48958333333333331</v>
      </c>
      <c r="B111" s="48">
        <f t="shared" si="53"/>
        <v>149</v>
      </c>
      <c r="C111" s="49">
        <f t="shared" si="53"/>
        <v>18</v>
      </c>
      <c r="D111" s="49">
        <f t="shared" si="53"/>
        <v>0</v>
      </c>
      <c r="E111" s="49">
        <f t="shared" si="53"/>
        <v>0</v>
      </c>
      <c r="F111" s="49">
        <f t="shared" si="53"/>
        <v>7</v>
      </c>
      <c r="G111" s="49">
        <f t="shared" si="53"/>
        <v>0</v>
      </c>
      <c r="H111" s="50">
        <f t="shared" si="53"/>
        <v>0</v>
      </c>
      <c r="I111" s="109">
        <f>SUM(B111:H111)</f>
        <v>174</v>
      </c>
      <c r="K111" s="48">
        <f t="shared" si="54"/>
        <v>9</v>
      </c>
      <c r="L111" s="49">
        <f t="shared" si="54"/>
        <v>1</v>
      </c>
      <c r="M111" s="49">
        <f t="shared" si="54"/>
        <v>0</v>
      </c>
      <c r="N111" s="49">
        <f t="shared" si="54"/>
        <v>0</v>
      </c>
      <c r="O111" s="49">
        <f t="shared" si="54"/>
        <v>0</v>
      </c>
      <c r="P111" s="49">
        <f t="shared" si="54"/>
        <v>0</v>
      </c>
      <c r="Q111" s="50">
        <f t="shared" si="54"/>
        <v>0</v>
      </c>
      <c r="R111" s="109">
        <f>SUM(K111:Q111)</f>
        <v>10</v>
      </c>
      <c r="T111" s="48">
        <f t="shared" si="55"/>
        <v>169</v>
      </c>
      <c r="U111" s="49">
        <f t="shared" si="55"/>
        <v>13</v>
      </c>
      <c r="V111" s="49">
        <f t="shared" si="55"/>
        <v>0</v>
      </c>
      <c r="W111" s="49">
        <f t="shared" si="55"/>
        <v>0</v>
      </c>
      <c r="X111" s="49">
        <f t="shared" si="55"/>
        <v>5</v>
      </c>
      <c r="Y111" s="49">
        <f t="shared" si="55"/>
        <v>0</v>
      </c>
      <c r="Z111" s="50">
        <f t="shared" si="55"/>
        <v>1</v>
      </c>
      <c r="AA111" s="109">
        <f>SUM(T111:Z111)</f>
        <v>188</v>
      </c>
      <c r="AC111" s="109">
        <f>SUM(I111+R111+AA111)</f>
        <v>372</v>
      </c>
    </row>
    <row r="112" spans="1:29" ht="15.75" customHeight="1">
      <c r="A112" s="55" t="s">
        <v>24</v>
      </c>
      <c r="B112" s="52">
        <f t="shared" ref="B112:I112" si="56">SUM(B108:B111)</f>
        <v>626</v>
      </c>
      <c r="C112" s="53">
        <f t="shared" si="56"/>
        <v>55</v>
      </c>
      <c r="D112" s="53">
        <f t="shared" si="56"/>
        <v>8</v>
      </c>
      <c r="E112" s="53">
        <f t="shared" si="56"/>
        <v>2</v>
      </c>
      <c r="F112" s="53">
        <f t="shared" si="56"/>
        <v>19</v>
      </c>
      <c r="G112" s="53">
        <f t="shared" si="56"/>
        <v>4</v>
      </c>
      <c r="H112" s="54">
        <f t="shared" si="56"/>
        <v>2</v>
      </c>
      <c r="I112" s="55">
        <f t="shared" si="56"/>
        <v>716</v>
      </c>
      <c r="K112" s="52">
        <f t="shared" ref="K112:R112" si="57">SUM(K108:K111)</f>
        <v>28</v>
      </c>
      <c r="L112" s="53">
        <f t="shared" si="57"/>
        <v>3</v>
      </c>
      <c r="M112" s="53">
        <f t="shared" si="57"/>
        <v>1</v>
      </c>
      <c r="N112" s="53">
        <f t="shared" si="57"/>
        <v>0</v>
      </c>
      <c r="O112" s="53">
        <f t="shared" si="57"/>
        <v>0</v>
      </c>
      <c r="P112" s="53">
        <f t="shared" si="57"/>
        <v>0</v>
      </c>
      <c r="Q112" s="54">
        <f t="shared" si="57"/>
        <v>0</v>
      </c>
      <c r="R112" s="55">
        <f t="shared" si="57"/>
        <v>32</v>
      </c>
      <c r="T112" s="52">
        <f t="shared" ref="T112:AA112" si="58">SUM(T108:T111)</f>
        <v>593</v>
      </c>
      <c r="U112" s="53">
        <f t="shared" si="58"/>
        <v>63</v>
      </c>
      <c r="V112" s="53">
        <f t="shared" si="58"/>
        <v>2</v>
      </c>
      <c r="W112" s="53">
        <f t="shared" si="58"/>
        <v>1</v>
      </c>
      <c r="X112" s="53">
        <f t="shared" si="58"/>
        <v>19</v>
      </c>
      <c r="Y112" s="53">
        <f t="shared" si="58"/>
        <v>4</v>
      </c>
      <c r="Z112" s="54">
        <f t="shared" si="58"/>
        <v>5</v>
      </c>
      <c r="AA112" s="55">
        <f t="shared" si="58"/>
        <v>687</v>
      </c>
      <c r="AC112" s="55">
        <f>SUM(AC108:AC111)</f>
        <v>1435</v>
      </c>
    </row>
    <row r="113" spans="1:29" ht="15.75" customHeight="1">
      <c r="A113" s="104">
        <v>0.5</v>
      </c>
      <c r="B113" s="38">
        <f t="shared" ref="B113:H116" si="59">SUM(B17+K17+T17)</f>
        <v>150</v>
      </c>
      <c r="C113" s="39">
        <f t="shared" si="59"/>
        <v>14</v>
      </c>
      <c r="D113" s="39">
        <f t="shared" si="59"/>
        <v>0</v>
      </c>
      <c r="E113" s="39">
        <f t="shared" si="59"/>
        <v>0</v>
      </c>
      <c r="F113" s="39">
        <f t="shared" si="59"/>
        <v>6</v>
      </c>
      <c r="G113" s="39">
        <f t="shared" si="59"/>
        <v>0</v>
      </c>
      <c r="H113" s="40">
        <f t="shared" si="59"/>
        <v>3</v>
      </c>
      <c r="I113" s="105">
        <f>SUM(B113:H113)</f>
        <v>173</v>
      </c>
      <c r="K113" s="38">
        <f t="shared" ref="K113:Q116" si="60">SUM(B49+K49+T49)</f>
        <v>4</v>
      </c>
      <c r="L113" s="39">
        <f t="shared" si="60"/>
        <v>1</v>
      </c>
      <c r="M113" s="39">
        <f t="shared" si="60"/>
        <v>0</v>
      </c>
      <c r="N113" s="39">
        <f t="shared" si="60"/>
        <v>0</v>
      </c>
      <c r="O113" s="39">
        <f t="shared" si="60"/>
        <v>0</v>
      </c>
      <c r="P113" s="39">
        <f t="shared" si="60"/>
        <v>0</v>
      </c>
      <c r="Q113" s="40">
        <f t="shared" si="60"/>
        <v>0</v>
      </c>
      <c r="R113" s="105">
        <f>SUM(K113:Q113)</f>
        <v>5</v>
      </c>
      <c r="T113" s="38">
        <f t="shared" ref="T113:Z116" si="61">SUM(B81+K81+T81)</f>
        <v>141</v>
      </c>
      <c r="U113" s="39">
        <f t="shared" si="61"/>
        <v>8</v>
      </c>
      <c r="V113" s="39">
        <f t="shared" si="61"/>
        <v>1</v>
      </c>
      <c r="W113" s="39">
        <f t="shared" si="61"/>
        <v>0</v>
      </c>
      <c r="X113" s="39">
        <f t="shared" si="61"/>
        <v>5</v>
      </c>
      <c r="Y113" s="39">
        <f t="shared" si="61"/>
        <v>4</v>
      </c>
      <c r="Z113" s="40">
        <f t="shared" si="61"/>
        <v>1</v>
      </c>
      <c r="AA113" s="105">
        <f>SUM(T113:Z113)</f>
        <v>160</v>
      </c>
      <c r="AC113" s="105">
        <f>SUM(I113+R113+AA113)</f>
        <v>338</v>
      </c>
    </row>
    <row r="114" spans="1:29" ht="15.75" customHeight="1">
      <c r="A114" s="106">
        <v>0.51041666666666663</v>
      </c>
      <c r="B114" s="42">
        <f t="shared" si="59"/>
        <v>153</v>
      </c>
      <c r="C114" s="43">
        <f t="shared" si="59"/>
        <v>10</v>
      </c>
      <c r="D114" s="43">
        <f t="shared" si="59"/>
        <v>2</v>
      </c>
      <c r="E114" s="43">
        <f t="shared" si="59"/>
        <v>1</v>
      </c>
      <c r="F114" s="43">
        <f t="shared" si="59"/>
        <v>2</v>
      </c>
      <c r="G114" s="43">
        <f t="shared" si="59"/>
        <v>2</v>
      </c>
      <c r="H114" s="46">
        <f t="shared" si="59"/>
        <v>4</v>
      </c>
      <c r="I114" s="107">
        <f>SUM(B114:H114)</f>
        <v>174</v>
      </c>
      <c r="K114" s="42">
        <f t="shared" si="60"/>
        <v>5</v>
      </c>
      <c r="L114" s="43">
        <f t="shared" si="60"/>
        <v>2</v>
      </c>
      <c r="M114" s="43">
        <f t="shared" si="60"/>
        <v>0</v>
      </c>
      <c r="N114" s="43">
        <f t="shared" si="60"/>
        <v>0</v>
      </c>
      <c r="O114" s="43">
        <f t="shared" si="60"/>
        <v>0</v>
      </c>
      <c r="P114" s="43">
        <f t="shared" si="60"/>
        <v>0</v>
      </c>
      <c r="Q114" s="46">
        <f t="shared" si="60"/>
        <v>0</v>
      </c>
      <c r="R114" s="107">
        <f>SUM(K114:Q114)</f>
        <v>7</v>
      </c>
      <c r="T114" s="42">
        <f t="shared" si="61"/>
        <v>156</v>
      </c>
      <c r="U114" s="43">
        <f t="shared" si="61"/>
        <v>7</v>
      </c>
      <c r="V114" s="43">
        <f t="shared" si="61"/>
        <v>0</v>
      </c>
      <c r="W114" s="43">
        <f t="shared" si="61"/>
        <v>0</v>
      </c>
      <c r="X114" s="43">
        <f t="shared" si="61"/>
        <v>5</v>
      </c>
      <c r="Y114" s="43">
        <f t="shared" si="61"/>
        <v>2</v>
      </c>
      <c r="Z114" s="46">
        <f t="shared" si="61"/>
        <v>1</v>
      </c>
      <c r="AA114" s="107">
        <f>SUM(T114:Z114)</f>
        <v>171</v>
      </c>
      <c r="AC114" s="107">
        <f>SUM(I114+R114+AA114)</f>
        <v>352</v>
      </c>
    </row>
    <row r="115" spans="1:29" ht="15.75" customHeight="1">
      <c r="A115" s="106">
        <v>0.52083333333333337</v>
      </c>
      <c r="B115" s="42">
        <f t="shared" si="59"/>
        <v>169</v>
      </c>
      <c r="C115" s="43">
        <f t="shared" si="59"/>
        <v>14</v>
      </c>
      <c r="D115" s="43">
        <f t="shared" si="59"/>
        <v>0</v>
      </c>
      <c r="E115" s="43">
        <f t="shared" si="59"/>
        <v>0</v>
      </c>
      <c r="F115" s="43">
        <f t="shared" si="59"/>
        <v>4</v>
      </c>
      <c r="G115" s="43">
        <f t="shared" si="59"/>
        <v>1</v>
      </c>
      <c r="H115" s="46">
        <f t="shared" si="59"/>
        <v>2</v>
      </c>
      <c r="I115" s="107">
        <f>SUM(B115:H115)</f>
        <v>190</v>
      </c>
      <c r="K115" s="42">
        <f t="shared" si="60"/>
        <v>7</v>
      </c>
      <c r="L115" s="43">
        <f t="shared" si="60"/>
        <v>3</v>
      </c>
      <c r="M115" s="43">
        <f t="shared" si="60"/>
        <v>0</v>
      </c>
      <c r="N115" s="43">
        <f t="shared" si="60"/>
        <v>0</v>
      </c>
      <c r="O115" s="43">
        <f t="shared" si="60"/>
        <v>0</v>
      </c>
      <c r="P115" s="43">
        <f t="shared" si="60"/>
        <v>0</v>
      </c>
      <c r="Q115" s="46">
        <f t="shared" si="60"/>
        <v>0</v>
      </c>
      <c r="R115" s="107">
        <f>SUM(K115:Q115)</f>
        <v>10</v>
      </c>
      <c r="T115" s="42">
        <f t="shared" si="61"/>
        <v>150</v>
      </c>
      <c r="U115" s="43">
        <f t="shared" si="61"/>
        <v>10</v>
      </c>
      <c r="V115" s="43">
        <f t="shared" si="61"/>
        <v>0</v>
      </c>
      <c r="W115" s="43">
        <f t="shared" si="61"/>
        <v>0</v>
      </c>
      <c r="X115" s="43">
        <f t="shared" si="61"/>
        <v>4</v>
      </c>
      <c r="Y115" s="43">
        <f t="shared" si="61"/>
        <v>1</v>
      </c>
      <c r="Z115" s="46">
        <f t="shared" si="61"/>
        <v>3</v>
      </c>
      <c r="AA115" s="107">
        <f>SUM(T115:Z115)</f>
        <v>168</v>
      </c>
      <c r="AC115" s="107">
        <f>SUM(I115+R115+AA115)</f>
        <v>368</v>
      </c>
    </row>
    <row r="116" spans="1:29" ht="15.75" customHeight="1">
      <c r="A116" s="108">
        <v>0.53125</v>
      </c>
      <c r="B116" s="48">
        <f t="shared" si="59"/>
        <v>174</v>
      </c>
      <c r="C116" s="49">
        <f t="shared" si="59"/>
        <v>15</v>
      </c>
      <c r="D116" s="49">
        <f t="shared" si="59"/>
        <v>0</v>
      </c>
      <c r="E116" s="49">
        <f t="shared" si="59"/>
        <v>0</v>
      </c>
      <c r="F116" s="49">
        <f t="shared" si="59"/>
        <v>7</v>
      </c>
      <c r="G116" s="49">
        <f t="shared" si="59"/>
        <v>1</v>
      </c>
      <c r="H116" s="50">
        <f t="shared" si="59"/>
        <v>0</v>
      </c>
      <c r="I116" s="109">
        <f>SUM(B116:H116)</f>
        <v>197</v>
      </c>
      <c r="K116" s="48">
        <f t="shared" si="60"/>
        <v>3</v>
      </c>
      <c r="L116" s="49">
        <f t="shared" si="60"/>
        <v>0</v>
      </c>
      <c r="M116" s="49">
        <f t="shared" si="60"/>
        <v>0</v>
      </c>
      <c r="N116" s="49">
        <f t="shared" si="60"/>
        <v>0</v>
      </c>
      <c r="O116" s="49">
        <f t="shared" si="60"/>
        <v>0</v>
      </c>
      <c r="P116" s="49">
        <f t="shared" si="60"/>
        <v>0</v>
      </c>
      <c r="Q116" s="50">
        <f t="shared" si="60"/>
        <v>0</v>
      </c>
      <c r="R116" s="109">
        <f>SUM(K116:Q116)</f>
        <v>3</v>
      </c>
      <c r="T116" s="48">
        <f t="shared" si="61"/>
        <v>169</v>
      </c>
      <c r="U116" s="49">
        <f t="shared" si="61"/>
        <v>12</v>
      </c>
      <c r="V116" s="49">
        <f t="shared" si="61"/>
        <v>0</v>
      </c>
      <c r="W116" s="49">
        <f t="shared" si="61"/>
        <v>0</v>
      </c>
      <c r="X116" s="49">
        <f t="shared" si="61"/>
        <v>6</v>
      </c>
      <c r="Y116" s="49">
        <f t="shared" si="61"/>
        <v>1</v>
      </c>
      <c r="Z116" s="50">
        <f t="shared" si="61"/>
        <v>0</v>
      </c>
      <c r="AA116" s="109">
        <f>SUM(T116:Z116)</f>
        <v>188</v>
      </c>
      <c r="AC116" s="109">
        <f>SUM(I116+R116+AA116)</f>
        <v>388</v>
      </c>
    </row>
    <row r="117" spans="1:29" ht="15.75" customHeight="1">
      <c r="A117" s="55" t="s">
        <v>24</v>
      </c>
      <c r="B117" s="52">
        <f t="shared" ref="B117:I117" si="62">SUM(B113:B116)</f>
        <v>646</v>
      </c>
      <c r="C117" s="53">
        <f t="shared" si="62"/>
        <v>53</v>
      </c>
      <c r="D117" s="53">
        <f t="shared" si="62"/>
        <v>2</v>
      </c>
      <c r="E117" s="53">
        <f t="shared" si="62"/>
        <v>1</v>
      </c>
      <c r="F117" s="53">
        <f t="shared" si="62"/>
        <v>19</v>
      </c>
      <c r="G117" s="53">
        <f t="shared" si="62"/>
        <v>4</v>
      </c>
      <c r="H117" s="54">
        <f t="shared" si="62"/>
        <v>9</v>
      </c>
      <c r="I117" s="55">
        <f t="shared" si="62"/>
        <v>734</v>
      </c>
      <c r="K117" s="52">
        <f t="shared" ref="K117:R117" si="63">SUM(K113:K116)</f>
        <v>19</v>
      </c>
      <c r="L117" s="53">
        <f t="shared" si="63"/>
        <v>6</v>
      </c>
      <c r="M117" s="53">
        <f t="shared" si="63"/>
        <v>0</v>
      </c>
      <c r="N117" s="53">
        <f t="shared" si="63"/>
        <v>0</v>
      </c>
      <c r="O117" s="53">
        <f t="shared" si="63"/>
        <v>0</v>
      </c>
      <c r="P117" s="53">
        <f t="shared" si="63"/>
        <v>0</v>
      </c>
      <c r="Q117" s="54">
        <f t="shared" si="63"/>
        <v>0</v>
      </c>
      <c r="R117" s="55">
        <f t="shared" si="63"/>
        <v>25</v>
      </c>
      <c r="T117" s="52">
        <f t="shared" ref="T117:AA117" si="64">SUM(T113:T116)</f>
        <v>616</v>
      </c>
      <c r="U117" s="53">
        <f t="shared" si="64"/>
        <v>37</v>
      </c>
      <c r="V117" s="53">
        <f t="shared" si="64"/>
        <v>1</v>
      </c>
      <c r="W117" s="53">
        <f t="shared" si="64"/>
        <v>0</v>
      </c>
      <c r="X117" s="53">
        <f t="shared" si="64"/>
        <v>20</v>
      </c>
      <c r="Y117" s="53">
        <f t="shared" si="64"/>
        <v>8</v>
      </c>
      <c r="Z117" s="54">
        <f t="shared" si="64"/>
        <v>5</v>
      </c>
      <c r="AA117" s="55">
        <f t="shared" si="64"/>
        <v>687</v>
      </c>
      <c r="AC117" s="55">
        <f>SUM(AC113:AC116)</f>
        <v>1446</v>
      </c>
    </row>
    <row r="118" spans="1:29" ht="15.75" customHeight="1">
      <c r="A118" s="104">
        <v>0.54166666666666663</v>
      </c>
      <c r="B118" s="38">
        <f t="shared" ref="B118:H121" si="65">SUM(B22+K22+T22)</f>
        <v>139</v>
      </c>
      <c r="C118" s="39">
        <f t="shared" si="65"/>
        <v>11</v>
      </c>
      <c r="D118" s="39">
        <f t="shared" si="65"/>
        <v>0</v>
      </c>
      <c r="E118" s="39">
        <f t="shared" si="65"/>
        <v>0</v>
      </c>
      <c r="F118" s="39">
        <f t="shared" si="65"/>
        <v>6</v>
      </c>
      <c r="G118" s="39">
        <f t="shared" si="65"/>
        <v>0</v>
      </c>
      <c r="H118" s="40">
        <f t="shared" si="65"/>
        <v>0</v>
      </c>
      <c r="I118" s="105">
        <f>SUM(B118:H118)</f>
        <v>156</v>
      </c>
      <c r="K118" s="38">
        <f t="shared" ref="K118:Q121" si="66">SUM(B54+K54+T54)</f>
        <v>10</v>
      </c>
      <c r="L118" s="39">
        <f t="shared" si="66"/>
        <v>1</v>
      </c>
      <c r="M118" s="39">
        <f t="shared" si="66"/>
        <v>0</v>
      </c>
      <c r="N118" s="39">
        <f t="shared" si="66"/>
        <v>0</v>
      </c>
      <c r="O118" s="39">
        <f t="shared" si="66"/>
        <v>0</v>
      </c>
      <c r="P118" s="39">
        <f t="shared" si="66"/>
        <v>0</v>
      </c>
      <c r="Q118" s="40">
        <f t="shared" si="66"/>
        <v>0</v>
      </c>
      <c r="R118" s="105">
        <f>SUM(K118:Q118)</f>
        <v>11</v>
      </c>
      <c r="T118" s="38">
        <f t="shared" ref="T118:Z121" si="67">SUM(B86+K86+T86)</f>
        <v>185</v>
      </c>
      <c r="U118" s="39">
        <f t="shared" si="67"/>
        <v>8</v>
      </c>
      <c r="V118" s="39">
        <f t="shared" si="67"/>
        <v>0</v>
      </c>
      <c r="W118" s="39">
        <f t="shared" si="67"/>
        <v>0</v>
      </c>
      <c r="X118" s="39">
        <f t="shared" si="67"/>
        <v>4</v>
      </c>
      <c r="Y118" s="39">
        <f t="shared" si="67"/>
        <v>0</v>
      </c>
      <c r="Z118" s="40">
        <f t="shared" si="67"/>
        <v>1</v>
      </c>
      <c r="AA118" s="105">
        <f>SUM(T118:Z118)</f>
        <v>198</v>
      </c>
      <c r="AC118" s="105">
        <f>SUM(I118+R118+AA118)</f>
        <v>365</v>
      </c>
    </row>
    <row r="119" spans="1:29" ht="15.75" customHeight="1">
      <c r="A119" s="106">
        <v>0.55208333333333337</v>
      </c>
      <c r="B119" s="42">
        <f t="shared" si="65"/>
        <v>179</v>
      </c>
      <c r="C119" s="43">
        <f t="shared" si="65"/>
        <v>12</v>
      </c>
      <c r="D119" s="43">
        <f t="shared" si="65"/>
        <v>0</v>
      </c>
      <c r="E119" s="43">
        <f t="shared" si="65"/>
        <v>0</v>
      </c>
      <c r="F119" s="43">
        <f t="shared" si="65"/>
        <v>4</v>
      </c>
      <c r="G119" s="43">
        <f t="shared" si="65"/>
        <v>0</v>
      </c>
      <c r="H119" s="46">
        <f t="shared" si="65"/>
        <v>1</v>
      </c>
      <c r="I119" s="107">
        <f>SUM(B119:H119)</f>
        <v>196</v>
      </c>
      <c r="K119" s="42">
        <f t="shared" si="66"/>
        <v>7</v>
      </c>
      <c r="L119" s="43">
        <f t="shared" si="66"/>
        <v>0</v>
      </c>
      <c r="M119" s="43">
        <f t="shared" si="66"/>
        <v>0</v>
      </c>
      <c r="N119" s="43">
        <f t="shared" si="66"/>
        <v>0</v>
      </c>
      <c r="O119" s="43">
        <f t="shared" si="66"/>
        <v>0</v>
      </c>
      <c r="P119" s="43">
        <f t="shared" si="66"/>
        <v>0</v>
      </c>
      <c r="Q119" s="46">
        <f t="shared" si="66"/>
        <v>0</v>
      </c>
      <c r="R119" s="107">
        <f>SUM(K119:Q119)</f>
        <v>7</v>
      </c>
      <c r="T119" s="42">
        <f t="shared" si="67"/>
        <v>157</v>
      </c>
      <c r="U119" s="43">
        <f t="shared" si="67"/>
        <v>12</v>
      </c>
      <c r="V119" s="43">
        <f t="shared" si="67"/>
        <v>1</v>
      </c>
      <c r="W119" s="43">
        <f t="shared" si="67"/>
        <v>0</v>
      </c>
      <c r="X119" s="43">
        <f t="shared" si="67"/>
        <v>4</v>
      </c>
      <c r="Y119" s="43">
        <f t="shared" si="67"/>
        <v>0</v>
      </c>
      <c r="Z119" s="46">
        <f t="shared" si="67"/>
        <v>0</v>
      </c>
      <c r="AA119" s="107">
        <f>SUM(T119:Z119)</f>
        <v>174</v>
      </c>
      <c r="AC119" s="107">
        <f>SUM(I119+R119+AA119)</f>
        <v>377</v>
      </c>
    </row>
    <row r="120" spans="1:29" ht="15.75" customHeight="1">
      <c r="A120" s="106">
        <v>0.5625</v>
      </c>
      <c r="B120" s="42">
        <f t="shared" si="65"/>
        <v>146</v>
      </c>
      <c r="C120" s="43">
        <f t="shared" si="65"/>
        <v>19</v>
      </c>
      <c r="D120" s="43">
        <f t="shared" si="65"/>
        <v>1</v>
      </c>
      <c r="E120" s="43">
        <f t="shared" si="65"/>
        <v>0</v>
      </c>
      <c r="F120" s="43">
        <f t="shared" si="65"/>
        <v>5</v>
      </c>
      <c r="G120" s="43">
        <f t="shared" si="65"/>
        <v>2</v>
      </c>
      <c r="H120" s="46">
        <f t="shared" si="65"/>
        <v>0</v>
      </c>
      <c r="I120" s="107">
        <f>SUM(B120:H120)</f>
        <v>173</v>
      </c>
      <c r="K120" s="42">
        <f t="shared" si="66"/>
        <v>3</v>
      </c>
      <c r="L120" s="43">
        <f t="shared" si="66"/>
        <v>0</v>
      </c>
      <c r="M120" s="43">
        <f t="shared" si="66"/>
        <v>0</v>
      </c>
      <c r="N120" s="43">
        <f t="shared" si="66"/>
        <v>0</v>
      </c>
      <c r="O120" s="43">
        <f t="shared" si="66"/>
        <v>0</v>
      </c>
      <c r="P120" s="43">
        <f t="shared" si="66"/>
        <v>0</v>
      </c>
      <c r="Q120" s="46">
        <f t="shared" si="66"/>
        <v>0</v>
      </c>
      <c r="R120" s="107">
        <f>SUM(K120:Q120)</f>
        <v>3</v>
      </c>
      <c r="T120" s="42">
        <f t="shared" si="67"/>
        <v>158</v>
      </c>
      <c r="U120" s="43">
        <f t="shared" si="67"/>
        <v>12</v>
      </c>
      <c r="V120" s="43">
        <f t="shared" si="67"/>
        <v>0</v>
      </c>
      <c r="W120" s="43">
        <f t="shared" si="67"/>
        <v>0</v>
      </c>
      <c r="X120" s="43">
        <f t="shared" si="67"/>
        <v>6</v>
      </c>
      <c r="Y120" s="43">
        <f t="shared" si="67"/>
        <v>2</v>
      </c>
      <c r="Z120" s="46">
        <f t="shared" si="67"/>
        <v>0</v>
      </c>
      <c r="AA120" s="107">
        <f>SUM(T120:Z120)</f>
        <v>178</v>
      </c>
      <c r="AC120" s="107">
        <f>SUM(I120+R120+AA120)</f>
        <v>354</v>
      </c>
    </row>
    <row r="121" spans="1:29" ht="15.75" customHeight="1">
      <c r="A121" s="108">
        <v>0.57291666666666663</v>
      </c>
      <c r="B121" s="48">
        <f t="shared" si="65"/>
        <v>163</v>
      </c>
      <c r="C121" s="49">
        <f t="shared" si="65"/>
        <v>19</v>
      </c>
      <c r="D121" s="49">
        <f t="shared" si="65"/>
        <v>0</v>
      </c>
      <c r="E121" s="49">
        <f t="shared" si="65"/>
        <v>0</v>
      </c>
      <c r="F121" s="49">
        <f t="shared" si="65"/>
        <v>4</v>
      </c>
      <c r="G121" s="49">
        <f t="shared" si="65"/>
        <v>2</v>
      </c>
      <c r="H121" s="50">
        <f t="shared" si="65"/>
        <v>4</v>
      </c>
      <c r="I121" s="109">
        <f>SUM(B121:H121)</f>
        <v>192</v>
      </c>
      <c r="K121" s="48">
        <f t="shared" si="66"/>
        <v>7</v>
      </c>
      <c r="L121" s="49">
        <f t="shared" si="66"/>
        <v>1</v>
      </c>
      <c r="M121" s="49">
        <f t="shared" si="66"/>
        <v>0</v>
      </c>
      <c r="N121" s="49">
        <f t="shared" si="66"/>
        <v>0</v>
      </c>
      <c r="O121" s="49">
        <f t="shared" si="66"/>
        <v>0</v>
      </c>
      <c r="P121" s="49">
        <f t="shared" si="66"/>
        <v>0</v>
      </c>
      <c r="Q121" s="50">
        <f t="shared" si="66"/>
        <v>0</v>
      </c>
      <c r="R121" s="109">
        <f>SUM(K121:Q121)</f>
        <v>8</v>
      </c>
      <c r="T121" s="48">
        <f t="shared" si="67"/>
        <v>151</v>
      </c>
      <c r="U121" s="49">
        <f t="shared" si="67"/>
        <v>9</v>
      </c>
      <c r="V121" s="49">
        <f t="shared" si="67"/>
        <v>0</v>
      </c>
      <c r="W121" s="49">
        <f t="shared" si="67"/>
        <v>1</v>
      </c>
      <c r="X121" s="49">
        <f t="shared" si="67"/>
        <v>3</v>
      </c>
      <c r="Y121" s="49">
        <f t="shared" si="67"/>
        <v>0</v>
      </c>
      <c r="Z121" s="50">
        <f t="shared" si="67"/>
        <v>0</v>
      </c>
      <c r="AA121" s="109">
        <f>SUM(T121:Z121)</f>
        <v>164</v>
      </c>
      <c r="AC121" s="109">
        <f>SUM(I121+R121+AA121)</f>
        <v>364</v>
      </c>
    </row>
    <row r="122" spans="1:29" ht="15.75" customHeight="1">
      <c r="A122" s="55" t="s">
        <v>24</v>
      </c>
      <c r="B122" s="52">
        <f t="shared" ref="B122:I122" si="68">SUM(B118:B121)</f>
        <v>627</v>
      </c>
      <c r="C122" s="53">
        <f t="shared" si="68"/>
        <v>61</v>
      </c>
      <c r="D122" s="53">
        <f t="shared" si="68"/>
        <v>1</v>
      </c>
      <c r="E122" s="53">
        <f t="shared" si="68"/>
        <v>0</v>
      </c>
      <c r="F122" s="53">
        <f t="shared" si="68"/>
        <v>19</v>
      </c>
      <c r="G122" s="53">
        <f t="shared" si="68"/>
        <v>4</v>
      </c>
      <c r="H122" s="54">
        <f t="shared" si="68"/>
        <v>5</v>
      </c>
      <c r="I122" s="55">
        <f t="shared" si="68"/>
        <v>717</v>
      </c>
      <c r="K122" s="52">
        <f t="shared" ref="K122:R122" si="69">SUM(K118:K121)</f>
        <v>27</v>
      </c>
      <c r="L122" s="53">
        <f t="shared" si="69"/>
        <v>2</v>
      </c>
      <c r="M122" s="53">
        <f t="shared" si="69"/>
        <v>0</v>
      </c>
      <c r="N122" s="53">
        <f t="shared" si="69"/>
        <v>0</v>
      </c>
      <c r="O122" s="53">
        <f t="shared" si="69"/>
        <v>0</v>
      </c>
      <c r="P122" s="53">
        <f t="shared" si="69"/>
        <v>0</v>
      </c>
      <c r="Q122" s="54">
        <f t="shared" si="69"/>
        <v>0</v>
      </c>
      <c r="R122" s="55">
        <f t="shared" si="69"/>
        <v>29</v>
      </c>
      <c r="T122" s="52">
        <f t="shared" ref="T122:AA122" si="70">SUM(T118:T121)</f>
        <v>651</v>
      </c>
      <c r="U122" s="53">
        <f t="shared" si="70"/>
        <v>41</v>
      </c>
      <c r="V122" s="53">
        <f t="shared" si="70"/>
        <v>1</v>
      </c>
      <c r="W122" s="53">
        <f t="shared" si="70"/>
        <v>1</v>
      </c>
      <c r="X122" s="53">
        <f t="shared" si="70"/>
        <v>17</v>
      </c>
      <c r="Y122" s="53">
        <f t="shared" si="70"/>
        <v>2</v>
      </c>
      <c r="Z122" s="54">
        <f t="shared" si="70"/>
        <v>1</v>
      </c>
      <c r="AA122" s="55">
        <f t="shared" si="70"/>
        <v>714</v>
      </c>
      <c r="AC122" s="55">
        <f>SUM(AC118:AC121)</f>
        <v>1460</v>
      </c>
    </row>
    <row r="123" spans="1:29" ht="15.75" customHeight="1">
      <c r="A123" s="104">
        <v>0.58333333333333337</v>
      </c>
      <c r="B123" s="38">
        <f t="shared" ref="B123:H126" si="71">SUM(B27+K27+T27)</f>
        <v>131</v>
      </c>
      <c r="C123" s="39">
        <f t="shared" si="71"/>
        <v>9</v>
      </c>
      <c r="D123" s="39">
        <f t="shared" si="71"/>
        <v>1</v>
      </c>
      <c r="E123" s="39">
        <f t="shared" si="71"/>
        <v>0</v>
      </c>
      <c r="F123" s="39">
        <f t="shared" si="71"/>
        <v>7</v>
      </c>
      <c r="G123" s="39">
        <f t="shared" si="71"/>
        <v>0</v>
      </c>
      <c r="H123" s="40">
        <f t="shared" si="71"/>
        <v>0</v>
      </c>
      <c r="I123" s="105">
        <f>SUM(B123:H123)</f>
        <v>148</v>
      </c>
      <c r="K123" s="38">
        <f t="shared" ref="K123:Q126" si="72">SUM(B59+K59+T59)</f>
        <v>5</v>
      </c>
      <c r="L123" s="39">
        <f t="shared" si="72"/>
        <v>0</v>
      </c>
      <c r="M123" s="39">
        <f t="shared" si="72"/>
        <v>0</v>
      </c>
      <c r="N123" s="39">
        <f t="shared" si="72"/>
        <v>0</v>
      </c>
      <c r="O123" s="39">
        <f t="shared" si="72"/>
        <v>0</v>
      </c>
      <c r="P123" s="39">
        <f t="shared" si="72"/>
        <v>0</v>
      </c>
      <c r="Q123" s="40">
        <f t="shared" si="72"/>
        <v>0</v>
      </c>
      <c r="R123" s="105">
        <f>SUM(K123:Q123)</f>
        <v>5</v>
      </c>
      <c r="T123" s="38">
        <f t="shared" ref="T123:Z126" si="73">SUM(B91+K91+T91)</f>
        <v>154</v>
      </c>
      <c r="U123" s="39">
        <f t="shared" si="73"/>
        <v>13</v>
      </c>
      <c r="V123" s="39">
        <f t="shared" si="73"/>
        <v>0</v>
      </c>
      <c r="W123" s="39">
        <f t="shared" si="73"/>
        <v>0</v>
      </c>
      <c r="X123" s="39">
        <f t="shared" si="73"/>
        <v>6</v>
      </c>
      <c r="Y123" s="39">
        <f t="shared" si="73"/>
        <v>0</v>
      </c>
      <c r="Z123" s="40">
        <f t="shared" si="73"/>
        <v>0</v>
      </c>
      <c r="AA123" s="105">
        <f>SUM(T123:Z123)</f>
        <v>173</v>
      </c>
      <c r="AC123" s="105">
        <f>SUM(I123+R123+AA123)</f>
        <v>326</v>
      </c>
    </row>
    <row r="124" spans="1:29" ht="15.75" customHeight="1">
      <c r="A124" s="106">
        <v>0.59375</v>
      </c>
      <c r="B124" s="42">
        <f t="shared" si="71"/>
        <v>164</v>
      </c>
      <c r="C124" s="43">
        <f t="shared" si="71"/>
        <v>7</v>
      </c>
      <c r="D124" s="43">
        <f t="shared" si="71"/>
        <v>1</v>
      </c>
      <c r="E124" s="43">
        <f t="shared" si="71"/>
        <v>0</v>
      </c>
      <c r="F124" s="43">
        <f t="shared" si="71"/>
        <v>3</v>
      </c>
      <c r="G124" s="43">
        <f t="shared" si="71"/>
        <v>1</v>
      </c>
      <c r="H124" s="46">
        <f t="shared" si="71"/>
        <v>1</v>
      </c>
      <c r="I124" s="107">
        <f>SUM(B124:H124)</f>
        <v>177</v>
      </c>
      <c r="K124" s="42">
        <f t="shared" si="72"/>
        <v>2</v>
      </c>
      <c r="L124" s="43">
        <f t="shared" si="72"/>
        <v>0</v>
      </c>
      <c r="M124" s="43">
        <f t="shared" si="72"/>
        <v>0</v>
      </c>
      <c r="N124" s="43">
        <f t="shared" si="72"/>
        <v>0</v>
      </c>
      <c r="O124" s="43">
        <f t="shared" si="72"/>
        <v>0</v>
      </c>
      <c r="P124" s="43">
        <f t="shared" si="72"/>
        <v>0</v>
      </c>
      <c r="Q124" s="46">
        <f t="shared" si="72"/>
        <v>0</v>
      </c>
      <c r="R124" s="107">
        <f>SUM(K124:Q124)</f>
        <v>2</v>
      </c>
      <c r="T124" s="42">
        <f t="shared" si="73"/>
        <v>147</v>
      </c>
      <c r="U124" s="43">
        <f t="shared" si="73"/>
        <v>11</v>
      </c>
      <c r="V124" s="43">
        <f t="shared" si="73"/>
        <v>1</v>
      </c>
      <c r="W124" s="43">
        <f t="shared" si="73"/>
        <v>0</v>
      </c>
      <c r="X124" s="43">
        <f t="shared" si="73"/>
        <v>3</v>
      </c>
      <c r="Y124" s="43">
        <f t="shared" si="73"/>
        <v>1</v>
      </c>
      <c r="Z124" s="46">
        <f t="shared" si="73"/>
        <v>1</v>
      </c>
      <c r="AA124" s="107">
        <f>SUM(T124:Z124)</f>
        <v>164</v>
      </c>
      <c r="AC124" s="107">
        <f>SUM(I124+R124+AA124)</f>
        <v>343</v>
      </c>
    </row>
    <row r="125" spans="1:29" ht="15.75" customHeight="1">
      <c r="A125" s="106">
        <v>0.60416666666666663</v>
      </c>
      <c r="B125" s="42">
        <f t="shared" si="71"/>
        <v>176</v>
      </c>
      <c r="C125" s="43">
        <f t="shared" si="71"/>
        <v>4</v>
      </c>
      <c r="D125" s="43">
        <f t="shared" si="71"/>
        <v>1</v>
      </c>
      <c r="E125" s="43">
        <f t="shared" si="71"/>
        <v>0</v>
      </c>
      <c r="F125" s="43">
        <f t="shared" si="71"/>
        <v>3</v>
      </c>
      <c r="G125" s="43">
        <f t="shared" si="71"/>
        <v>0</v>
      </c>
      <c r="H125" s="46">
        <f t="shared" si="71"/>
        <v>1</v>
      </c>
      <c r="I125" s="107">
        <f>SUM(B125:H125)</f>
        <v>185</v>
      </c>
      <c r="K125" s="42">
        <f t="shared" si="72"/>
        <v>2</v>
      </c>
      <c r="L125" s="43">
        <f t="shared" si="72"/>
        <v>1</v>
      </c>
      <c r="M125" s="43">
        <f t="shared" si="72"/>
        <v>0</v>
      </c>
      <c r="N125" s="43">
        <f t="shared" si="72"/>
        <v>0</v>
      </c>
      <c r="O125" s="43">
        <f t="shared" si="72"/>
        <v>0</v>
      </c>
      <c r="P125" s="43">
        <f t="shared" si="72"/>
        <v>0</v>
      </c>
      <c r="Q125" s="46">
        <f t="shared" si="72"/>
        <v>0</v>
      </c>
      <c r="R125" s="107">
        <f>SUM(K125:Q125)</f>
        <v>3</v>
      </c>
      <c r="T125" s="42">
        <f t="shared" si="73"/>
        <v>159</v>
      </c>
      <c r="U125" s="43">
        <f t="shared" si="73"/>
        <v>10</v>
      </c>
      <c r="V125" s="43">
        <f t="shared" si="73"/>
        <v>1</v>
      </c>
      <c r="W125" s="43">
        <f t="shared" si="73"/>
        <v>0</v>
      </c>
      <c r="X125" s="43">
        <f t="shared" si="73"/>
        <v>8</v>
      </c>
      <c r="Y125" s="43">
        <f t="shared" si="73"/>
        <v>1</v>
      </c>
      <c r="Z125" s="46">
        <f t="shared" si="73"/>
        <v>0</v>
      </c>
      <c r="AA125" s="107">
        <f>SUM(T125:Z125)</f>
        <v>179</v>
      </c>
      <c r="AC125" s="107">
        <f>SUM(I125+R125+AA125)</f>
        <v>367</v>
      </c>
    </row>
    <row r="126" spans="1:29" ht="15.75" customHeight="1">
      <c r="A126" s="108">
        <v>0.61458333333333337</v>
      </c>
      <c r="B126" s="48">
        <f t="shared" si="71"/>
        <v>140</v>
      </c>
      <c r="C126" s="49">
        <f t="shared" si="71"/>
        <v>11</v>
      </c>
      <c r="D126" s="49">
        <f t="shared" si="71"/>
        <v>1</v>
      </c>
      <c r="E126" s="49">
        <f t="shared" si="71"/>
        <v>0</v>
      </c>
      <c r="F126" s="49">
        <f t="shared" si="71"/>
        <v>6</v>
      </c>
      <c r="G126" s="49">
        <f t="shared" si="71"/>
        <v>3</v>
      </c>
      <c r="H126" s="50">
        <f t="shared" si="71"/>
        <v>0</v>
      </c>
      <c r="I126" s="109">
        <f>SUM(B126:H126)</f>
        <v>161</v>
      </c>
      <c r="K126" s="48">
        <f t="shared" si="72"/>
        <v>5</v>
      </c>
      <c r="L126" s="49">
        <f t="shared" si="72"/>
        <v>0</v>
      </c>
      <c r="M126" s="49">
        <f t="shared" si="72"/>
        <v>0</v>
      </c>
      <c r="N126" s="49">
        <f t="shared" si="72"/>
        <v>0</v>
      </c>
      <c r="O126" s="49">
        <f t="shared" si="72"/>
        <v>0</v>
      </c>
      <c r="P126" s="49">
        <f t="shared" si="72"/>
        <v>0</v>
      </c>
      <c r="Q126" s="50">
        <f t="shared" si="72"/>
        <v>0</v>
      </c>
      <c r="R126" s="109">
        <f>SUM(K126:Q126)</f>
        <v>5</v>
      </c>
      <c r="T126" s="48">
        <f t="shared" si="73"/>
        <v>158</v>
      </c>
      <c r="U126" s="49">
        <f t="shared" si="73"/>
        <v>9</v>
      </c>
      <c r="V126" s="49">
        <f t="shared" si="73"/>
        <v>0</v>
      </c>
      <c r="W126" s="49">
        <f t="shared" si="73"/>
        <v>0</v>
      </c>
      <c r="X126" s="49">
        <f t="shared" si="73"/>
        <v>3</v>
      </c>
      <c r="Y126" s="49">
        <f t="shared" si="73"/>
        <v>0</v>
      </c>
      <c r="Z126" s="50">
        <f t="shared" si="73"/>
        <v>0</v>
      </c>
      <c r="AA126" s="109">
        <f>SUM(T126:Z126)</f>
        <v>170</v>
      </c>
      <c r="AC126" s="109">
        <f>SUM(I126+R126+AA126)</f>
        <v>336</v>
      </c>
    </row>
    <row r="127" spans="1:29" ht="15.75" customHeight="1">
      <c r="A127" s="55" t="s">
        <v>24</v>
      </c>
      <c r="B127" s="52">
        <f t="shared" ref="B127:I127" si="74">SUM(B123:B126)</f>
        <v>611</v>
      </c>
      <c r="C127" s="53">
        <f t="shared" si="74"/>
        <v>31</v>
      </c>
      <c r="D127" s="53">
        <f t="shared" si="74"/>
        <v>4</v>
      </c>
      <c r="E127" s="53">
        <f t="shared" si="74"/>
        <v>0</v>
      </c>
      <c r="F127" s="53">
        <f t="shared" si="74"/>
        <v>19</v>
      </c>
      <c r="G127" s="53">
        <f t="shared" si="74"/>
        <v>4</v>
      </c>
      <c r="H127" s="54">
        <f t="shared" si="74"/>
        <v>2</v>
      </c>
      <c r="I127" s="55">
        <f t="shared" si="74"/>
        <v>671</v>
      </c>
      <c r="K127" s="52">
        <f t="shared" ref="K127:R127" si="75">SUM(K123:K126)</f>
        <v>14</v>
      </c>
      <c r="L127" s="53">
        <f t="shared" si="75"/>
        <v>1</v>
      </c>
      <c r="M127" s="53">
        <f t="shared" si="75"/>
        <v>0</v>
      </c>
      <c r="N127" s="53">
        <f t="shared" si="75"/>
        <v>0</v>
      </c>
      <c r="O127" s="53">
        <f t="shared" si="75"/>
        <v>0</v>
      </c>
      <c r="P127" s="53">
        <f t="shared" si="75"/>
        <v>0</v>
      </c>
      <c r="Q127" s="54">
        <f t="shared" si="75"/>
        <v>0</v>
      </c>
      <c r="R127" s="55">
        <f t="shared" si="75"/>
        <v>15</v>
      </c>
      <c r="T127" s="52">
        <f t="shared" ref="T127:AA127" si="76">SUM(T123:T126)</f>
        <v>618</v>
      </c>
      <c r="U127" s="53">
        <f t="shared" si="76"/>
        <v>43</v>
      </c>
      <c r="V127" s="53">
        <f t="shared" si="76"/>
        <v>2</v>
      </c>
      <c r="W127" s="53">
        <f t="shared" si="76"/>
        <v>0</v>
      </c>
      <c r="X127" s="53">
        <f t="shared" si="76"/>
        <v>20</v>
      </c>
      <c r="Y127" s="53">
        <f t="shared" si="76"/>
        <v>2</v>
      </c>
      <c r="Z127" s="54">
        <f t="shared" si="76"/>
        <v>1</v>
      </c>
      <c r="AA127" s="55">
        <f t="shared" si="76"/>
        <v>686</v>
      </c>
      <c r="AC127" s="55">
        <f>SUM(AC123:AC126)</f>
        <v>1372</v>
      </c>
    </row>
    <row r="128" spans="1:29" ht="15.75" customHeight="1">
      <c r="A128" s="104">
        <v>0.625</v>
      </c>
      <c r="B128" s="38">
        <f t="shared" ref="B128:H131" si="77">SUM(B32+K32+T32)</f>
        <v>165</v>
      </c>
      <c r="C128" s="39">
        <f t="shared" si="77"/>
        <v>14</v>
      </c>
      <c r="D128" s="39">
        <f t="shared" si="77"/>
        <v>1</v>
      </c>
      <c r="E128" s="39">
        <f t="shared" si="77"/>
        <v>0</v>
      </c>
      <c r="F128" s="39">
        <f t="shared" si="77"/>
        <v>7</v>
      </c>
      <c r="G128" s="39">
        <f t="shared" si="77"/>
        <v>1</v>
      </c>
      <c r="H128" s="40">
        <f t="shared" si="77"/>
        <v>0</v>
      </c>
      <c r="I128" s="105">
        <f>SUM(B128:H128)</f>
        <v>188</v>
      </c>
      <c r="K128" s="38">
        <f t="shared" ref="K128:Q131" si="78">SUM(B64+K64+T64)</f>
        <v>2</v>
      </c>
      <c r="L128" s="39">
        <f t="shared" si="78"/>
        <v>0</v>
      </c>
      <c r="M128" s="39">
        <f t="shared" si="78"/>
        <v>0</v>
      </c>
      <c r="N128" s="39">
        <f t="shared" si="78"/>
        <v>0</v>
      </c>
      <c r="O128" s="39">
        <f t="shared" si="78"/>
        <v>0</v>
      </c>
      <c r="P128" s="39">
        <f t="shared" si="78"/>
        <v>0</v>
      </c>
      <c r="Q128" s="40">
        <f t="shared" si="78"/>
        <v>0</v>
      </c>
      <c r="R128" s="105">
        <f>SUM(K128:Q128)</f>
        <v>2</v>
      </c>
      <c r="T128" s="38">
        <f t="shared" ref="T128:Z131" si="79">SUM(B96+K96+T96)</f>
        <v>147</v>
      </c>
      <c r="U128" s="39">
        <f t="shared" si="79"/>
        <v>12</v>
      </c>
      <c r="V128" s="39">
        <f t="shared" si="79"/>
        <v>0</v>
      </c>
      <c r="W128" s="39">
        <f t="shared" si="79"/>
        <v>0</v>
      </c>
      <c r="X128" s="39">
        <f t="shared" si="79"/>
        <v>3</v>
      </c>
      <c r="Y128" s="39">
        <f t="shared" si="79"/>
        <v>0</v>
      </c>
      <c r="Z128" s="40">
        <f t="shared" si="79"/>
        <v>3</v>
      </c>
      <c r="AA128" s="105">
        <f>SUM(T128:Z128)</f>
        <v>165</v>
      </c>
      <c r="AC128" s="105">
        <f>SUM(I128+R128+AA128)</f>
        <v>355</v>
      </c>
    </row>
    <row r="129" spans="1:29" ht="15.75" customHeight="1">
      <c r="A129" s="106">
        <v>0.63541666666666663</v>
      </c>
      <c r="B129" s="42">
        <f t="shared" si="77"/>
        <v>143</v>
      </c>
      <c r="C129" s="43">
        <f t="shared" si="77"/>
        <v>10</v>
      </c>
      <c r="D129" s="43">
        <f t="shared" si="77"/>
        <v>0</v>
      </c>
      <c r="E129" s="43">
        <f t="shared" si="77"/>
        <v>1</v>
      </c>
      <c r="F129" s="43">
        <f t="shared" si="77"/>
        <v>2</v>
      </c>
      <c r="G129" s="43">
        <f t="shared" si="77"/>
        <v>1</v>
      </c>
      <c r="H129" s="46">
        <f t="shared" si="77"/>
        <v>0</v>
      </c>
      <c r="I129" s="107">
        <f>SUM(B129:H129)</f>
        <v>157</v>
      </c>
      <c r="K129" s="42">
        <f t="shared" si="78"/>
        <v>4</v>
      </c>
      <c r="L129" s="43">
        <f t="shared" si="78"/>
        <v>2</v>
      </c>
      <c r="M129" s="43">
        <f t="shared" si="78"/>
        <v>0</v>
      </c>
      <c r="N129" s="43">
        <f t="shared" si="78"/>
        <v>0</v>
      </c>
      <c r="O129" s="43">
        <f t="shared" si="78"/>
        <v>0</v>
      </c>
      <c r="P129" s="43">
        <f t="shared" si="78"/>
        <v>0</v>
      </c>
      <c r="Q129" s="46">
        <f t="shared" si="78"/>
        <v>1</v>
      </c>
      <c r="R129" s="107">
        <f>SUM(K129:Q129)</f>
        <v>7</v>
      </c>
      <c r="T129" s="42">
        <f t="shared" si="79"/>
        <v>134</v>
      </c>
      <c r="U129" s="43">
        <f t="shared" si="79"/>
        <v>9</v>
      </c>
      <c r="V129" s="43">
        <f t="shared" si="79"/>
        <v>0</v>
      </c>
      <c r="W129" s="43">
        <f t="shared" si="79"/>
        <v>0</v>
      </c>
      <c r="X129" s="43">
        <f t="shared" si="79"/>
        <v>7</v>
      </c>
      <c r="Y129" s="43">
        <f t="shared" si="79"/>
        <v>0</v>
      </c>
      <c r="Z129" s="46">
        <f t="shared" si="79"/>
        <v>2</v>
      </c>
      <c r="AA129" s="107">
        <f>SUM(T129:Z129)</f>
        <v>152</v>
      </c>
      <c r="AC129" s="107">
        <f>SUM(I129+R129+AA129)</f>
        <v>316</v>
      </c>
    </row>
    <row r="130" spans="1:29" ht="15.75" customHeight="1">
      <c r="A130" s="106">
        <v>0.64583333333333337</v>
      </c>
      <c r="B130" s="42">
        <f t="shared" si="77"/>
        <v>153</v>
      </c>
      <c r="C130" s="43">
        <f t="shared" si="77"/>
        <v>16</v>
      </c>
      <c r="D130" s="43">
        <f t="shared" si="77"/>
        <v>0</v>
      </c>
      <c r="E130" s="43">
        <f t="shared" si="77"/>
        <v>0</v>
      </c>
      <c r="F130" s="43">
        <f t="shared" si="77"/>
        <v>3</v>
      </c>
      <c r="G130" s="43">
        <f t="shared" si="77"/>
        <v>1</v>
      </c>
      <c r="H130" s="46">
        <f t="shared" si="77"/>
        <v>2</v>
      </c>
      <c r="I130" s="107">
        <f>SUM(B130:H130)</f>
        <v>175</v>
      </c>
      <c r="K130" s="42">
        <f t="shared" si="78"/>
        <v>3</v>
      </c>
      <c r="L130" s="43">
        <f t="shared" si="78"/>
        <v>0</v>
      </c>
      <c r="M130" s="43">
        <f t="shared" si="78"/>
        <v>0</v>
      </c>
      <c r="N130" s="43">
        <f t="shared" si="78"/>
        <v>0</v>
      </c>
      <c r="O130" s="43">
        <f t="shared" si="78"/>
        <v>0</v>
      </c>
      <c r="P130" s="43">
        <f t="shared" si="78"/>
        <v>0</v>
      </c>
      <c r="Q130" s="46">
        <f t="shared" si="78"/>
        <v>1</v>
      </c>
      <c r="R130" s="107">
        <f>SUM(K130:Q130)</f>
        <v>4</v>
      </c>
      <c r="T130" s="42">
        <f t="shared" si="79"/>
        <v>179</v>
      </c>
      <c r="U130" s="43">
        <f t="shared" si="79"/>
        <v>11</v>
      </c>
      <c r="V130" s="43">
        <f t="shared" si="79"/>
        <v>1</v>
      </c>
      <c r="W130" s="43">
        <f t="shared" si="79"/>
        <v>0</v>
      </c>
      <c r="X130" s="43">
        <f t="shared" si="79"/>
        <v>3</v>
      </c>
      <c r="Y130" s="43">
        <f t="shared" si="79"/>
        <v>0</v>
      </c>
      <c r="Z130" s="46">
        <f t="shared" si="79"/>
        <v>1</v>
      </c>
      <c r="AA130" s="107">
        <f>SUM(T130:Z130)</f>
        <v>195</v>
      </c>
      <c r="AC130" s="107">
        <f>SUM(I130+R130+AA130)</f>
        <v>374</v>
      </c>
    </row>
    <row r="131" spans="1:29" ht="15.75" customHeight="1">
      <c r="A131" s="108">
        <v>0.65625</v>
      </c>
      <c r="B131" s="48">
        <f t="shared" si="77"/>
        <v>115</v>
      </c>
      <c r="C131" s="49">
        <f t="shared" si="77"/>
        <v>9</v>
      </c>
      <c r="D131" s="49">
        <f t="shared" si="77"/>
        <v>0</v>
      </c>
      <c r="E131" s="49">
        <f t="shared" si="77"/>
        <v>0</v>
      </c>
      <c r="F131" s="49">
        <f t="shared" si="77"/>
        <v>5</v>
      </c>
      <c r="G131" s="49">
        <f t="shared" si="77"/>
        <v>0</v>
      </c>
      <c r="H131" s="50">
        <f t="shared" si="77"/>
        <v>0</v>
      </c>
      <c r="I131" s="109">
        <f>SUM(B131:H131)</f>
        <v>129</v>
      </c>
      <c r="K131" s="48">
        <f t="shared" si="78"/>
        <v>6</v>
      </c>
      <c r="L131" s="49">
        <f t="shared" si="78"/>
        <v>0</v>
      </c>
      <c r="M131" s="49">
        <f t="shared" si="78"/>
        <v>0</v>
      </c>
      <c r="N131" s="49">
        <f t="shared" si="78"/>
        <v>0</v>
      </c>
      <c r="O131" s="49">
        <f t="shared" si="78"/>
        <v>0</v>
      </c>
      <c r="P131" s="49">
        <f t="shared" si="78"/>
        <v>0</v>
      </c>
      <c r="Q131" s="50">
        <f t="shared" si="78"/>
        <v>0</v>
      </c>
      <c r="R131" s="109">
        <f>SUM(K131:Q131)</f>
        <v>6</v>
      </c>
      <c r="T131" s="48">
        <f t="shared" si="79"/>
        <v>154</v>
      </c>
      <c r="U131" s="49">
        <f t="shared" si="79"/>
        <v>16</v>
      </c>
      <c r="V131" s="49">
        <f t="shared" si="79"/>
        <v>0</v>
      </c>
      <c r="W131" s="49">
        <f t="shared" si="79"/>
        <v>0</v>
      </c>
      <c r="X131" s="49">
        <f t="shared" si="79"/>
        <v>10</v>
      </c>
      <c r="Y131" s="49">
        <f t="shared" si="79"/>
        <v>0</v>
      </c>
      <c r="Z131" s="50">
        <f t="shared" si="79"/>
        <v>0</v>
      </c>
      <c r="AA131" s="109">
        <f>SUM(T131:Z131)</f>
        <v>180</v>
      </c>
      <c r="AC131" s="109">
        <f>SUM(I131+R131+AA131)</f>
        <v>315</v>
      </c>
    </row>
    <row r="132" spans="1:29" ht="15.75" customHeight="1">
      <c r="A132" s="55" t="s">
        <v>24</v>
      </c>
      <c r="B132" s="52">
        <f t="shared" ref="B132:I132" si="80">SUM(B128:B131)</f>
        <v>576</v>
      </c>
      <c r="C132" s="53">
        <f t="shared" si="80"/>
        <v>49</v>
      </c>
      <c r="D132" s="53">
        <f t="shared" si="80"/>
        <v>1</v>
      </c>
      <c r="E132" s="53">
        <f t="shared" si="80"/>
        <v>1</v>
      </c>
      <c r="F132" s="53">
        <f t="shared" si="80"/>
        <v>17</v>
      </c>
      <c r="G132" s="53">
        <f t="shared" si="80"/>
        <v>3</v>
      </c>
      <c r="H132" s="54">
        <f t="shared" si="80"/>
        <v>2</v>
      </c>
      <c r="I132" s="55">
        <f t="shared" si="80"/>
        <v>649</v>
      </c>
      <c r="K132" s="52">
        <f t="shared" ref="K132:R132" si="81">SUM(K128:K131)</f>
        <v>15</v>
      </c>
      <c r="L132" s="53">
        <f t="shared" si="81"/>
        <v>2</v>
      </c>
      <c r="M132" s="53">
        <f t="shared" si="81"/>
        <v>0</v>
      </c>
      <c r="N132" s="53">
        <f t="shared" si="81"/>
        <v>0</v>
      </c>
      <c r="O132" s="53">
        <f t="shared" si="81"/>
        <v>0</v>
      </c>
      <c r="P132" s="53">
        <f t="shared" si="81"/>
        <v>0</v>
      </c>
      <c r="Q132" s="54">
        <f t="shared" si="81"/>
        <v>2</v>
      </c>
      <c r="R132" s="55">
        <f t="shared" si="81"/>
        <v>19</v>
      </c>
      <c r="T132" s="52">
        <f t="shared" ref="T132:AA132" si="82">SUM(T128:T131)</f>
        <v>614</v>
      </c>
      <c r="U132" s="53">
        <f t="shared" si="82"/>
        <v>48</v>
      </c>
      <c r="V132" s="53">
        <f t="shared" si="82"/>
        <v>1</v>
      </c>
      <c r="W132" s="53">
        <f t="shared" si="82"/>
        <v>0</v>
      </c>
      <c r="X132" s="53">
        <f t="shared" si="82"/>
        <v>23</v>
      </c>
      <c r="Y132" s="53">
        <f t="shared" si="82"/>
        <v>0</v>
      </c>
      <c r="Z132" s="54">
        <f t="shared" si="82"/>
        <v>6</v>
      </c>
      <c r="AA132" s="55">
        <f t="shared" si="82"/>
        <v>692</v>
      </c>
      <c r="AC132" s="55">
        <f>SUM(AC128:AC131)</f>
        <v>1360</v>
      </c>
    </row>
    <row r="134" spans="1:29" ht="15.75" customHeight="1">
      <c r="A134" s="55" t="s">
        <v>22</v>
      </c>
      <c r="B134" s="52">
        <f t="shared" ref="B134:I134" si="83">SUM(B132+B127+B122+B117+B112)</f>
        <v>3086</v>
      </c>
      <c r="C134" s="53">
        <f t="shared" si="83"/>
        <v>249</v>
      </c>
      <c r="D134" s="53">
        <f t="shared" si="83"/>
        <v>16</v>
      </c>
      <c r="E134" s="53">
        <f t="shared" si="83"/>
        <v>4</v>
      </c>
      <c r="F134" s="53">
        <f t="shared" si="83"/>
        <v>93</v>
      </c>
      <c r="G134" s="53">
        <f t="shared" si="83"/>
        <v>19</v>
      </c>
      <c r="H134" s="54">
        <f t="shared" si="83"/>
        <v>20</v>
      </c>
      <c r="I134" s="55">
        <f t="shared" si="83"/>
        <v>3487</v>
      </c>
      <c r="K134" s="52">
        <f t="shared" ref="K134:R134" si="84">SUM(K132+K127+K122+K117+K112)</f>
        <v>103</v>
      </c>
      <c r="L134" s="53">
        <f t="shared" si="84"/>
        <v>14</v>
      </c>
      <c r="M134" s="53">
        <f t="shared" si="84"/>
        <v>1</v>
      </c>
      <c r="N134" s="53">
        <f t="shared" si="84"/>
        <v>0</v>
      </c>
      <c r="O134" s="53">
        <f t="shared" si="84"/>
        <v>0</v>
      </c>
      <c r="P134" s="53">
        <f t="shared" si="84"/>
        <v>0</v>
      </c>
      <c r="Q134" s="54">
        <f t="shared" si="84"/>
        <v>2</v>
      </c>
      <c r="R134" s="55">
        <f t="shared" si="84"/>
        <v>120</v>
      </c>
      <c r="T134" s="52">
        <f t="shared" ref="T134:AA134" si="85">SUM(T132+T127+T122+T117+T112)</f>
        <v>3092</v>
      </c>
      <c r="U134" s="53">
        <f t="shared" si="85"/>
        <v>232</v>
      </c>
      <c r="V134" s="53">
        <f t="shared" si="85"/>
        <v>7</v>
      </c>
      <c r="W134" s="53">
        <f t="shared" si="85"/>
        <v>2</v>
      </c>
      <c r="X134" s="53">
        <f t="shared" si="85"/>
        <v>99</v>
      </c>
      <c r="Y134" s="53">
        <f t="shared" si="85"/>
        <v>16</v>
      </c>
      <c r="Z134" s="54">
        <f t="shared" si="85"/>
        <v>18</v>
      </c>
      <c r="AA134" s="55">
        <f t="shared" si="85"/>
        <v>3466</v>
      </c>
      <c r="AC134" s="55">
        <f>SUM(AC132+AC127+AC122+AC117+AC112)</f>
        <v>7073</v>
      </c>
    </row>
    <row r="135" spans="1:29" s="102" customFormat="1" ht="15.75" customHeight="1">
      <c r="A135" s="102" t="s">
        <v>56</v>
      </c>
      <c r="I135" s="102">
        <f>SUM(B108:H111,B113:H116,B118:H121,B123:H126,B128:H131)</f>
        <v>3487</v>
      </c>
      <c r="R135" s="102">
        <f>SUM(K108:Q111,K113:Q116,K118:Q121,K123:Q126,K128:Q131)</f>
        <v>120</v>
      </c>
      <c r="AA135" s="102">
        <f>SUM(T108:Z111,T113:Z116,T118:Z121,T123:Z126,T128:Z131)</f>
        <v>3466</v>
      </c>
      <c r="AC135" s="102">
        <f>SUM(B135:AA135)</f>
        <v>7073</v>
      </c>
    </row>
    <row r="136" spans="1:29" ht="15.75" customHeight="1">
      <c r="A136" s="51" t="s">
        <v>28</v>
      </c>
    </row>
    <row r="137" spans="1:29" ht="15.75" customHeight="1">
      <c r="B137" s="52" t="s">
        <v>14</v>
      </c>
      <c r="C137" s="53"/>
      <c r="D137" s="53" t="str">
        <f>$D$9</f>
        <v>A - Fishponds Road (E)</v>
      </c>
      <c r="E137" s="53"/>
      <c r="F137" s="53"/>
      <c r="G137" s="53"/>
      <c r="H137" s="54"/>
      <c r="I137" s="55"/>
      <c r="K137" s="52" t="s">
        <v>14</v>
      </c>
      <c r="L137" s="53"/>
      <c r="M137" s="53" t="str">
        <f>$M$9</f>
        <v>B - Drummond Road</v>
      </c>
      <c r="N137" s="53"/>
      <c r="O137" s="53"/>
      <c r="P137" s="53"/>
      <c r="Q137" s="54"/>
      <c r="R137" s="55"/>
      <c r="T137" s="52" t="s">
        <v>14</v>
      </c>
      <c r="U137" s="53"/>
      <c r="V137" s="53" t="str">
        <f>$V$9</f>
        <v>C - Fishponds Road (W)</v>
      </c>
      <c r="W137" s="53"/>
      <c r="X137" s="53"/>
      <c r="Y137" s="53"/>
      <c r="Z137" s="54"/>
      <c r="AA137" s="55"/>
      <c r="AC137" s="116" t="s">
        <v>29</v>
      </c>
    </row>
    <row r="138" spans="1:29" s="56" customFormat="1" ht="15.75" customHeight="1">
      <c r="B138" s="57" t="str">
        <f>$B$10</f>
        <v>CAR</v>
      </c>
      <c r="C138" s="58" t="str">
        <f>$C$10</f>
        <v>LGV</v>
      </c>
      <c r="D138" s="58" t="str">
        <f>$D$10</f>
        <v>OGV1</v>
      </c>
      <c r="E138" s="58" t="str">
        <f>$E$10</f>
        <v>OGV2</v>
      </c>
      <c r="F138" s="58" t="str">
        <f>$F$10</f>
        <v>PSV</v>
      </c>
      <c r="G138" s="58" t="str">
        <f>$G$10</f>
        <v>MC</v>
      </c>
      <c r="H138" s="59" t="str">
        <f>$H$10</f>
        <v>PC</v>
      </c>
      <c r="I138" s="103" t="s">
        <v>22</v>
      </c>
      <c r="K138" s="57" t="str">
        <f>$B$10</f>
        <v>CAR</v>
      </c>
      <c r="L138" s="58" t="str">
        <f>$C$10</f>
        <v>LGV</v>
      </c>
      <c r="M138" s="58" t="str">
        <f>$D$10</f>
        <v>OGV1</v>
      </c>
      <c r="N138" s="58" t="str">
        <f>$E$10</f>
        <v>OGV2</v>
      </c>
      <c r="O138" s="58" t="str">
        <f>$F$10</f>
        <v>PSV</v>
      </c>
      <c r="P138" s="58" t="str">
        <f>$G$10</f>
        <v>MC</v>
      </c>
      <c r="Q138" s="59" t="str">
        <f>$H$10</f>
        <v>PC</v>
      </c>
      <c r="R138" s="103" t="s">
        <v>22</v>
      </c>
      <c r="T138" s="57" t="str">
        <f>$B$10</f>
        <v>CAR</v>
      </c>
      <c r="U138" s="58" t="str">
        <f>$C$10</f>
        <v>LGV</v>
      </c>
      <c r="V138" s="58" t="str">
        <f>$D$10</f>
        <v>OGV1</v>
      </c>
      <c r="W138" s="58" t="str">
        <f>$E$10</f>
        <v>OGV2</v>
      </c>
      <c r="X138" s="58" t="str">
        <f>$F$10</f>
        <v>PSV</v>
      </c>
      <c r="Y138" s="58" t="str">
        <f>$G$10</f>
        <v>MC</v>
      </c>
      <c r="Z138" s="59" t="str">
        <f>$H$10</f>
        <v>PC</v>
      </c>
      <c r="AA138" s="103" t="s">
        <v>22</v>
      </c>
      <c r="AC138" s="117"/>
    </row>
    <row r="140" spans="1:29" ht="15.75" customHeight="1">
      <c r="A140" s="104">
        <v>0.45833333333333331</v>
      </c>
      <c r="B140" s="38">
        <f t="shared" ref="B140:H143" si="86">SUM(B12+B44+B76)</f>
        <v>121</v>
      </c>
      <c r="C140" s="39">
        <f t="shared" si="86"/>
        <v>14</v>
      </c>
      <c r="D140" s="39">
        <f t="shared" si="86"/>
        <v>1</v>
      </c>
      <c r="E140" s="39">
        <f t="shared" si="86"/>
        <v>0</v>
      </c>
      <c r="F140" s="39">
        <f t="shared" si="86"/>
        <v>5</v>
      </c>
      <c r="G140" s="39">
        <f t="shared" si="86"/>
        <v>2</v>
      </c>
      <c r="H140" s="40">
        <f t="shared" si="86"/>
        <v>0</v>
      </c>
      <c r="I140" s="105">
        <f>SUM(B140:H140)</f>
        <v>143</v>
      </c>
      <c r="K140" s="38">
        <f t="shared" ref="K140:Q143" si="87">SUM(K12+K44+K76)</f>
        <v>4</v>
      </c>
      <c r="L140" s="39">
        <f t="shared" si="87"/>
        <v>3</v>
      </c>
      <c r="M140" s="39">
        <f t="shared" si="87"/>
        <v>0</v>
      </c>
      <c r="N140" s="39">
        <f t="shared" si="87"/>
        <v>0</v>
      </c>
      <c r="O140" s="39">
        <f t="shared" si="87"/>
        <v>0</v>
      </c>
      <c r="P140" s="39">
        <f t="shared" si="87"/>
        <v>0</v>
      </c>
      <c r="Q140" s="40">
        <f t="shared" si="87"/>
        <v>0</v>
      </c>
      <c r="R140" s="105">
        <f>SUM(K140:Q140)</f>
        <v>7</v>
      </c>
      <c r="T140" s="38">
        <f t="shared" ref="T140:Z143" si="88">SUM(T12+T44+T76)</f>
        <v>152</v>
      </c>
      <c r="U140" s="39">
        <f t="shared" si="88"/>
        <v>12</v>
      </c>
      <c r="V140" s="39">
        <f t="shared" si="88"/>
        <v>3</v>
      </c>
      <c r="W140" s="39">
        <f t="shared" si="88"/>
        <v>1</v>
      </c>
      <c r="X140" s="39">
        <f t="shared" si="88"/>
        <v>6</v>
      </c>
      <c r="Y140" s="39">
        <f t="shared" si="88"/>
        <v>2</v>
      </c>
      <c r="Z140" s="40">
        <f t="shared" si="88"/>
        <v>0</v>
      </c>
      <c r="AA140" s="105">
        <f>SUM(T140:Z140)</f>
        <v>176</v>
      </c>
      <c r="AC140" s="105">
        <f>SUM(I140+R140+AA140)</f>
        <v>326</v>
      </c>
    </row>
    <row r="141" spans="1:29" ht="15.75" customHeight="1">
      <c r="A141" s="106">
        <v>0.46875</v>
      </c>
      <c r="B141" s="42">
        <f t="shared" si="86"/>
        <v>149</v>
      </c>
      <c r="C141" s="43">
        <f t="shared" si="86"/>
        <v>13</v>
      </c>
      <c r="D141" s="43">
        <f t="shared" si="86"/>
        <v>1</v>
      </c>
      <c r="E141" s="43">
        <f t="shared" si="86"/>
        <v>0</v>
      </c>
      <c r="F141" s="43">
        <f t="shared" si="86"/>
        <v>5</v>
      </c>
      <c r="G141" s="43">
        <f t="shared" si="86"/>
        <v>0</v>
      </c>
      <c r="H141" s="46">
        <f t="shared" si="86"/>
        <v>2</v>
      </c>
      <c r="I141" s="107">
        <f>SUM(B141:H141)</f>
        <v>170</v>
      </c>
      <c r="K141" s="42">
        <f t="shared" si="87"/>
        <v>5</v>
      </c>
      <c r="L141" s="43">
        <f t="shared" si="87"/>
        <v>0</v>
      </c>
      <c r="M141" s="43">
        <f t="shared" si="87"/>
        <v>1</v>
      </c>
      <c r="N141" s="43">
        <f t="shared" si="87"/>
        <v>0</v>
      </c>
      <c r="O141" s="43">
        <f t="shared" si="87"/>
        <v>0</v>
      </c>
      <c r="P141" s="43">
        <f t="shared" si="87"/>
        <v>0</v>
      </c>
      <c r="Q141" s="46">
        <f t="shared" si="87"/>
        <v>0</v>
      </c>
      <c r="R141" s="107">
        <f>SUM(K141:Q141)</f>
        <v>6</v>
      </c>
      <c r="T141" s="42">
        <f t="shared" si="88"/>
        <v>153</v>
      </c>
      <c r="U141" s="43">
        <f t="shared" si="88"/>
        <v>15</v>
      </c>
      <c r="V141" s="43">
        <f t="shared" si="88"/>
        <v>4</v>
      </c>
      <c r="W141" s="43">
        <f t="shared" si="88"/>
        <v>1</v>
      </c>
      <c r="X141" s="43">
        <f t="shared" si="88"/>
        <v>3</v>
      </c>
      <c r="Y141" s="43">
        <f t="shared" si="88"/>
        <v>0</v>
      </c>
      <c r="Z141" s="46">
        <f t="shared" si="88"/>
        <v>1</v>
      </c>
      <c r="AA141" s="107">
        <f>SUM(T141:Z141)</f>
        <v>177</v>
      </c>
      <c r="AC141" s="107">
        <f>SUM(I141+R141+AA141)</f>
        <v>353</v>
      </c>
    </row>
    <row r="142" spans="1:29" ht="15.75" customHeight="1">
      <c r="A142" s="106">
        <v>0.47916666666666669</v>
      </c>
      <c r="B142" s="42">
        <f t="shared" si="86"/>
        <v>162</v>
      </c>
      <c r="C142" s="43">
        <f t="shared" si="86"/>
        <v>20</v>
      </c>
      <c r="D142" s="43">
        <f t="shared" si="86"/>
        <v>1</v>
      </c>
      <c r="E142" s="43">
        <f t="shared" si="86"/>
        <v>1</v>
      </c>
      <c r="F142" s="43">
        <f t="shared" si="86"/>
        <v>4</v>
      </c>
      <c r="G142" s="43">
        <f t="shared" si="86"/>
        <v>2</v>
      </c>
      <c r="H142" s="46">
        <f t="shared" si="86"/>
        <v>2</v>
      </c>
      <c r="I142" s="107">
        <f>SUM(B142:H142)</f>
        <v>192</v>
      </c>
      <c r="K142" s="42">
        <f t="shared" si="87"/>
        <v>2</v>
      </c>
      <c r="L142" s="43">
        <f t="shared" si="87"/>
        <v>2</v>
      </c>
      <c r="M142" s="43">
        <f t="shared" si="87"/>
        <v>0</v>
      </c>
      <c r="N142" s="43">
        <f t="shared" si="87"/>
        <v>0</v>
      </c>
      <c r="O142" s="43">
        <f t="shared" si="87"/>
        <v>0</v>
      </c>
      <c r="P142" s="43">
        <f t="shared" si="87"/>
        <v>0</v>
      </c>
      <c r="Q142" s="46">
        <f t="shared" si="87"/>
        <v>0</v>
      </c>
      <c r="R142" s="107">
        <f>SUM(K142:Q142)</f>
        <v>4</v>
      </c>
      <c r="T142" s="42">
        <f t="shared" si="88"/>
        <v>172</v>
      </c>
      <c r="U142" s="43">
        <f t="shared" si="88"/>
        <v>10</v>
      </c>
      <c r="V142" s="43">
        <f t="shared" si="88"/>
        <v>0</v>
      </c>
      <c r="W142" s="43">
        <f t="shared" si="88"/>
        <v>0</v>
      </c>
      <c r="X142" s="43">
        <f t="shared" si="88"/>
        <v>3</v>
      </c>
      <c r="Y142" s="43">
        <f t="shared" si="88"/>
        <v>2</v>
      </c>
      <c r="Z142" s="46">
        <f t="shared" si="88"/>
        <v>1</v>
      </c>
      <c r="AA142" s="107">
        <f>SUM(T142:Z142)</f>
        <v>188</v>
      </c>
      <c r="AC142" s="107">
        <f>SUM(I142+R142+AA142)</f>
        <v>384</v>
      </c>
    </row>
    <row r="143" spans="1:29" ht="15.75" customHeight="1">
      <c r="A143" s="108">
        <v>0.48958333333333331</v>
      </c>
      <c r="B143" s="48">
        <f t="shared" si="86"/>
        <v>174</v>
      </c>
      <c r="C143" s="49">
        <f t="shared" si="86"/>
        <v>14</v>
      </c>
      <c r="D143" s="49">
        <f t="shared" si="86"/>
        <v>0</v>
      </c>
      <c r="E143" s="49">
        <f t="shared" si="86"/>
        <v>0</v>
      </c>
      <c r="F143" s="49">
        <f t="shared" si="86"/>
        <v>5</v>
      </c>
      <c r="G143" s="49">
        <f t="shared" si="86"/>
        <v>0</v>
      </c>
      <c r="H143" s="50">
        <f t="shared" si="86"/>
        <v>1</v>
      </c>
      <c r="I143" s="109">
        <f>SUM(B143:H143)</f>
        <v>194</v>
      </c>
      <c r="K143" s="48">
        <f t="shared" si="87"/>
        <v>4</v>
      </c>
      <c r="L143" s="49">
        <f t="shared" si="87"/>
        <v>0</v>
      </c>
      <c r="M143" s="49">
        <f t="shared" si="87"/>
        <v>0</v>
      </c>
      <c r="N143" s="49">
        <f t="shared" si="87"/>
        <v>0</v>
      </c>
      <c r="O143" s="49">
        <f t="shared" si="87"/>
        <v>0</v>
      </c>
      <c r="P143" s="49">
        <f t="shared" si="87"/>
        <v>0</v>
      </c>
      <c r="Q143" s="50">
        <f t="shared" si="87"/>
        <v>0</v>
      </c>
      <c r="R143" s="109">
        <f>SUM(K143:Q143)</f>
        <v>4</v>
      </c>
      <c r="T143" s="48">
        <f t="shared" si="88"/>
        <v>149</v>
      </c>
      <c r="U143" s="49">
        <f t="shared" si="88"/>
        <v>18</v>
      </c>
      <c r="V143" s="49">
        <f t="shared" si="88"/>
        <v>0</v>
      </c>
      <c r="W143" s="49">
        <f t="shared" si="88"/>
        <v>0</v>
      </c>
      <c r="X143" s="49">
        <f t="shared" si="88"/>
        <v>7</v>
      </c>
      <c r="Y143" s="49">
        <f t="shared" si="88"/>
        <v>0</v>
      </c>
      <c r="Z143" s="50">
        <f t="shared" si="88"/>
        <v>0</v>
      </c>
      <c r="AA143" s="109">
        <f>SUM(T143:Z143)</f>
        <v>174</v>
      </c>
      <c r="AC143" s="109">
        <f>SUM(I143+R143+AA143)</f>
        <v>372</v>
      </c>
    </row>
    <row r="144" spans="1:29" ht="15.75" customHeight="1">
      <c r="A144" s="55" t="s">
        <v>24</v>
      </c>
      <c r="B144" s="52">
        <f t="shared" ref="B144:I144" si="89">SUM(B140:B143)</f>
        <v>606</v>
      </c>
      <c r="C144" s="53">
        <f t="shared" si="89"/>
        <v>61</v>
      </c>
      <c r="D144" s="53">
        <f t="shared" si="89"/>
        <v>3</v>
      </c>
      <c r="E144" s="53">
        <f t="shared" si="89"/>
        <v>1</v>
      </c>
      <c r="F144" s="53">
        <f t="shared" si="89"/>
        <v>19</v>
      </c>
      <c r="G144" s="53">
        <f t="shared" si="89"/>
        <v>4</v>
      </c>
      <c r="H144" s="54">
        <f t="shared" si="89"/>
        <v>5</v>
      </c>
      <c r="I144" s="55">
        <f t="shared" si="89"/>
        <v>699</v>
      </c>
      <c r="K144" s="52">
        <f t="shared" ref="K144:R144" si="90">SUM(K140:K143)</f>
        <v>15</v>
      </c>
      <c r="L144" s="53">
        <f t="shared" si="90"/>
        <v>5</v>
      </c>
      <c r="M144" s="53">
        <f t="shared" si="90"/>
        <v>1</v>
      </c>
      <c r="N144" s="53">
        <f t="shared" si="90"/>
        <v>0</v>
      </c>
      <c r="O144" s="53">
        <f t="shared" si="90"/>
        <v>0</v>
      </c>
      <c r="P144" s="53">
        <f t="shared" si="90"/>
        <v>0</v>
      </c>
      <c r="Q144" s="54">
        <f t="shared" si="90"/>
        <v>0</v>
      </c>
      <c r="R144" s="55">
        <f t="shared" si="90"/>
        <v>21</v>
      </c>
      <c r="T144" s="52">
        <f t="shared" ref="T144:AA144" si="91">SUM(T140:T143)</f>
        <v>626</v>
      </c>
      <c r="U144" s="53">
        <f t="shared" si="91"/>
        <v>55</v>
      </c>
      <c r="V144" s="53">
        <f t="shared" si="91"/>
        <v>7</v>
      </c>
      <c r="W144" s="53">
        <f t="shared" si="91"/>
        <v>2</v>
      </c>
      <c r="X144" s="53">
        <f t="shared" si="91"/>
        <v>19</v>
      </c>
      <c r="Y144" s="53">
        <f t="shared" si="91"/>
        <v>4</v>
      </c>
      <c r="Z144" s="54">
        <f t="shared" si="91"/>
        <v>2</v>
      </c>
      <c r="AA144" s="55">
        <f t="shared" si="91"/>
        <v>715</v>
      </c>
      <c r="AC144" s="55">
        <f>SUM(AC140:AC143)</f>
        <v>1435</v>
      </c>
    </row>
    <row r="145" spans="1:29" ht="15.75" customHeight="1">
      <c r="A145" s="104">
        <v>0.5</v>
      </c>
      <c r="B145" s="38">
        <f t="shared" ref="B145:H148" si="92">SUM(B17+B49+B81)</f>
        <v>142</v>
      </c>
      <c r="C145" s="39">
        <f t="shared" si="92"/>
        <v>9</v>
      </c>
      <c r="D145" s="39">
        <f t="shared" si="92"/>
        <v>1</v>
      </c>
      <c r="E145" s="39">
        <f t="shared" si="92"/>
        <v>0</v>
      </c>
      <c r="F145" s="39">
        <f t="shared" si="92"/>
        <v>5</v>
      </c>
      <c r="G145" s="39">
        <f t="shared" si="92"/>
        <v>4</v>
      </c>
      <c r="H145" s="40">
        <f t="shared" si="92"/>
        <v>1</v>
      </c>
      <c r="I145" s="105">
        <f>SUM(B145:H145)</f>
        <v>162</v>
      </c>
      <c r="K145" s="38">
        <f t="shared" ref="K145:Q148" si="93">SUM(K17+K49+K81)</f>
        <v>7</v>
      </c>
      <c r="L145" s="39">
        <f t="shared" si="93"/>
        <v>0</v>
      </c>
      <c r="M145" s="39">
        <f t="shared" si="93"/>
        <v>0</v>
      </c>
      <c r="N145" s="39">
        <f t="shared" si="93"/>
        <v>0</v>
      </c>
      <c r="O145" s="39">
        <f t="shared" si="93"/>
        <v>0</v>
      </c>
      <c r="P145" s="39">
        <f t="shared" si="93"/>
        <v>0</v>
      </c>
      <c r="Q145" s="40">
        <f t="shared" si="93"/>
        <v>0</v>
      </c>
      <c r="R145" s="105">
        <f>SUM(K145:Q145)</f>
        <v>7</v>
      </c>
      <c r="T145" s="38">
        <f t="shared" ref="T145:Z148" si="94">SUM(T17+T49+T81)</f>
        <v>146</v>
      </c>
      <c r="U145" s="39">
        <f t="shared" si="94"/>
        <v>14</v>
      </c>
      <c r="V145" s="39">
        <f t="shared" si="94"/>
        <v>0</v>
      </c>
      <c r="W145" s="39">
        <f t="shared" si="94"/>
        <v>0</v>
      </c>
      <c r="X145" s="39">
        <f t="shared" si="94"/>
        <v>6</v>
      </c>
      <c r="Y145" s="39">
        <f t="shared" si="94"/>
        <v>0</v>
      </c>
      <c r="Z145" s="40">
        <f t="shared" si="94"/>
        <v>3</v>
      </c>
      <c r="AA145" s="105">
        <f>SUM(T145:Z145)</f>
        <v>169</v>
      </c>
      <c r="AC145" s="105">
        <f>SUM(I145+R145+AA145)</f>
        <v>338</v>
      </c>
    </row>
    <row r="146" spans="1:29" ht="15.75" customHeight="1">
      <c r="A146" s="106">
        <v>0.51041666666666663</v>
      </c>
      <c r="B146" s="42">
        <f t="shared" si="92"/>
        <v>155</v>
      </c>
      <c r="C146" s="43">
        <f t="shared" si="92"/>
        <v>7</v>
      </c>
      <c r="D146" s="43">
        <f t="shared" si="92"/>
        <v>0</v>
      </c>
      <c r="E146" s="43">
        <f t="shared" si="92"/>
        <v>0</v>
      </c>
      <c r="F146" s="43">
        <f t="shared" si="92"/>
        <v>5</v>
      </c>
      <c r="G146" s="43">
        <f t="shared" si="92"/>
        <v>2</v>
      </c>
      <c r="H146" s="46">
        <f t="shared" si="92"/>
        <v>1</v>
      </c>
      <c r="I146" s="107">
        <f>SUM(B146:H146)</f>
        <v>170</v>
      </c>
      <c r="K146" s="42">
        <f t="shared" si="93"/>
        <v>9</v>
      </c>
      <c r="L146" s="43">
        <f t="shared" si="93"/>
        <v>3</v>
      </c>
      <c r="M146" s="43">
        <f t="shared" si="93"/>
        <v>0</v>
      </c>
      <c r="N146" s="43">
        <f t="shared" si="93"/>
        <v>0</v>
      </c>
      <c r="O146" s="43">
        <f t="shared" si="93"/>
        <v>0</v>
      </c>
      <c r="P146" s="43">
        <f t="shared" si="93"/>
        <v>0</v>
      </c>
      <c r="Q146" s="46">
        <f t="shared" si="93"/>
        <v>0</v>
      </c>
      <c r="R146" s="107">
        <f>SUM(K146:Q146)</f>
        <v>12</v>
      </c>
      <c r="T146" s="42">
        <f t="shared" si="94"/>
        <v>150</v>
      </c>
      <c r="U146" s="43">
        <f t="shared" si="94"/>
        <v>9</v>
      </c>
      <c r="V146" s="43">
        <f t="shared" si="94"/>
        <v>2</v>
      </c>
      <c r="W146" s="43">
        <f t="shared" si="94"/>
        <v>1</v>
      </c>
      <c r="X146" s="43">
        <f t="shared" si="94"/>
        <v>2</v>
      </c>
      <c r="Y146" s="43">
        <f t="shared" si="94"/>
        <v>2</v>
      </c>
      <c r="Z146" s="46">
        <f t="shared" si="94"/>
        <v>4</v>
      </c>
      <c r="AA146" s="107">
        <f>SUM(T146:Z146)</f>
        <v>170</v>
      </c>
      <c r="AC146" s="107">
        <f>SUM(I146+R146+AA146)</f>
        <v>352</v>
      </c>
    </row>
    <row r="147" spans="1:29" ht="15.75" customHeight="1">
      <c r="A147" s="106">
        <v>0.52083333333333337</v>
      </c>
      <c r="B147" s="42">
        <f t="shared" si="92"/>
        <v>154</v>
      </c>
      <c r="C147" s="43">
        <f t="shared" si="92"/>
        <v>12</v>
      </c>
      <c r="D147" s="43">
        <f t="shared" si="92"/>
        <v>0</v>
      </c>
      <c r="E147" s="43">
        <f t="shared" si="92"/>
        <v>0</v>
      </c>
      <c r="F147" s="43">
        <f t="shared" si="92"/>
        <v>4</v>
      </c>
      <c r="G147" s="43">
        <f t="shared" si="92"/>
        <v>1</v>
      </c>
      <c r="H147" s="46">
        <f t="shared" si="92"/>
        <v>3</v>
      </c>
      <c r="I147" s="107">
        <f>SUM(B147:H147)</f>
        <v>174</v>
      </c>
      <c r="K147" s="42">
        <f t="shared" si="93"/>
        <v>2</v>
      </c>
      <c r="L147" s="43">
        <f t="shared" si="93"/>
        <v>1</v>
      </c>
      <c r="M147" s="43">
        <f t="shared" si="93"/>
        <v>0</v>
      </c>
      <c r="N147" s="43">
        <f t="shared" si="93"/>
        <v>0</v>
      </c>
      <c r="O147" s="43">
        <f t="shared" si="93"/>
        <v>0</v>
      </c>
      <c r="P147" s="43">
        <f t="shared" si="93"/>
        <v>0</v>
      </c>
      <c r="Q147" s="46">
        <f t="shared" si="93"/>
        <v>0</v>
      </c>
      <c r="R147" s="107">
        <f>SUM(K147:Q147)</f>
        <v>3</v>
      </c>
      <c r="T147" s="42">
        <f t="shared" si="94"/>
        <v>170</v>
      </c>
      <c r="U147" s="43">
        <f t="shared" si="94"/>
        <v>14</v>
      </c>
      <c r="V147" s="43">
        <f t="shared" si="94"/>
        <v>0</v>
      </c>
      <c r="W147" s="43">
        <f t="shared" si="94"/>
        <v>0</v>
      </c>
      <c r="X147" s="43">
        <f t="shared" si="94"/>
        <v>4</v>
      </c>
      <c r="Y147" s="43">
        <f t="shared" si="94"/>
        <v>1</v>
      </c>
      <c r="Z147" s="46">
        <f t="shared" si="94"/>
        <v>2</v>
      </c>
      <c r="AA147" s="107">
        <f>SUM(T147:Z147)</f>
        <v>191</v>
      </c>
      <c r="AC147" s="107">
        <f>SUM(I147+R147+AA147)</f>
        <v>368</v>
      </c>
    </row>
    <row r="148" spans="1:29" ht="15.75" customHeight="1">
      <c r="A148" s="108">
        <v>0.53125</v>
      </c>
      <c r="B148" s="48">
        <f t="shared" si="92"/>
        <v>169</v>
      </c>
      <c r="C148" s="49">
        <f t="shared" si="92"/>
        <v>12</v>
      </c>
      <c r="D148" s="49">
        <f t="shared" si="92"/>
        <v>0</v>
      </c>
      <c r="E148" s="49">
        <f t="shared" si="92"/>
        <v>0</v>
      </c>
      <c r="F148" s="49">
        <f t="shared" si="92"/>
        <v>6</v>
      </c>
      <c r="G148" s="49">
        <f t="shared" si="92"/>
        <v>1</v>
      </c>
      <c r="H148" s="50">
        <f t="shared" si="92"/>
        <v>0</v>
      </c>
      <c r="I148" s="109">
        <f>SUM(B148:H148)</f>
        <v>188</v>
      </c>
      <c r="K148" s="48">
        <f t="shared" si="93"/>
        <v>8</v>
      </c>
      <c r="L148" s="49">
        <f t="shared" si="93"/>
        <v>0</v>
      </c>
      <c r="M148" s="49">
        <f t="shared" si="93"/>
        <v>0</v>
      </c>
      <c r="N148" s="49">
        <f t="shared" si="93"/>
        <v>0</v>
      </c>
      <c r="O148" s="49">
        <f t="shared" si="93"/>
        <v>0</v>
      </c>
      <c r="P148" s="49">
        <f t="shared" si="93"/>
        <v>0</v>
      </c>
      <c r="Q148" s="50">
        <f t="shared" si="93"/>
        <v>0</v>
      </c>
      <c r="R148" s="109">
        <f>SUM(K148:Q148)</f>
        <v>8</v>
      </c>
      <c r="T148" s="48">
        <f t="shared" si="94"/>
        <v>169</v>
      </c>
      <c r="U148" s="49">
        <f t="shared" si="94"/>
        <v>15</v>
      </c>
      <c r="V148" s="49">
        <f t="shared" si="94"/>
        <v>0</v>
      </c>
      <c r="W148" s="49">
        <f t="shared" si="94"/>
        <v>0</v>
      </c>
      <c r="X148" s="49">
        <f t="shared" si="94"/>
        <v>7</v>
      </c>
      <c r="Y148" s="49">
        <f t="shared" si="94"/>
        <v>1</v>
      </c>
      <c r="Z148" s="50">
        <f t="shared" si="94"/>
        <v>0</v>
      </c>
      <c r="AA148" s="109">
        <f>SUM(T148:Z148)</f>
        <v>192</v>
      </c>
      <c r="AC148" s="109">
        <f>SUM(I148+R148+AA148)</f>
        <v>388</v>
      </c>
    </row>
    <row r="149" spans="1:29" ht="15.75" customHeight="1">
      <c r="A149" s="55" t="s">
        <v>24</v>
      </c>
      <c r="B149" s="52">
        <f t="shared" ref="B149:I149" si="95">SUM(B145:B148)</f>
        <v>620</v>
      </c>
      <c r="C149" s="53">
        <f t="shared" si="95"/>
        <v>40</v>
      </c>
      <c r="D149" s="53">
        <f t="shared" si="95"/>
        <v>1</v>
      </c>
      <c r="E149" s="53">
        <f t="shared" si="95"/>
        <v>0</v>
      </c>
      <c r="F149" s="53">
        <f t="shared" si="95"/>
        <v>20</v>
      </c>
      <c r="G149" s="53">
        <f t="shared" si="95"/>
        <v>8</v>
      </c>
      <c r="H149" s="54">
        <f t="shared" si="95"/>
        <v>5</v>
      </c>
      <c r="I149" s="55">
        <f t="shared" si="95"/>
        <v>694</v>
      </c>
      <c r="K149" s="52">
        <f t="shared" ref="K149:R149" si="96">SUM(K145:K148)</f>
        <v>26</v>
      </c>
      <c r="L149" s="53">
        <f t="shared" si="96"/>
        <v>4</v>
      </c>
      <c r="M149" s="53">
        <f t="shared" si="96"/>
        <v>0</v>
      </c>
      <c r="N149" s="53">
        <f t="shared" si="96"/>
        <v>0</v>
      </c>
      <c r="O149" s="53">
        <f t="shared" si="96"/>
        <v>0</v>
      </c>
      <c r="P149" s="53">
        <f t="shared" si="96"/>
        <v>0</v>
      </c>
      <c r="Q149" s="54">
        <f t="shared" si="96"/>
        <v>0</v>
      </c>
      <c r="R149" s="55">
        <f t="shared" si="96"/>
        <v>30</v>
      </c>
      <c r="T149" s="52">
        <f t="shared" ref="T149:AA149" si="97">SUM(T145:T148)</f>
        <v>635</v>
      </c>
      <c r="U149" s="53">
        <f t="shared" si="97"/>
        <v>52</v>
      </c>
      <c r="V149" s="53">
        <f t="shared" si="97"/>
        <v>2</v>
      </c>
      <c r="W149" s="53">
        <f t="shared" si="97"/>
        <v>1</v>
      </c>
      <c r="X149" s="53">
        <f t="shared" si="97"/>
        <v>19</v>
      </c>
      <c r="Y149" s="53">
        <f t="shared" si="97"/>
        <v>4</v>
      </c>
      <c r="Z149" s="54">
        <f t="shared" si="97"/>
        <v>9</v>
      </c>
      <c r="AA149" s="55">
        <f t="shared" si="97"/>
        <v>722</v>
      </c>
      <c r="AC149" s="55">
        <f>SUM(AC145:AC148)</f>
        <v>1446</v>
      </c>
    </row>
    <row r="150" spans="1:29" ht="15.75" customHeight="1">
      <c r="A150" s="104">
        <v>0.54166666666666663</v>
      </c>
      <c r="B150" s="38">
        <f t="shared" ref="B150:H153" si="98">SUM(B22+B54+B86)</f>
        <v>189</v>
      </c>
      <c r="C150" s="39">
        <f t="shared" si="98"/>
        <v>8</v>
      </c>
      <c r="D150" s="39">
        <f t="shared" si="98"/>
        <v>0</v>
      </c>
      <c r="E150" s="39">
        <f t="shared" si="98"/>
        <v>0</v>
      </c>
      <c r="F150" s="39">
        <f t="shared" si="98"/>
        <v>4</v>
      </c>
      <c r="G150" s="39">
        <f t="shared" si="98"/>
        <v>0</v>
      </c>
      <c r="H150" s="40">
        <f t="shared" si="98"/>
        <v>1</v>
      </c>
      <c r="I150" s="105">
        <f>SUM(B150:H150)</f>
        <v>202</v>
      </c>
      <c r="K150" s="38">
        <f t="shared" ref="K150:Q153" si="99">SUM(K22+K54+K86)</f>
        <v>5</v>
      </c>
      <c r="L150" s="39">
        <f t="shared" si="99"/>
        <v>0</v>
      </c>
      <c r="M150" s="39">
        <f t="shared" si="99"/>
        <v>0</v>
      </c>
      <c r="N150" s="39">
        <f t="shared" si="99"/>
        <v>0</v>
      </c>
      <c r="O150" s="39">
        <f t="shared" si="99"/>
        <v>0</v>
      </c>
      <c r="P150" s="39">
        <f t="shared" si="99"/>
        <v>0</v>
      </c>
      <c r="Q150" s="40">
        <f t="shared" si="99"/>
        <v>0</v>
      </c>
      <c r="R150" s="105">
        <f>SUM(K150:Q150)</f>
        <v>5</v>
      </c>
      <c r="T150" s="38">
        <f t="shared" ref="T150:Z153" si="100">SUM(T22+T54+T86)</f>
        <v>140</v>
      </c>
      <c r="U150" s="39">
        <f t="shared" si="100"/>
        <v>12</v>
      </c>
      <c r="V150" s="39">
        <f t="shared" si="100"/>
        <v>0</v>
      </c>
      <c r="W150" s="39">
        <f t="shared" si="100"/>
        <v>0</v>
      </c>
      <c r="X150" s="39">
        <f t="shared" si="100"/>
        <v>6</v>
      </c>
      <c r="Y150" s="39">
        <f t="shared" si="100"/>
        <v>0</v>
      </c>
      <c r="Z150" s="40">
        <f t="shared" si="100"/>
        <v>0</v>
      </c>
      <c r="AA150" s="105">
        <f>SUM(T150:Z150)</f>
        <v>158</v>
      </c>
      <c r="AC150" s="105">
        <f>SUM(I150+R150+AA150)</f>
        <v>365</v>
      </c>
    </row>
    <row r="151" spans="1:29" ht="15.75" customHeight="1">
      <c r="A151" s="106">
        <v>0.55208333333333337</v>
      </c>
      <c r="B151" s="42">
        <f t="shared" si="98"/>
        <v>158</v>
      </c>
      <c r="C151" s="43">
        <f t="shared" si="98"/>
        <v>12</v>
      </c>
      <c r="D151" s="43">
        <f t="shared" si="98"/>
        <v>1</v>
      </c>
      <c r="E151" s="43">
        <f t="shared" si="98"/>
        <v>0</v>
      </c>
      <c r="F151" s="43">
        <f t="shared" si="98"/>
        <v>4</v>
      </c>
      <c r="G151" s="43">
        <f t="shared" si="98"/>
        <v>0</v>
      </c>
      <c r="H151" s="46">
        <f t="shared" si="98"/>
        <v>0</v>
      </c>
      <c r="I151" s="107">
        <f>SUM(B151:H151)</f>
        <v>175</v>
      </c>
      <c r="K151" s="42">
        <f t="shared" si="99"/>
        <v>4</v>
      </c>
      <c r="L151" s="43">
        <f t="shared" si="99"/>
        <v>0</v>
      </c>
      <c r="M151" s="43">
        <f t="shared" si="99"/>
        <v>0</v>
      </c>
      <c r="N151" s="43">
        <f t="shared" si="99"/>
        <v>0</v>
      </c>
      <c r="O151" s="43">
        <f t="shared" si="99"/>
        <v>0</v>
      </c>
      <c r="P151" s="43">
        <f t="shared" si="99"/>
        <v>0</v>
      </c>
      <c r="Q151" s="46">
        <f t="shared" si="99"/>
        <v>0</v>
      </c>
      <c r="R151" s="107">
        <f>SUM(K151:Q151)</f>
        <v>4</v>
      </c>
      <c r="T151" s="42">
        <f t="shared" si="100"/>
        <v>181</v>
      </c>
      <c r="U151" s="43">
        <f t="shared" si="100"/>
        <v>12</v>
      </c>
      <c r="V151" s="43">
        <f t="shared" si="100"/>
        <v>0</v>
      </c>
      <c r="W151" s="43">
        <f t="shared" si="100"/>
        <v>0</v>
      </c>
      <c r="X151" s="43">
        <f t="shared" si="100"/>
        <v>4</v>
      </c>
      <c r="Y151" s="43">
        <f t="shared" si="100"/>
        <v>0</v>
      </c>
      <c r="Z151" s="46">
        <f t="shared" si="100"/>
        <v>1</v>
      </c>
      <c r="AA151" s="107">
        <f>SUM(T151:Z151)</f>
        <v>198</v>
      </c>
      <c r="AC151" s="107">
        <f>SUM(I151+R151+AA151)</f>
        <v>377</v>
      </c>
    </row>
    <row r="152" spans="1:29" ht="15.75" customHeight="1">
      <c r="A152" s="106">
        <v>0.5625</v>
      </c>
      <c r="B152" s="42">
        <f t="shared" si="98"/>
        <v>158</v>
      </c>
      <c r="C152" s="43">
        <f t="shared" si="98"/>
        <v>12</v>
      </c>
      <c r="D152" s="43">
        <f t="shared" si="98"/>
        <v>0</v>
      </c>
      <c r="E152" s="43">
        <f t="shared" si="98"/>
        <v>0</v>
      </c>
      <c r="F152" s="43">
        <f t="shared" si="98"/>
        <v>6</v>
      </c>
      <c r="G152" s="43">
        <f t="shared" si="98"/>
        <v>2</v>
      </c>
      <c r="H152" s="46">
        <f t="shared" si="98"/>
        <v>0</v>
      </c>
      <c r="I152" s="107">
        <f>SUM(B152:H152)</f>
        <v>178</v>
      </c>
      <c r="K152" s="42">
        <f t="shared" si="99"/>
        <v>7</v>
      </c>
      <c r="L152" s="43">
        <f t="shared" si="99"/>
        <v>0</v>
      </c>
      <c r="M152" s="43">
        <f t="shared" si="99"/>
        <v>0</v>
      </c>
      <c r="N152" s="43">
        <f t="shared" si="99"/>
        <v>0</v>
      </c>
      <c r="O152" s="43">
        <f t="shared" si="99"/>
        <v>0</v>
      </c>
      <c r="P152" s="43">
        <f t="shared" si="99"/>
        <v>0</v>
      </c>
      <c r="Q152" s="46">
        <f t="shared" si="99"/>
        <v>0</v>
      </c>
      <c r="R152" s="107">
        <f>SUM(K152:Q152)</f>
        <v>7</v>
      </c>
      <c r="T152" s="42">
        <f t="shared" si="100"/>
        <v>142</v>
      </c>
      <c r="U152" s="43">
        <f t="shared" si="100"/>
        <v>19</v>
      </c>
      <c r="V152" s="43">
        <f t="shared" si="100"/>
        <v>1</v>
      </c>
      <c r="W152" s="43">
        <f t="shared" si="100"/>
        <v>0</v>
      </c>
      <c r="X152" s="43">
        <f t="shared" si="100"/>
        <v>5</v>
      </c>
      <c r="Y152" s="43">
        <f t="shared" si="100"/>
        <v>2</v>
      </c>
      <c r="Z152" s="46">
        <f t="shared" si="100"/>
        <v>0</v>
      </c>
      <c r="AA152" s="107">
        <f>SUM(T152:Z152)</f>
        <v>169</v>
      </c>
      <c r="AC152" s="107">
        <f>SUM(I152+R152+AA152)</f>
        <v>354</v>
      </c>
    </row>
    <row r="153" spans="1:29" ht="15.75" customHeight="1">
      <c r="A153" s="108">
        <v>0.57291666666666663</v>
      </c>
      <c r="B153" s="48">
        <f t="shared" si="98"/>
        <v>154</v>
      </c>
      <c r="C153" s="49">
        <f t="shared" si="98"/>
        <v>9</v>
      </c>
      <c r="D153" s="49">
        <f t="shared" si="98"/>
        <v>0</v>
      </c>
      <c r="E153" s="49">
        <f t="shared" si="98"/>
        <v>1</v>
      </c>
      <c r="F153" s="49">
        <f t="shared" si="98"/>
        <v>3</v>
      </c>
      <c r="G153" s="49">
        <f t="shared" si="98"/>
        <v>0</v>
      </c>
      <c r="H153" s="50">
        <f t="shared" si="98"/>
        <v>0</v>
      </c>
      <c r="I153" s="109">
        <f>SUM(B153:H153)</f>
        <v>167</v>
      </c>
      <c r="K153" s="48">
        <f t="shared" si="99"/>
        <v>4</v>
      </c>
      <c r="L153" s="49">
        <f t="shared" si="99"/>
        <v>0</v>
      </c>
      <c r="M153" s="49">
        <f t="shared" si="99"/>
        <v>0</v>
      </c>
      <c r="N153" s="49">
        <f t="shared" si="99"/>
        <v>0</v>
      </c>
      <c r="O153" s="49">
        <f t="shared" si="99"/>
        <v>0</v>
      </c>
      <c r="P153" s="49">
        <f t="shared" si="99"/>
        <v>0</v>
      </c>
      <c r="Q153" s="50">
        <f t="shared" si="99"/>
        <v>0</v>
      </c>
      <c r="R153" s="109">
        <f>SUM(K153:Q153)</f>
        <v>4</v>
      </c>
      <c r="T153" s="48">
        <f t="shared" si="100"/>
        <v>163</v>
      </c>
      <c r="U153" s="49">
        <f t="shared" si="100"/>
        <v>20</v>
      </c>
      <c r="V153" s="49">
        <f t="shared" si="100"/>
        <v>0</v>
      </c>
      <c r="W153" s="49">
        <f t="shared" si="100"/>
        <v>0</v>
      </c>
      <c r="X153" s="49">
        <f t="shared" si="100"/>
        <v>4</v>
      </c>
      <c r="Y153" s="49">
        <f t="shared" si="100"/>
        <v>2</v>
      </c>
      <c r="Z153" s="50">
        <f t="shared" si="100"/>
        <v>4</v>
      </c>
      <c r="AA153" s="109">
        <f>SUM(T153:Z153)</f>
        <v>193</v>
      </c>
      <c r="AC153" s="109">
        <f>SUM(I153+R153+AA153)</f>
        <v>364</v>
      </c>
    </row>
    <row r="154" spans="1:29" ht="15.75" customHeight="1">
      <c r="A154" s="55" t="s">
        <v>24</v>
      </c>
      <c r="B154" s="52">
        <f t="shared" ref="B154:I154" si="101">SUM(B150:B153)</f>
        <v>659</v>
      </c>
      <c r="C154" s="53">
        <f t="shared" si="101"/>
        <v>41</v>
      </c>
      <c r="D154" s="53">
        <f t="shared" si="101"/>
        <v>1</v>
      </c>
      <c r="E154" s="53">
        <f t="shared" si="101"/>
        <v>1</v>
      </c>
      <c r="F154" s="53">
        <f t="shared" si="101"/>
        <v>17</v>
      </c>
      <c r="G154" s="53">
        <f t="shared" si="101"/>
        <v>2</v>
      </c>
      <c r="H154" s="54">
        <f t="shared" si="101"/>
        <v>1</v>
      </c>
      <c r="I154" s="55">
        <f t="shared" si="101"/>
        <v>722</v>
      </c>
      <c r="K154" s="52">
        <f t="shared" ref="K154:R154" si="102">SUM(K150:K153)</f>
        <v>20</v>
      </c>
      <c r="L154" s="53">
        <f t="shared" si="102"/>
        <v>0</v>
      </c>
      <c r="M154" s="53">
        <f t="shared" si="102"/>
        <v>0</v>
      </c>
      <c r="N154" s="53">
        <f t="shared" si="102"/>
        <v>0</v>
      </c>
      <c r="O154" s="53">
        <f t="shared" si="102"/>
        <v>0</v>
      </c>
      <c r="P154" s="53">
        <f t="shared" si="102"/>
        <v>0</v>
      </c>
      <c r="Q154" s="54">
        <f t="shared" si="102"/>
        <v>0</v>
      </c>
      <c r="R154" s="55">
        <f t="shared" si="102"/>
        <v>20</v>
      </c>
      <c r="T154" s="52">
        <f t="shared" ref="T154:AA154" si="103">SUM(T150:T153)</f>
        <v>626</v>
      </c>
      <c r="U154" s="53">
        <f t="shared" si="103"/>
        <v>63</v>
      </c>
      <c r="V154" s="53">
        <f t="shared" si="103"/>
        <v>1</v>
      </c>
      <c r="W154" s="53">
        <f t="shared" si="103"/>
        <v>0</v>
      </c>
      <c r="X154" s="53">
        <f t="shared" si="103"/>
        <v>19</v>
      </c>
      <c r="Y154" s="53">
        <f t="shared" si="103"/>
        <v>4</v>
      </c>
      <c r="Z154" s="54">
        <f t="shared" si="103"/>
        <v>5</v>
      </c>
      <c r="AA154" s="55">
        <f t="shared" si="103"/>
        <v>718</v>
      </c>
      <c r="AC154" s="55">
        <f>SUM(AC150:AC153)</f>
        <v>1460</v>
      </c>
    </row>
    <row r="155" spans="1:29" ht="15.75" customHeight="1">
      <c r="A155" s="104">
        <v>0.58333333333333337</v>
      </c>
      <c r="B155" s="38">
        <f t="shared" ref="B155:H158" si="104">SUM(B27+B59+B91)</f>
        <v>154</v>
      </c>
      <c r="C155" s="39">
        <f t="shared" si="104"/>
        <v>13</v>
      </c>
      <c r="D155" s="39">
        <f t="shared" si="104"/>
        <v>0</v>
      </c>
      <c r="E155" s="39">
        <f t="shared" si="104"/>
        <v>0</v>
      </c>
      <c r="F155" s="39">
        <f t="shared" si="104"/>
        <v>6</v>
      </c>
      <c r="G155" s="39">
        <f t="shared" si="104"/>
        <v>0</v>
      </c>
      <c r="H155" s="40">
        <f t="shared" si="104"/>
        <v>0</v>
      </c>
      <c r="I155" s="105">
        <f>SUM(B155:H155)</f>
        <v>173</v>
      </c>
      <c r="K155" s="38">
        <f t="shared" ref="K155:Q158" si="105">SUM(K27+K59+K91)</f>
        <v>3</v>
      </c>
      <c r="L155" s="39">
        <f t="shared" si="105"/>
        <v>0</v>
      </c>
      <c r="M155" s="39">
        <f t="shared" si="105"/>
        <v>0</v>
      </c>
      <c r="N155" s="39">
        <f t="shared" si="105"/>
        <v>0</v>
      </c>
      <c r="O155" s="39">
        <f t="shared" si="105"/>
        <v>0</v>
      </c>
      <c r="P155" s="39">
        <f t="shared" si="105"/>
        <v>0</v>
      </c>
      <c r="Q155" s="40">
        <f t="shared" si="105"/>
        <v>0</v>
      </c>
      <c r="R155" s="105">
        <f>SUM(K155:Q155)</f>
        <v>3</v>
      </c>
      <c r="T155" s="38">
        <f t="shared" ref="T155:Z158" si="106">SUM(T27+T59+T91)</f>
        <v>133</v>
      </c>
      <c r="U155" s="39">
        <f t="shared" si="106"/>
        <v>9</v>
      </c>
      <c r="V155" s="39">
        <f t="shared" si="106"/>
        <v>1</v>
      </c>
      <c r="W155" s="39">
        <f t="shared" si="106"/>
        <v>0</v>
      </c>
      <c r="X155" s="39">
        <f t="shared" si="106"/>
        <v>7</v>
      </c>
      <c r="Y155" s="39">
        <f t="shared" si="106"/>
        <v>0</v>
      </c>
      <c r="Z155" s="40">
        <f t="shared" si="106"/>
        <v>0</v>
      </c>
      <c r="AA155" s="105">
        <f>SUM(T155:Z155)</f>
        <v>150</v>
      </c>
      <c r="AC155" s="105">
        <f>SUM(I155+R155+AA155)</f>
        <v>326</v>
      </c>
    </row>
    <row r="156" spans="1:29" ht="15.75" customHeight="1">
      <c r="A156" s="106">
        <v>0.59375</v>
      </c>
      <c r="B156" s="42">
        <f t="shared" si="104"/>
        <v>147</v>
      </c>
      <c r="C156" s="43">
        <f t="shared" si="104"/>
        <v>11</v>
      </c>
      <c r="D156" s="43">
        <f t="shared" si="104"/>
        <v>1</v>
      </c>
      <c r="E156" s="43">
        <f t="shared" si="104"/>
        <v>0</v>
      </c>
      <c r="F156" s="43">
        <f t="shared" si="104"/>
        <v>3</v>
      </c>
      <c r="G156" s="43">
        <f t="shared" si="104"/>
        <v>1</v>
      </c>
      <c r="H156" s="46">
        <f t="shared" si="104"/>
        <v>1</v>
      </c>
      <c r="I156" s="107">
        <f>SUM(B156:H156)</f>
        <v>164</v>
      </c>
      <c r="K156" s="42">
        <f t="shared" si="105"/>
        <v>6</v>
      </c>
      <c r="L156" s="43">
        <f t="shared" si="105"/>
        <v>0</v>
      </c>
      <c r="M156" s="43">
        <f t="shared" si="105"/>
        <v>0</v>
      </c>
      <c r="N156" s="43">
        <f t="shared" si="105"/>
        <v>0</v>
      </c>
      <c r="O156" s="43">
        <f t="shared" si="105"/>
        <v>0</v>
      </c>
      <c r="P156" s="43">
        <f t="shared" si="105"/>
        <v>0</v>
      </c>
      <c r="Q156" s="46">
        <f t="shared" si="105"/>
        <v>0</v>
      </c>
      <c r="R156" s="107">
        <f>SUM(K156:Q156)</f>
        <v>6</v>
      </c>
      <c r="T156" s="42">
        <f t="shared" si="106"/>
        <v>160</v>
      </c>
      <c r="U156" s="43">
        <f t="shared" si="106"/>
        <v>7</v>
      </c>
      <c r="V156" s="43">
        <f t="shared" si="106"/>
        <v>1</v>
      </c>
      <c r="W156" s="43">
        <f t="shared" si="106"/>
        <v>0</v>
      </c>
      <c r="X156" s="43">
        <f t="shared" si="106"/>
        <v>3</v>
      </c>
      <c r="Y156" s="43">
        <f t="shared" si="106"/>
        <v>1</v>
      </c>
      <c r="Z156" s="46">
        <f t="shared" si="106"/>
        <v>1</v>
      </c>
      <c r="AA156" s="107">
        <f>SUM(T156:Z156)</f>
        <v>173</v>
      </c>
      <c r="AC156" s="107">
        <f>SUM(I156+R156+AA156)</f>
        <v>343</v>
      </c>
    </row>
    <row r="157" spans="1:29" ht="15.75" customHeight="1">
      <c r="A157" s="106">
        <v>0.60416666666666663</v>
      </c>
      <c r="B157" s="42">
        <f t="shared" si="104"/>
        <v>160</v>
      </c>
      <c r="C157" s="43">
        <f t="shared" si="104"/>
        <v>10</v>
      </c>
      <c r="D157" s="43">
        <f t="shared" si="104"/>
        <v>1</v>
      </c>
      <c r="E157" s="43">
        <f t="shared" si="104"/>
        <v>0</v>
      </c>
      <c r="F157" s="43">
        <f t="shared" si="104"/>
        <v>8</v>
      </c>
      <c r="G157" s="43">
        <f t="shared" si="104"/>
        <v>1</v>
      </c>
      <c r="H157" s="46">
        <f t="shared" si="104"/>
        <v>0</v>
      </c>
      <c r="I157" s="107">
        <f>SUM(B157:H157)</f>
        <v>180</v>
      </c>
      <c r="K157" s="42">
        <f t="shared" si="105"/>
        <v>4</v>
      </c>
      <c r="L157" s="43">
        <f t="shared" si="105"/>
        <v>0</v>
      </c>
      <c r="M157" s="43">
        <f t="shared" si="105"/>
        <v>0</v>
      </c>
      <c r="N157" s="43">
        <f t="shared" si="105"/>
        <v>0</v>
      </c>
      <c r="O157" s="43">
        <f t="shared" si="105"/>
        <v>0</v>
      </c>
      <c r="P157" s="43">
        <f t="shared" si="105"/>
        <v>0</v>
      </c>
      <c r="Q157" s="46">
        <f t="shared" si="105"/>
        <v>1</v>
      </c>
      <c r="R157" s="107">
        <f>SUM(K157:Q157)</f>
        <v>5</v>
      </c>
      <c r="T157" s="42">
        <f t="shared" si="106"/>
        <v>173</v>
      </c>
      <c r="U157" s="43">
        <f t="shared" si="106"/>
        <v>5</v>
      </c>
      <c r="V157" s="43">
        <f t="shared" si="106"/>
        <v>1</v>
      </c>
      <c r="W157" s="43">
        <f t="shared" si="106"/>
        <v>0</v>
      </c>
      <c r="X157" s="43">
        <f t="shared" si="106"/>
        <v>3</v>
      </c>
      <c r="Y157" s="43">
        <f t="shared" si="106"/>
        <v>0</v>
      </c>
      <c r="Z157" s="46">
        <f t="shared" si="106"/>
        <v>0</v>
      </c>
      <c r="AA157" s="107">
        <f>SUM(T157:Z157)</f>
        <v>182</v>
      </c>
      <c r="AC157" s="107">
        <f>SUM(I157+R157+AA157)</f>
        <v>367</v>
      </c>
    </row>
    <row r="158" spans="1:29" ht="15.75" customHeight="1">
      <c r="A158" s="108">
        <v>0.61458333333333337</v>
      </c>
      <c r="B158" s="48">
        <f t="shared" si="104"/>
        <v>156</v>
      </c>
      <c r="C158" s="49">
        <f t="shared" si="104"/>
        <v>9</v>
      </c>
      <c r="D158" s="49">
        <f t="shared" si="104"/>
        <v>0</v>
      </c>
      <c r="E158" s="49">
        <f t="shared" si="104"/>
        <v>0</v>
      </c>
      <c r="F158" s="49">
        <f t="shared" si="104"/>
        <v>3</v>
      </c>
      <c r="G158" s="49">
        <f t="shared" si="104"/>
        <v>0</v>
      </c>
      <c r="H158" s="50">
        <f t="shared" si="104"/>
        <v>0</v>
      </c>
      <c r="I158" s="109">
        <f>SUM(B158:H158)</f>
        <v>168</v>
      </c>
      <c r="K158" s="48">
        <f t="shared" si="105"/>
        <v>7</v>
      </c>
      <c r="L158" s="49">
        <f t="shared" si="105"/>
        <v>1</v>
      </c>
      <c r="M158" s="49">
        <f t="shared" si="105"/>
        <v>0</v>
      </c>
      <c r="N158" s="49">
        <f t="shared" si="105"/>
        <v>0</v>
      </c>
      <c r="O158" s="49">
        <f t="shared" si="105"/>
        <v>0</v>
      </c>
      <c r="P158" s="49">
        <f t="shared" si="105"/>
        <v>0</v>
      </c>
      <c r="Q158" s="50">
        <f t="shared" si="105"/>
        <v>0</v>
      </c>
      <c r="R158" s="109">
        <f>SUM(K158:Q158)</f>
        <v>8</v>
      </c>
      <c r="T158" s="48">
        <f t="shared" si="106"/>
        <v>140</v>
      </c>
      <c r="U158" s="49">
        <f t="shared" si="106"/>
        <v>10</v>
      </c>
      <c r="V158" s="49">
        <f t="shared" si="106"/>
        <v>1</v>
      </c>
      <c r="W158" s="49">
        <f t="shared" si="106"/>
        <v>0</v>
      </c>
      <c r="X158" s="49">
        <f t="shared" si="106"/>
        <v>6</v>
      </c>
      <c r="Y158" s="49">
        <f t="shared" si="106"/>
        <v>3</v>
      </c>
      <c r="Z158" s="50">
        <f t="shared" si="106"/>
        <v>0</v>
      </c>
      <c r="AA158" s="109">
        <f>SUM(T158:Z158)</f>
        <v>160</v>
      </c>
      <c r="AC158" s="109">
        <f>SUM(I158+R158+AA158)</f>
        <v>336</v>
      </c>
    </row>
    <row r="159" spans="1:29" ht="15.75" customHeight="1">
      <c r="A159" s="55" t="s">
        <v>24</v>
      </c>
      <c r="B159" s="52">
        <f t="shared" ref="B159:I159" si="107">SUM(B155:B158)</f>
        <v>617</v>
      </c>
      <c r="C159" s="53">
        <f t="shared" si="107"/>
        <v>43</v>
      </c>
      <c r="D159" s="53">
        <f t="shared" si="107"/>
        <v>2</v>
      </c>
      <c r="E159" s="53">
        <f t="shared" si="107"/>
        <v>0</v>
      </c>
      <c r="F159" s="53">
        <f t="shared" si="107"/>
        <v>20</v>
      </c>
      <c r="G159" s="53">
        <f t="shared" si="107"/>
        <v>2</v>
      </c>
      <c r="H159" s="54">
        <f t="shared" si="107"/>
        <v>1</v>
      </c>
      <c r="I159" s="55">
        <f t="shared" si="107"/>
        <v>685</v>
      </c>
      <c r="K159" s="52">
        <f t="shared" ref="K159:R159" si="108">SUM(K155:K158)</f>
        <v>20</v>
      </c>
      <c r="L159" s="53">
        <f t="shared" si="108"/>
        <v>1</v>
      </c>
      <c r="M159" s="53">
        <f t="shared" si="108"/>
        <v>0</v>
      </c>
      <c r="N159" s="53">
        <f t="shared" si="108"/>
        <v>0</v>
      </c>
      <c r="O159" s="53">
        <f t="shared" si="108"/>
        <v>0</v>
      </c>
      <c r="P159" s="53">
        <f t="shared" si="108"/>
        <v>0</v>
      </c>
      <c r="Q159" s="54">
        <f t="shared" si="108"/>
        <v>1</v>
      </c>
      <c r="R159" s="55">
        <f t="shared" si="108"/>
        <v>22</v>
      </c>
      <c r="T159" s="52">
        <f t="shared" ref="T159:AA159" si="109">SUM(T155:T158)</f>
        <v>606</v>
      </c>
      <c r="U159" s="53">
        <f t="shared" si="109"/>
        <v>31</v>
      </c>
      <c r="V159" s="53">
        <f t="shared" si="109"/>
        <v>4</v>
      </c>
      <c r="W159" s="53">
        <f t="shared" si="109"/>
        <v>0</v>
      </c>
      <c r="X159" s="53">
        <f t="shared" si="109"/>
        <v>19</v>
      </c>
      <c r="Y159" s="53">
        <f t="shared" si="109"/>
        <v>4</v>
      </c>
      <c r="Z159" s="54">
        <f t="shared" si="109"/>
        <v>1</v>
      </c>
      <c r="AA159" s="55">
        <f t="shared" si="109"/>
        <v>665</v>
      </c>
      <c r="AC159" s="55">
        <f>SUM(AC155:AC158)</f>
        <v>1372</v>
      </c>
    </row>
    <row r="160" spans="1:29" ht="15.75" customHeight="1">
      <c r="A160" s="104">
        <v>0.625</v>
      </c>
      <c r="B160" s="38">
        <f t="shared" ref="B160:H163" si="110">SUM(B32+B64+B96)</f>
        <v>148</v>
      </c>
      <c r="C160" s="39">
        <f t="shared" si="110"/>
        <v>12</v>
      </c>
      <c r="D160" s="39">
        <f t="shared" si="110"/>
        <v>0</v>
      </c>
      <c r="E160" s="39">
        <f t="shared" si="110"/>
        <v>0</v>
      </c>
      <c r="F160" s="39">
        <f t="shared" si="110"/>
        <v>3</v>
      </c>
      <c r="G160" s="39">
        <f t="shared" si="110"/>
        <v>0</v>
      </c>
      <c r="H160" s="40">
        <f t="shared" si="110"/>
        <v>3</v>
      </c>
      <c r="I160" s="105">
        <f>SUM(B160:H160)</f>
        <v>166</v>
      </c>
      <c r="K160" s="38">
        <f t="shared" ref="K160:Q163" si="111">SUM(K32+K64+K96)</f>
        <v>3</v>
      </c>
      <c r="L160" s="39">
        <f t="shared" si="111"/>
        <v>0</v>
      </c>
      <c r="M160" s="39">
        <f t="shared" si="111"/>
        <v>0</v>
      </c>
      <c r="N160" s="39">
        <f t="shared" si="111"/>
        <v>0</v>
      </c>
      <c r="O160" s="39">
        <f t="shared" si="111"/>
        <v>0</v>
      </c>
      <c r="P160" s="39">
        <f t="shared" si="111"/>
        <v>0</v>
      </c>
      <c r="Q160" s="40">
        <f t="shared" si="111"/>
        <v>0</v>
      </c>
      <c r="R160" s="105">
        <f>SUM(K160:Q160)</f>
        <v>3</v>
      </c>
      <c r="T160" s="38">
        <f t="shared" ref="T160:Z163" si="112">SUM(T32+T64+T96)</f>
        <v>163</v>
      </c>
      <c r="U160" s="39">
        <f t="shared" si="112"/>
        <v>14</v>
      </c>
      <c r="V160" s="39">
        <f t="shared" si="112"/>
        <v>1</v>
      </c>
      <c r="W160" s="39">
        <f t="shared" si="112"/>
        <v>0</v>
      </c>
      <c r="X160" s="39">
        <f t="shared" si="112"/>
        <v>7</v>
      </c>
      <c r="Y160" s="39">
        <f t="shared" si="112"/>
        <v>1</v>
      </c>
      <c r="Z160" s="40">
        <f t="shared" si="112"/>
        <v>0</v>
      </c>
      <c r="AA160" s="105">
        <f>SUM(T160:Z160)</f>
        <v>186</v>
      </c>
      <c r="AC160" s="105">
        <f>SUM(I160+R160+AA160)</f>
        <v>355</v>
      </c>
    </row>
    <row r="161" spans="1:29" ht="15.75" customHeight="1">
      <c r="A161" s="106">
        <v>0.63541666666666663</v>
      </c>
      <c r="B161" s="42">
        <f t="shared" si="110"/>
        <v>133</v>
      </c>
      <c r="C161" s="43">
        <f t="shared" si="110"/>
        <v>10</v>
      </c>
      <c r="D161" s="43">
        <f t="shared" si="110"/>
        <v>0</v>
      </c>
      <c r="E161" s="43">
        <f t="shared" si="110"/>
        <v>0</v>
      </c>
      <c r="F161" s="43">
        <f t="shared" si="110"/>
        <v>7</v>
      </c>
      <c r="G161" s="43">
        <f t="shared" si="110"/>
        <v>0</v>
      </c>
      <c r="H161" s="46">
        <f t="shared" si="110"/>
        <v>2</v>
      </c>
      <c r="I161" s="107">
        <f>SUM(B161:H161)</f>
        <v>152</v>
      </c>
      <c r="K161" s="42">
        <f t="shared" si="111"/>
        <v>8</v>
      </c>
      <c r="L161" s="43">
        <f t="shared" si="111"/>
        <v>0</v>
      </c>
      <c r="M161" s="43">
        <f t="shared" si="111"/>
        <v>0</v>
      </c>
      <c r="N161" s="43">
        <f t="shared" si="111"/>
        <v>0</v>
      </c>
      <c r="O161" s="43">
        <f t="shared" si="111"/>
        <v>0</v>
      </c>
      <c r="P161" s="43">
        <f t="shared" si="111"/>
        <v>0</v>
      </c>
      <c r="Q161" s="46">
        <f t="shared" si="111"/>
        <v>0</v>
      </c>
      <c r="R161" s="107">
        <f>SUM(K161:Q161)</f>
        <v>8</v>
      </c>
      <c r="T161" s="42">
        <f t="shared" si="112"/>
        <v>140</v>
      </c>
      <c r="U161" s="43">
        <f t="shared" si="112"/>
        <v>11</v>
      </c>
      <c r="V161" s="43">
        <f t="shared" si="112"/>
        <v>0</v>
      </c>
      <c r="W161" s="43">
        <f t="shared" si="112"/>
        <v>1</v>
      </c>
      <c r="X161" s="43">
        <f t="shared" si="112"/>
        <v>2</v>
      </c>
      <c r="Y161" s="43">
        <f t="shared" si="112"/>
        <v>1</v>
      </c>
      <c r="Z161" s="46">
        <f t="shared" si="112"/>
        <v>1</v>
      </c>
      <c r="AA161" s="107">
        <f>SUM(T161:Z161)</f>
        <v>156</v>
      </c>
      <c r="AC161" s="107">
        <f>SUM(I161+R161+AA161)</f>
        <v>316</v>
      </c>
    </row>
    <row r="162" spans="1:29" ht="15.75" customHeight="1">
      <c r="A162" s="106">
        <v>0.64583333333333337</v>
      </c>
      <c r="B162" s="42">
        <f t="shared" si="110"/>
        <v>178</v>
      </c>
      <c r="C162" s="43">
        <f t="shared" si="110"/>
        <v>11</v>
      </c>
      <c r="D162" s="43">
        <f t="shared" si="110"/>
        <v>1</v>
      </c>
      <c r="E162" s="43">
        <f t="shared" si="110"/>
        <v>0</v>
      </c>
      <c r="F162" s="43">
        <f t="shared" si="110"/>
        <v>3</v>
      </c>
      <c r="G162" s="43">
        <f t="shared" si="110"/>
        <v>0</v>
      </c>
      <c r="H162" s="46">
        <f t="shared" si="110"/>
        <v>1</v>
      </c>
      <c r="I162" s="107">
        <f>SUM(B162:H162)</f>
        <v>194</v>
      </c>
      <c r="K162" s="42">
        <f t="shared" si="111"/>
        <v>5</v>
      </c>
      <c r="L162" s="43">
        <f t="shared" si="111"/>
        <v>0</v>
      </c>
      <c r="M162" s="43">
        <f t="shared" si="111"/>
        <v>0</v>
      </c>
      <c r="N162" s="43">
        <f t="shared" si="111"/>
        <v>0</v>
      </c>
      <c r="O162" s="43">
        <f t="shared" si="111"/>
        <v>0</v>
      </c>
      <c r="P162" s="43">
        <f t="shared" si="111"/>
        <v>0</v>
      </c>
      <c r="Q162" s="46">
        <f t="shared" si="111"/>
        <v>1</v>
      </c>
      <c r="R162" s="107">
        <f>SUM(K162:Q162)</f>
        <v>6</v>
      </c>
      <c r="T162" s="42">
        <f t="shared" si="112"/>
        <v>152</v>
      </c>
      <c r="U162" s="43">
        <f t="shared" si="112"/>
        <v>16</v>
      </c>
      <c r="V162" s="43">
        <f t="shared" si="112"/>
        <v>0</v>
      </c>
      <c r="W162" s="43">
        <f t="shared" si="112"/>
        <v>0</v>
      </c>
      <c r="X162" s="43">
        <f t="shared" si="112"/>
        <v>3</v>
      </c>
      <c r="Y162" s="43">
        <f t="shared" si="112"/>
        <v>1</v>
      </c>
      <c r="Z162" s="46">
        <f t="shared" si="112"/>
        <v>2</v>
      </c>
      <c r="AA162" s="107">
        <f>SUM(T162:Z162)</f>
        <v>174</v>
      </c>
      <c r="AC162" s="107">
        <f>SUM(I162+R162+AA162)</f>
        <v>374</v>
      </c>
    </row>
    <row r="163" spans="1:29" ht="15.75" customHeight="1">
      <c r="A163" s="108">
        <v>0.65625</v>
      </c>
      <c r="B163" s="48">
        <f t="shared" si="110"/>
        <v>152</v>
      </c>
      <c r="C163" s="49">
        <f t="shared" si="110"/>
        <v>15</v>
      </c>
      <c r="D163" s="49">
        <f t="shared" si="110"/>
        <v>0</v>
      </c>
      <c r="E163" s="49">
        <f t="shared" si="110"/>
        <v>0</v>
      </c>
      <c r="F163" s="49">
        <f t="shared" si="110"/>
        <v>10</v>
      </c>
      <c r="G163" s="49">
        <f t="shared" si="110"/>
        <v>0</v>
      </c>
      <c r="H163" s="50">
        <f t="shared" si="110"/>
        <v>0</v>
      </c>
      <c r="I163" s="109">
        <f>SUM(B163:H163)</f>
        <v>177</v>
      </c>
      <c r="K163" s="48">
        <f t="shared" si="111"/>
        <v>9</v>
      </c>
      <c r="L163" s="49">
        <f t="shared" si="111"/>
        <v>1</v>
      </c>
      <c r="M163" s="49">
        <f t="shared" si="111"/>
        <v>0</v>
      </c>
      <c r="N163" s="49">
        <f t="shared" si="111"/>
        <v>0</v>
      </c>
      <c r="O163" s="49">
        <f t="shared" si="111"/>
        <v>0</v>
      </c>
      <c r="P163" s="49">
        <f t="shared" si="111"/>
        <v>0</v>
      </c>
      <c r="Q163" s="50">
        <f t="shared" si="111"/>
        <v>0</v>
      </c>
      <c r="R163" s="109">
        <f>SUM(K163:Q163)</f>
        <v>10</v>
      </c>
      <c r="T163" s="48">
        <f t="shared" si="112"/>
        <v>114</v>
      </c>
      <c r="U163" s="49">
        <f t="shared" si="112"/>
        <v>9</v>
      </c>
      <c r="V163" s="49">
        <f t="shared" si="112"/>
        <v>0</v>
      </c>
      <c r="W163" s="49">
        <f t="shared" si="112"/>
        <v>0</v>
      </c>
      <c r="X163" s="49">
        <f t="shared" si="112"/>
        <v>5</v>
      </c>
      <c r="Y163" s="49">
        <f t="shared" si="112"/>
        <v>0</v>
      </c>
      <c r="Z163" s="50">
        <f t="shared" si="112"/>
        <v>0</v>
      </c>
      <c r="AA163" s="109">
        <f>SUM(T163:Z163)</f>
        <v>128</v>
      </c>
      <c r="AC163" s="109">
        <f>SUM(I163+R163+AA163)</f>
        <v>315</v>
      </c>
    </row>
    <row r="164" spans="1:29" ht="15.75" customHeight="1">
      <c r="A164" s="55" t="s">
        <v>24</v>
      </c>
      <c r="B164" s="52">
        <f t="shared" ref="B164:I164" si="113">SUM(B160:B163)</f>
        <v>611</v>
      </c>
      <c r="C164" s="53">
        <f t="shared" si="113"/>
        <v>48</v>
      </c>
      <c r="D164" s="53">
        <f t="shared" si="113"/>
        <v>1</v>
      </c>
      <c r="E164" s="53">
        <f t="shared" si="113"/>
        <v>0</v>
      </c>
      <c r="F164" s="53">
        <f t="shared" si="113"/>
        <v>23</v>
      </c>
      <c r="G164" s="53">
        <f t="shared" si="113"/>
        <v>0</v>
      </c>
      <c r="H164" s="54">
        <f t="shared" si="113"/>
        <v>6</v>
      </c>
      <c r="I164" s="55">
        <f t="shared" si="113"/>
        <v>689</v>
      </c>
      <c r="K164" s="52">
        <f t="shared" ref="K164:R164" si="114">SUM(K160:K163)</f>
        <v>25</v>
      </c>
      <c r="L164" s="53">
        <f t="shared" si="114"/>
        <v>1</v>
      </c>
      <c r="M164" s="53">
        <f t="shared" si="114"/>
        <v>0</v>
      </c>
      <c r="N164" s="53">
        <f t="shared" si="114"/>
        <v>0</v>
      </c>
      <c r="O164" s="53">
        <f t="shared" si="114"/>
        <v>0</v>
      </c>
      <c r="P164" s="53">
        <f t="shared" si="114"/>
        <v>0</v>
      </c>
      <c r="Q164" s="54">
        <f t="shared" si="114"/>
        <v>1</v>
      </c>
      <c r="R164" s="55">
        <f t="shared" si="114"/>
        <v>27</v>
      </c>
      <c r="T164" s="52">
        <f t="shared" ref="T164:AA164" si="115">SUM(T160:T163)</f>
        <v>569</v>
      </c>
      <c r="U164" s="53">
        <f t="shared" si="115"/>
        <v>50</v>
      </c>
      <c r="V164" s="53">
        <f t="shared" si="115"/>
        <v>1</v>
      </c>
      <c r="W164" s="53">
        <f t="shared" si="115"/>
        <v>1</v>
      </c>
      <c r="X164" s="53">
        <f t="shared" si="115"/>
        <v>17</v>
      </c>
      <c r="Y164" s="53">
        <f t="shared" si="115"/>
        <v>3</v>
      </c>
      <c r="Z164" s="54">
        <f t="shared" si="115"/>
        <v>3</v>
      </c>
      <c r="AA164" s="55">
        <f t="shared" si="115"/>
        <v>644</v>
      </c>
      <c r="AC164" s="55">
        <f>SUM(AC160:AC163)</f>
        <v>1360</v>
      </c>
    </row>
    <row r="166" spans="1:29" ht="15.75" customHeight="1">
      <c r="A166" s="55" t="s">
        <v>22</v>
      </c>
      <c r="B166" s="52">
        <f t="shared" ref="B166:I166" si="116">SUM(B164+B159+B154+B149+B144)</f>
        <v>3113</v>
      </c>
      <c r="C166" s="53">
        <f t="shared" si="116"/>
        <v>233</v>
      </c>
      <c r="D166" s="53">
        <f t="shared" si="116"/>
        <v>8</v>
      </c>
      <c r="E166" s="53">
        <f t="shared" si="116"/>
        <v>2</v>
      </c>
      <c r="F166" s="53">
        <f t="shared" si="116"/>
        <v>99</v>
      </c>
      <c r="G166" s="53">
        <f t="shared" si="116"/>
        <v>16</v>
      </c>
      <c r="H166" s="54">
        <f t="shared" si="116"/>
        <v>18</v>
      </c>
      <c r="I166" s="55">
        <f t="shared" si="116"/>
        <v>3489</v>
      </c>
      <c r="K166" s="52">
        <f t="shared" ref="K166:R166" si="117">SUM(K164+K159+K154+K149+K144)</f>
        <v>106</v>
      </c>
      <c r="L166" s="53">
        <f t="shared" si="117"/>
        <v>11</v>
      </c>
      <c r="M166" s="53">
        <f t="shared" si="117"/>
        <v>1</v>
      </c>
      <c r="N166" s="53">
        <f t="shared" si="117"/>
        <v>0</v>
      </c>
      <c r="O166" s="53">
        <f t="shared" si="117"/>
        <v>0</v>
      </c>
      <c r="P166" s="53">
        <f t="shared" si="117"/>
        <v>0</v>
      </c>
      <c r="Q166" s="54">
        <f t="shared" si="117"/>
        <v>2</v>
      </c>
      <c r="R166" s="55">
        <f t="shared" si="117"/>
        <v>120</v>
      </c>
      <c r="T166" s="52">
        <f t="shared" ref="T166:AA166" si="118">SUM(T164+T159+T154+T149+T144)</f>
        <v>3062</v>
      </c>
      <c r="U166" s="53">
        <f t="shared" si="118"/>
        <v>251</v>
      </c>
      <c r="V166" s="53">
        <f t="shared" si="118"/>
        <v>15</v>
      </c>
      <c r="W166" s="53">
        <f t="shared" si="118"/>
        <v>4</v>
      </c>
      <c r="X166" s="53">
        <f t="shared" si="118"/>
        <v>93</v>
      </c>
      <c r="Y166" s="53">
        <f t="shared" si="118"/>
        <v>19</v>
      </c>
      <c r="Z166" s="54">
        <f t="shared" si="118"/>
        <v>20</v>
      </c>
      <c r="AA166" s="55">
        <f t="shared" si="118"/>
        <v>3464</v>
      </c>
      <c r="AC166" s="55">
        <f>SUM(AC164+AC159+AC154+AC149+AC144)</f>
        <v>7073</v>
      </c>
    </row>
    <row r="167" spans="1:29" s="102" customFormat="1" ht="15.75" customHeight="1">
      <c r="A167" s="102" t="s">
        <v>56</v>
      </c>
      <c r="I167" s="102">
        <f>SUM(B140:H143,B145:H148,B150:H153,B155:H158,B160:H163)</f>
        <v>3489</v>
      </c>
      <c r="R167" s="102">
        <f>SUM(K140:Q143,K145:Q148,K150:Q153,K155:Q158,K160:Q163)</f>
        <v>120</v>
      </c>
      <c r="AA167" s="102">
        <f>SUM(T140:Z143,T145:Z148,T150:Z153,T155:Z158,T160:Z163)</f>
        <v>3464</v>
      </c>
      <c r="AC167" s="102">
        <f>SUM(B167:AA167)</f>
        <v>7073</v>
      </c>
    </row>
    <row r="169" spans="1:29" ht="15.75" customHeight="1">
      <c r="A169" s="41" t="s">
        <v>56</v>
      </c>
    </row>
    <row r="170" spans="1:29" ht="15.75" customHeight="1">
      <c r="A170" s="41" t="s">
        <v>57</v>
      </c>
      <c r="B170" s="41">
        <f>SUM(AC38+AC70+AC102)</f>
        <v>7073</v>
      </c>
      <c r="C170" s="41">
        <f>SUM(AC39+AC71+AC103)</f>
        <v>7073</v>
      </c>
    </row>
    <row r="171" spans="1:29" ht="15.75" customHeight="1">
      <c r="A171" s="41" t="s">
        <v>58</v>
      </c>
      <c r="B171" s="41">
        <f>AC134</f>
        <v>7073</v>
      </c>
      <c r="C171" s="41">
        <f>AC135</f>
        <v>7073</v>
      </c>
    </row>
    <row r="172" spans="1:29" ht="15.75" customHeight="1">
      <c r="A172" s="41" t="s">
        <v>59</v>
      </c>
      <c r="B172" s="41">
        <f>AC166</f>
        <v>7073</v>
      </c>
      <c r="C172" s="41">
        <f>AC167</f>
        <v>7073</v>
      </c>
    </row>
  </sheetData>
  <mergeCells count="5">
    <mergeCell ref="AC137:AC138"/>
    <mergeCell ref="AC9:AC10"/>
    <mergeCell ref="AC41:AC42"/>
    <mergeCell ref="AC73:AC74"/>
    <mergeCell ref="AC105:AC106"/>
  </mergeCells>
  <pageMargins left="0.7" right="0.7" top="0.75" bottom="0.75" header="0.3" footer="0.3"/>
  <pageSetup paperSize="9" scale="68" orientation="landscape" r:id="rId1"/>
  <rowBreaks count="5" manualBreakCount="5">
    <brk id="38" max="16383" man="1"/>
    <brk id="70" max="16383" man="1"/>
    <brk id="102" max="16383" man="1"/>
    <brk id="134" max="16383" man="1"/>
    <brk id="166" max="16383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8"/>
  <sheetViews>
    <sheetView showGridLines="0" zoomScale="75" zoomScaleNormal="75" workbookViewId="0">
      <selection activeCell="B2" sqref="B2"/>
    </sheetView>
  </sheetViews>
  <sheetFormatPr defaultRowHeight="15.75" customHeight="1"/>
  <cols>
    <col min="1" max="1" width="8.28515625" style="23" customWidth="1"/>
    <col min="2" max="2" width="12" style="23" customWidth="1"/>
    <col min="3" max="3" width="1.7109375" style="23" customWidth="1"/>
    <col min="4" max="4" width="12" style="23" customWidth="1"/>
    <col min="5" max="5" width="4.7109375" style="23" customWidth="1"/>
    <col min="6" max="6" width="12" style="23" customWidth="1"/>
    <col min="7" max="7" width="1.7109375" style="23" customWidth="1"/>
    <col min="8" max="8" width="12" style="23" customWidth="1"/>
    <col min="9" max="9" width="4.7109375" style="23" customWidth="1"/>
    <col min="10" max="10" width="12" style="23" customWidth="1"/>
    <col min="11" max="11" width="1.7109375" style="23" customWidth="1"/>
    <col min="12" max="12" width="12" style="23" customWidth="1"/>
    <col min="13" max="18" width="7.28515625" style="23" customWidth="1"/>
    <col min="19" max="19" width="1.28515625" style="23" customWidth="1"/>
    <col min="20" max="27" width="7.28515625" style="23" customWidth="1"/>
    <col min="28" max="28" width="1.28515625" style="23" customWidth="1"/>
    <col min="29" max="36" width="7.28515625" style="23" customWidth="1"/>
    <col min="37" max="37" width="1.28515625" style="23" customWidth="1"/>
    <col min="38" max="38" width="8.28515625" style="23" customWidth="1"/>
    <col min="39" max="16384" width="9.140625" style="23"/>
  </cols>
  <sheetData>
    <row r="1" spans="1:21" ht="15.75" customHeight="1">
      <c r="A1" s="24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6"/>
    </row>
    <row r="2" spans="1:21" ht="15.75" customHeight="1">
      <c r="A2" s="27"/>
      <c r="B2" s="28"/>
      <c r="C2" s="28"/>
      <c r="D2" s="28"/>
      <c r="E2" s="28"/>
      <c r="F2" s="28"/>
      <c r="G2" s="28"/>
      <c r="H2" s="28"/>
      <c r="I2" s="29" t="s">
        <v>0</v>
      </c>
      <c r="J2" s="14"/>
      <c r="K2" s="14" t="str">
        <f>'Job Details'!$C$6</f>
        <v>Bristol City Council</v>
      </c>
      <c r="O2" s="14"/>
      <c r="P2" s="14"/>
      <c r="Q2" s="14"/>
      <c r="R2" s="14"/>
      <c r="S2" s="14"/>
      <c r="T2" s="14"/>
      <c r="U2" s="30"/>
    </row>
    <row r="3" spans="1:21" ht="15.75" customHeight="1">
      <c r="A3" s="27"/>
      <c r="B3" s="28"/>
      <c r="C3" s="28"/>
      <c r="D3" s="28"/>
      <c r="E3" s="28"/>
      <c r="F3" s="28"/>
      <c r="G3" s="28"/>
      <c r="H3" s="28"/>
      <c r="I3" s="29" t="s">
        <v>1</v>
      </c>
      <c r="J3" s="14"/>
      <c r="K3" s="14" t="str">
        <f>'Job Details'!$C$7</f>
        <v>Wal 2527 Fishponds Road</v>
      </c>
      <c r="O3" s="14"/>
      <c r="P3" s="14"/>
      <c r="Q3" s="14"/>
      <c r="R3" s="14"/>
      <c r="S3" s="14"/>
      <c r="T3" s="14"/>
      <c r="U3" s="30"/>
    </row>
    <row r="4" spans="1:21" ht="15.75" customHeight="1">
      <c r="A4" s="27"/>
      <c r="B4" s="28"/>
      <c r="C4" s="28"/>
      <c r="D4" s="28"/>
      <c r="E4" s="28"/>
      <c r="F4" s="28"/>
      <c r="G4" s="28"/>
      <c r="H4" s="28"/>
      <c r="I4" s="29" t="s">
        <v>11</v>
      </c>
      <c r="J4" s="14"/>
      <c r="K4" s="34" t="str">
        <f>'Job Details'!C8</f>
        <v>1 - Fishponds Road</v>
      </c>
      <c r="O4" s="14"/>
      <c r="P4" s="14"/>
      <c r="Q4" s="14"/>
      <c r="R4" s="14"/>
      <c r="S4" s="14"/>
      <c r="T4" s="14"/>
      <c r="U4" s="30"/>
    </row>
    <row r="5" spans="1:21" ht="15.75" customHeight="1">
      <c r="A5" s="27"/>
      <c r="B5" s="28"/>
      <c r="C5" s="28"/>
      <c r="D5" s="28"/>
      <c r="E5" s="28"/>
      <c r="F5" s="28"/>
      <c r="G5" s="28"/>
      <c r="H5" s="28"/>
      <c r="I5" s="29" t="s">
        <v>12</v>
      </c>
      <c r="J5" s="14"/>
      <c r="K5" s="85" t="str">
        <f>'Job Details'!$C$9</f>
        <v>Saturday 14th November 2015</v>
      </c>
      <c r="O5" s="86"/>
      <c r="P5" s="86"/>
      <c r="Q5" s="14"/>
      <c r="R5" s="14"/>
      <c r="S5" s="14"/>
      <c r="T5" s="14"/>
      <c r="U5" s="30"/>
    </row>
    <row r="6" spans="1:21" ht="21.75" customHeight="1">
      <c r="A6" s="31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3"/>
    </row>
    <row r="8" spans="1:21" s="41" customFormat="1" ht="15.75" customHeight="1">
      <c r="A8" s="60" t="s">
        <v>32</v>
      </c>
      <c r="B8" s="61"/>
      <c r="C8" s="61"/>
      <c r="D8" s="61"/>
      <c r="E8" s="61"/>
      <c r="F8" s="61"/>
      <c r="G8" s="61"/>
      <c r="H8" s="61"/>
      <c r="I8" s="61"/>
      <c r="J8" s="61"/>
      <c r="K8" s="61"/>
      <c r="L8" s="61"/>
    </row>
    <row r="9" spans="1:21" s="81" customFormat="1" ht="30" customHeight="1">
      <c r="A9" s="83"/>
      <c r="B9" s="84" t="s">
        <v>42</v>
      </c>
      <c r="C9" s="82"/>
      <c r="D9" s="84" t="s">
        <v>43</v>
      </c>
      <c r="E9" s="82"/>
      <c r="F9" s="84" t="s">
        <v>44</v>
      </c>
      <c r="G9" s="82"/>
      <c r="H9" s="84" t="s">
        <v>46</v>
      </c>
      <c r="I9" s="82"/>
      <c r="J9" s="84" t="s">
        <v>45</v>
      </c>
      <c r="K9" s="82"/>
      <c r="L9" s="84" t="s">
        <v>47</v>
      </c>
    </row>
    <row r="10" spans="1:21" s="56" customFormat="1" ht="15.75" customHeight="1">
      <c r="A10" s="62"/>
      <c r="B10" s="63" t="s">
        <v>33</v>
      </c>
      <c r="C10" s="64"/>
      <c r="D10" s="63" t="str">
        <f>$B$10</f>
        <v>Peds</v>
      </c>
      <c r="E10" s="65"/>
      <c r="F10" s="63" t="s">
        <v>33</v>
      </c>
      <c r="G10" s="64"/>
      <c r="H10" s="63" t="str">
        <f>$B$10</f>
        <v>Peds</v>
      </c>
      <c r="I10" s="65"/>
      <c r="J10" s="63" t="s">
        <v>33</v>
      </c>
      <c r="K10" s="64"/>
      <c r="L10" s="63" t="str">
        <f>$B$10</f>
        <v>Peds</v>
      </c>
    </row>
    <row r="11" spans="1:21" s="41" customFormat="1" ht="15.75" customHeight="1">
      <c r="A11" s="62"/>
      <c r="B11" s="61"/>
      <c r="C11" s="61"/>
      <c r="D11" s="61"/>
      <c r="E11" s="61"/>
      <c r="F11" s="61"/>
      <c r="G11" s="61"/>
      <c r="H11" s="61"/>
      <c r="I11" s="66"/>
      <c r="J11" s="61"/>
      <c r="K11" s="61"/>
      <c r="L11" s="61"/>
    </row>
    <row r="12" spans="1:21" s="41" customFormat="1" ht="15.75" customHeight="1">
      <c r="A12" s="67">
        <v>0.45833333333333331</v>
      </c>
      <c r="B12" s="68">
        <v>1</v>
      </c>
      <c r="C12" s="69"/>
      <c r="D12" s="68">
        <v>1</v>
      </c>
      <c r="E12" s="69"/>
      <c r="F12" s="68">
        <v>1</v>
      </c>
      <c r="G12" s="69"/>
      <c r="H12" s="68">
        <v>5</v>
      </c>
      <c r="I12" s="69"/>
      <c r="J12" s="68">
        <v>3</v>
      </c>
      <c r="K12" s="69"/>
      <c r="L12" s="68">
        <v>2</v>
      </c>
    </row>
    <row r="13" spans="1:21" s="41" customFormat="1" ht="15.75" customHeight="1">
      <c r="A13" s="70">
        <v>0.46875</v>
      </c>
      <c r="B13" s="71">
        <v>1</v>
      </c>
      <c r="C13" s="69"/>
      <c r="D13" s="71">
        <v>1</v>
      </c>
      <c r="E13" s="69"/>
      <c r="F13" s="71">
        <v>0</v>
      </c>
      <c r="G13" s="69"/>
      <c r="H13" s="71">
        <v>0</v>
      </c>
      <c r="I13" s="69"/>
      <c r="J13" s="71">
        <v>2</v>
      </c>
      <c r="K13" s="69"/>
      <c r="L13" s="71">
        <v>0</v>
      </c>
    </row>
    <row r="14" spans="1:21" s="41" customFormat="1" ht="15.75" customHeight="1">
      <c r="A14" s="70">
        <v>0.47916666666666669</v>
      </c>
      <c r="B14" s="71">
        <v>5</v>
      </c>
      <c r="C14" s="69"/>
      <c r="D14" s="71">
        <v>3</v>
      </c>
      <c r="E14" s="69"/>
      <c r="F14" s="71">
        <v>0</v>
      </c>
      <c r="G14" s="69"/>
      <c r="H14" s="71">
        <v>2</v>
      </c>
      <c r="I14" s="69"/>
      <c r="J14" s="71">
        <v>3</v>
      </c>
      <c r="K14" s="69"/>
      <c r="L14" s="71">
        <v>0</v>
      </c>
    </row>
    <row r="15" spans="1:21" s="41" customFormat="1" ht="15.75" customHeight="1">
      <c r="A15" s="70">
        <v>0.48958333333333331</v>
      </c>
      <c r="B15" s="71">
        <v>3</v>
      </c>
      <c r="C15" s="69"/>
      <c r="D15" s="71">
        <v>2</v>
      </c>
      <c r="E15" s="69"/>
      <c r="F15" s="71">
        <v>0</v>
      </c>
      <c r="G15" s="69"/>
      <c r="H15" s="71">
        <v>0</v>
      </c>
      <c r="I15" s="69"/>
      <c r="J15" s="71">
        <v>0</v>
      </c>
      <c r="K15" s="69"/>
      <c r="L15" s="71">
        <v>0</v>
      </c>
    </row>
    <row r="16" spans="1:21" s="41" customFormat="1" ht="15.75" customHeight="1">
      <c r="A16" s="72" t="s">
        <v>24</v>
      </c>
      <c r="B16" s="73">
        <f>SUM(B12:B15)</f>
        <v>10</v>
      </c>
      <c r="C16" s="69"/>
      <c r="D16" s="73">
        <f>SUM(D12:D15)</f>
        <v>7</v>
      </c>
      <c r="E16" s="69"/>
      <c r="F16" s="73">
        <f>SUM(F12:F15)</f>
        <v>1</v>
      </c>
      <c r="G16" s="69"/>
      <c r="H16" s="73">
        <f>SUM(H12:H15)</f>
        <v>7</v>
      </c>
      <c r="I16" s="69"/>
      <c r="J16" s="73">
        <f>SUM(J12:J15)</f>
        <v>8</v>
      </c>
      <c r="K16" s="69"/>
      <c r="L16" s="73">
        <f>SUM(L12:L15)</f>
        <v>2</v>
      </c>
    </row>
    <row r="17" spans="1:12" s="41" customFormat="1" ht="15.75" customHeight="1">
      <c r="A17" s="70">
        <v>0.5</v>
      </c>
      <c r="B17" s="68">
        <v>1</v>
      </c>
      <c r="C17" s="69"/>
      <c r="D17" s="68">
        <v>1</v>
      </c>
      <c r="E17" s="69"/>
      <c r="F17" s="68">
        <v>0</v>
      </c>
      <c r="G17" s="69"/>
      <c r="H17" s="68">
        <v>1</v>
      </c>
      <c r="I17" s="69"/>
      <c r="J17" s="68">
        <v>1</v>
      </c>
      <c r="K17" s="69"/>
      <c r="L17" s="68">
        <v>0</v>
      </c>
    </row>
    <row r="18" spans="1:12" s="41" customFormat="1" ht="15.75" customHeight="1">
      <c r="A18" s="70">
        <v>0.51041666666666663</v>
      </c>
      <c r="B18" s="71">
        <v>3</v>
      </c>
      <c r="C18" s="69"/>
      <c r="D18" s="71">
        <v>1</v>
      </c>
      <c r="E18" s="69"/>
      <c r="F18" s="71">
        <v>0</v>
      </c>
      <c r="G18" s="69"/>
      <c r="H18" s="71">
        <v>1</v>
      </c>
      <c r="I18" s="69"/>
      <c r="J18" s="71">
        <v>0</v>
      </c>
      <c r="K18" s="69"/>
      <c r="L18" s="71">
        <v>1</v>
      </c>
    </row>
    <row r="19" spans="1:12" s="41" customFormat="1" ht="15.75" customHeight="1">
      <c r="A19" s="70">
        <v>0.52083333333333337</v>
      </c>
      <c r="B19" s="71">
        <v>0</v>
      </c>
      <c r="C19" s="69"/>
      <c r="D19" s="71">
        <v>0</v>
      </c>
      <c r="E19" s="69"/>
      <c r="F19" s="71">
        <v>0</v>
      </c>
      <c r="G19" s="69"/>
      <c r="H19" s="71">
        <v>1</v>
      </c>
      <c r="I19" s="69"/>
      <c r="J19" s="71">
        <v>4</v>
      </c>
      <c r="K19" s="69"/>
      <c r="L19" s="71">
        <v>0</v>
      </c>
    </row>
    <row r="20" spans="1:12" s="41" customFormat="1" ht="15.75" customHeight="1">
      <c r="A20" s="70">
        <v>0.53125</v>
      </c>
      <c r="B20" s="71">
        <v>1</v>
      </c>
      <c r="C20" s="69"/>
      <c r="D20" s="71">
        <v>1</v>
      </c>
      <c r="E20" s="69"/>
      <c r="F20" s="71">
        <v>0</v>
      </c>
      <c r="G20" s="69"/>
      <c r="H20" s="71">
        <v>0</v>
      </c>
      <c r="I20" s="69"/>
      <c r="J20" s="71">
        <v>0</v>
      </c>
      <c r="K20" s="69"/>
      <c r="L20" s="71">
        <v>1</v>
      </c>
    </row>
    <row r="21" spans="1:12" s="41" customFormat="1" ht="15.75" customHeight="1">
      <c r="A21" s="72" t="s">
        <v>24</v>
      </c>
      <c r="B21" s="73">
        <f>SUM(B17:B20)</f>
        <v>5</v>
      </c>
      <c r="C21" s="69"/>
      <c r="D21" s="73">
        <f>SUM(D17:D20)</f>
        <v>3</v>
      </c>
      <c r="E21" s="69"/>
      <c r="F21" s="73">
        <f>SUM(F17:F20)</f>
        <v>0</v>
      </c>
      <c r="G21" s="69"/>
      <c r="H21" s="73">
        <f>SUM(H17:H20)</f>
        <v>3</v>
      </c>
      <c r="I21" s="69"/>
      <c r="J21" s="73">
        <f>SUM(J17:J20)</f>
        <v>5</v>
      </c>
      <c r="K21" s="69"/>
      <c r="L21" s="73">
        <f>SUM(L17:L20)</f>
        <v>2</v>
      </c>
    </row>
    <row r="22" spans="1:12" s="41" customFormat="1" ht="15.75" customHeight="1">
      <c r="A22" s="74">
        <v>0.54166666666666663</v>
      </c>
      <c r="B22" s="68">
        <v>1</v>
      </c>
      <c r="C22" s="69"/>
      <c r="D22" s="68">
        <v>1</v>
      </c>
      <c r="E22" s="69"/>
      <c r="F22" s="68">
        <v>1</v>
      </c>
      <c r="G22" s="69"/>
      <c r="H22" s="68">
        <v>2</v>
      </c>
      <c r="I22" s="69"/>
      <c r="J22" s="68">
        <v>0</v>
      </c>
      <c r="K22" s="69"/>
      <c r="L22" s="68">
        <v>0</v>
      </c>
    </row>
    <row r="23" spans="1:12" s="41" customFormat="1" ht="15.75" customHeight="1">
      <c r="A23" s="75">
        <v>0.55208333333333337</v>
      </c>
      <c r="B23" s="71">
        <v>0</v>
      </c>
      <c r="C23" s="69"/>
      <c r="D23" s="71">
        <v>1</v>
      </c>
      <c r="E23" s="69"/>
      <c r="F23" s="71">
        <v>1</v>
      </c>
      <c r="G23" s="69"/>
      <c r="H23" s="71">
        <v>0</v>
      </c>
      <c r="I23" s="69"/>
      <c r="J23" s="71">
        <v>1</v>
      </c>
      <c r="K23" s="69"/>
      <c r="L23" s="71">
        <v>0</v>
      </c>
    </row>
    <row r="24" spans="1:12" s="41" customFormat="1" ht="15.75" customHeight="1">
      <c r="A24" s="75">
        <v>0.5625</v>
      </c>
      <c r="B24" s="71">
        <v>1</v>
      </c>
      <c r="C24" s="69"/>
      <c r="D24" s="71">
        <v>0</v>
      </c>
      <c r="E24" s="69"/>
      <c r="F24" s="71">
        <v>2</v>
      </c>
      <c r="G24" s="69"/>
      <c r="H24" s="71">
        <v>0</v>
      </c>
      <c r="I24" s="69"/>
      <c r="J24" s="71">
        <v>2</v>
      </c>
      <c r="K24" s="69"/>
      <c r="L24" s="71">
        <v>1</v>
      </c>
    </row>
    <row r="25" spans="1:12" s="41" customFormat="1" ht="15.75" customHeight="1">
      <c r="A25" s="75">
        <v>0.57291666666666663</v>
      </c>
      <c r="B25" s="71">
        <v>1</v>
      </c>
      <c r="C25" s="69"/>
      <c r="D25" s="71">
        <v>0</v>
      </c>
      <c r="E25" s="69"/>
      <c r="F25" s="71">
        <v>1</v>
      </c>
      <c r="G25" s="69"/>
      <c r="H25" s="71">
        <v>0</v>
      </c>
      <c r="I25" s="69"/>
      <c r="J25" s="71">
        <v>1</v>
      </c>
      <c r="K25" s="69"/>
      <c r="L25" s="71">
        <v>0</v>
      </c>
    </row>
    <row r="26" spans="1:12" s="41" customFormat="1" ht="15.75" customHeight="1">
      <c r="A26" s="76" t="s">
        <v>24</v>
      </c>
      <c r="B26" s="73">
        <f>SUM(B22:B25)</f>
        <v>3</v>
      </c>
      <c r="C26" s="69"/>
      <c r="D26" s="73">
        <f>SUM(D22:D25)</f>
        <v>2</v>
      </c>
      <c r="E26" s="77"/>
      <c r="F26" s="73">
        <f>SUM(F22:F25)</f>
        <v>5</v>
      </c>
      <c r="G26" s="69"/>
      <c r="H26" s="73">
        <f>SUM(H22:H25)</f>
        <v>2</v>
      </c>
      <c r="I26" s="69"/>
      <c r="J26" s="73">
        <f>SUM(J22:J25)</f>
        <v>4</v>
      </c>
      <c r="K26" s="69"/>
      <c r="L26" s="73">
        <f>SUM(L22:L25)</f>
        <v>1</v>
      </c>
    </row>
    <row r="27" spans="1:12" s="41" customFormat="1" ht="15.75" customHeight="1">
      <c r="A27" s="74">
        <v>0.58333333333333337</v>
      </c>
      <c r="B27" s="68">
        <v>0</v>
      </c>
      <c r="C27" s="69"/>
      <c r="D27" s="68">
        <v>0</v>
      </c>
      <c r="E27" s="69"/>
      <c r="F27" s="68">
        <v>0</v>
      </c>
      <c r="G27" s="69"/>
      <c r="H27" s="68">
        <v>0</v>
      </c>
      <c r="I27" s="69"/>
      <c r="J27" s="68">
        <v>2</v>
      </c>
      <c r="K27" s="69"/>
      <c r="L27" s="68">
        <v>1</v>
      </c>
    </row>
    <row r="28" spans="1:12" s="41" customFormat="1" ht="15.75" customHeight="1">
      <c r="A28" s="75">
        <v>0.59375</v>
      </c>
      <c r="B28" s="71">
        <v>0</v>
      </c>
      <c r="C28" s="69"/>
      <c r="D28" s="71">
        <v>0</v>
      </c>
      <c r="E28" s="69"/>
      <c r="F28" s="71">
        <v>0</v>
      </c>
      <c r="G28" s="69"/>
      <c r="H28" s="71">
        <v>0</v>
      </c>
      <c r="I28" s="69"/>
      <c r="J28" s="71">
        <v>0</v>
      </c>
      <c r="K28" s="69"/>
      <c r="L28" s="71">
        <v>2</v>
      </c>
    </row>
    <row r="29" spans="1:12" s="41" customFormat="1" ht="15.75" customHeight="1">
      <c r="A29" s="75">
        <v>0.60416666666666663</v>
      </c>
      <c r="B29" s="71">
        <v>0</v>
      </c>
      <c r="C29" s="69"/>
      <c r="D29" s="71">
        <v>1</v>
      </c>
      <c r="E29" s="69"/>
      <c r="F29" s="71">
        <v>0</v>
      </c>
      <c r="G29" s="69"/>
      <c r="H29" s="71">
        <v>0</v>
      </c>
      <c r="I29" s="69"/>
      <c r="J29" s="71">
        <v>1</v>
      </c>
      <c r="K29" s="69"/>
      <c r="L29" s="71">
        <v>1</v>
      </c>
    </row>
    <row r="30" spans="1:12" s="41" customFormat="1" ht="15.75" customHeight="1">
      <c r="A30" s="75">
        <v>0.61458333333333337</v>
      </c>
      <c r="B30" s="71">
        <v>4</v>
      </c>
      <c r="C30" s="69"/>
      <c r="D30" s="71">
        <v>1</v>
      </c>
      <c r="E30" s="69"/>
      <c r="F30" s="71">
        <v>0</v>
      </c>
      <c r="G30" s="69"/>
      <c r="H30" s="71">
        <v>0</v>
      </c>
      <c r="I30" s="69"/>
      <c r="J30" s="71">
        <v>1</v>
      </c>
      <c r="K30" s="69"/>
      <c r="L30" s="71">
        <v>0</v>
      </c>
    </row>
    <row r="31" spans="1:12" s="41" customFormat="1" ht="15.75" customHeight="1">
      <c r="A31" s="76" t="s">
        <v>24</v>
      </c>
      <c r="B31" s="73">
        <f>SUM(B27:B30)</f>
        <v>4</v>
      </c>
      <c r="C31" s="69"/>
      <c r="D31" s="73">
        <f>SUM(D27:D30)</f>
        <v>2</v>
      </c>
      <c r="E31" s="69"/>
      <c r="F31" s="73">
        <f>SUM(F27:F30)</f>
        <v>0</v>
      </c>
      <c r="G31" s="69"/>
      <c r="H31" s="73">
        <f>SUM(H27:H30)</f>
        <v>0</v>
      </c>
      <c r="I31" s="69"/>
      <c r="J31" s="73">
        <f>SUM(J27:J30)</f>
        <v>4</v>
      </c>
      <c r="K31" s="69"/>
      <c r="L31" s="73">
        <f>SUM(L27:L30)</f>
        <v>4</v>
      </c>
    </row>
    <row r="32" spans="1:12" s="41" customFormat="1" ht="15.75" customHeight="1">
      <c r="A32" s="74">
        <v>0.625</v>
      </c>
      <c r="B32" s="68">
        <v>0</v>
      </c>
      <c r="C32" s="69"/>
      <c r="D32" s="68">
        <v>3</v>
      </c>
      <c r="E32" s="69"/>
      <c r="F32" s="68">
        <v>0</v>
      </c>
      <c r="G32" s="69"/>
      <c r="H32" s="68">
        <v>0</v>
      </c>
      <c r="I32" s="69"/>
      <c r="J32" s="68">
        <v>0</v>
      </c>
      <c r="K32" s="69"/>
      <c r="L32" s="68">
        <v>0</v>
      </c>
    </row>
    <row r="33" spans="1:12" s="41" customFormat="1" ht="15.75" customHeight="1">
      <c r="A33" s="75">
        <v>0.63541666666666663</v>
      </c>
      <c r="B33" s="71">
        <v>0</v>
      </c>
      <c r="C33" s="69"/>
      <c r="D33" s="71">
        <v>0</v>
      </c>
      <c r="E33" s="69"/>
      <c r="F33" s="71">
        <v>0</v>
      </c>
      <c r="G33" s="69"/>
      <c r="H33" s="71">
        <v>0</v>
      </c>
      <c r="I33" s="69"/>
      <c r="J33" s="71">
        <v>1</v>
      </c>
      <c r="K33" s="69"/>
      <c r="L33" s="71">
        <v>0</v>
      </c>
    </row>
    <row r="34" spans="1:12" s="41" customFormat="1" ht="15.75" customHeight="1">
      <c r="A34" s="75">
        <v>0.64583333333333337</v>
      </c>
      <c r="B34" s="71">
        <v>0</v>
      </c>
      <c r="C34" s="69"/>
      <c r="D34" s="71">
        <v>0</v>
      </c>
      <c r="E34" s="69"/>
      <c r="F34" s="71">
        <v>0</v>
      </c>
      <c r="G34" s="69"/>
      <c r="H34" s="71">
        <v>0</v>
      </c>
      <c r="I34" s="69"/>
      <c r="J34" s="71">
        <v>1</v>
      </c>
      <c r="K34" s="69"/>
      <c r="L34" s="71">
        <v>0</v>
      </c>
    </row>
    <row r="35" spans="1:12" s="41" customFormat="1" ht="15.75" customHeight="1">
      <c r="A35" s="75">
        <v>0.65625</v>
      </c>
      <c r="B35" s="71">
        <v>2</v>
      </c>
      <c r="C35" s="69"/>
      <c r="D35" s="71">
        <v>1</v>
      </c>
      <c r="E35" s="69"/>
      <c r="F35" s="71">
        <v>1</v>
      </c>
      <c r="G35" s="69"/>
      <c r="H35" s="71">
        <v>2</v>
      </c>
      <c r="I35" s="69"/>
      <c r="J35" s="71">
        <v>1</v>
      </c>
      <c r="K35" s="69"/>
      <c r="L35" s="71">
        <v>1</v>
      </c>
    </row>
    <row r="36" spans="1:12" s="41" customFormat="1" ht="15.75" customHeight="1">
      <c r="A36" s="76" t="s">
        <v>24</v>
      </c>
      <c r="B36" s="73">
        <f>SUM(B32:B35)</f>
        <v>2</v>
      </c>
      <c r="C36" s="69"/>
      <c r="D36" s="73">
        <f>SUM(D32:D35)</f>
        <v>4</v>
      </c>
      <c r="E36" s="69"/>
      <c r="F36" s="73">
        <f>SUM(F32:F35)</f>
        <v>1</v>
      </c>
      <c r="G36" s="69"/>
      <c r="H36" s="73">
        <f>SUM(H32:H35)</f>
        <v>2</v>
      </c>
      <c r="I36" s="69"/>
      <c r="J36" s="73">
        <f>SUM(J32:J35)</f>
        <v>3</v>
      </c>
      <c r="K36" s="69"/>
      <c r="L36" s="73">
        <f>SUM(L32:L35)</f>
        <v>1</v>
      </c>
    </row>
    <row r="37" spans="1:12" s="41" customFormat="1" ht="15.75" customHeight="1">
      <c r="A37" s="78"/>
      <c r="B37" s="79"/>
      <c r="C37" s="79"/>
      <c r="D37" s="79"/>
      <c r="E37" s="79"/>
      <c r="F37" s="79"/>
      <c r="G37" s="79"/>
      <c r="H37" s="79"/>
      <c r="I37" s="79"/>
      <c r="J37" s="79"/>
      <c r="K37" s="79"/>
      <c r="L37" s="79"/>
    </row>
    <row r="38" spans="1:12" s="41" customFormat="1" ht="15.75" customHeight="1">
      <c r="A38" s="80" t="s">
        <v>22</v>
      </c>
      <c r="B38" s="73">
        <f>SUM(B16+B21+B26+B31+B36)</f>
        <v>24</v>
      </c>
      <c r="C38" s="69"/>
      <c r="D38" s="73">
        <f>SUM(D16+D21+D26+D31+D36)</f>
        <v>18</v>
      </c>
      <c r="E38" s="69"/>
      <c r="F38" s="73">
        <f>SUM(F16+F21+F26+F31+F36)</f>
        <v>7</v>
      </c>
      <c r="G38" s="69"/>
      <c r="H38" s="73">
        <f>SUM(H16+H21+H26+H31+H36)</f>
        <v>14</v>
      </c>
      <c r="I38" s="69"/>
      <c r="J38" s="73">
        <f>SUM(J16+J21+J26+J31+J36)</f>
        <v>24</v>
      </c>
      <c r="K38" s="69"/>
      <c r="L38" s="73">
        <f>SUM(L16+L21+L26+L31+L36)</f>
        <v>10</v>
      </c>
    </row>
  </sheetData>
  <pageMargins left="0.7" right="0.7" top="0.75" bottom="0.75" header="0.3" footer="0.3"/>
  <pageSetup paperSize="9" scale="52" orientation="landscape" r:id="rId1"/>
  <rowBreaks count="5" manualBreakCount="5">
    <brk id="18" max="16383" man="1"/>
    <brk id="67" max="16383" man="1"/>
    <brk id="99" max="16383" man="1"/>
    <brk id="131" max="16383" man="1"/>
    <brk id="163" max="16383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72"/>
  <sheetViews>
    <sheetView showGridLines="0" zoomScale="75" zoomScaleNormal="75" workbookViewId="0">
      <selection activeCell="B2" sqref="B2"/>
    </sheetView>
  </sheetViews>
  <sheetFormatPr defaultRowHeight="15.75" customHeight="1"/>
  <cols>
    <col min="1" max="1" width="12.5703125" style="41" customWidth="1"/>
    <col min="2" max="3" width="15.7109375" style="41" customWidth="1"/>
    <col min="4" max="4" width="1.7109375" style="41" customWidth="1"/>
    <col min="5" max="6" width="15.7109375" style="41" customWidth="1"/>
    <col min="7" max="7" width="4.7109375" style="41" customWidth="1"/>
    <col min="8" max="9" width="15.7109375" style="41" customWidth="1"/>
    <col min="10" max="10" width="1.7109375" style="41" customWidth="1"/>
    <col min="11" max="12" width="15.7109375" style="41" customWidth="1"/>
    <col min="13" max="13" width="4.7109375" style="41" customWidth="1"/>
    <col min="14" max="15" width="15.7109375" style="41" customWidth="1"/>
    <col min="16" max="16" width="1.7109375" style="41" customWidth="1"/>
    <col min="17" max="18" width="15.7109375" style="41" customWidth="1"/>
    <col min="19" max="19" width="1.28515625" style="41" customWidth="1"/>
    <col min="20" max="27" width="7.28515625" style="41" customWidth="1"/>
    <col min="28" max="28" width="1.28515625" style="41" customWidth="1"/>
    <col min="29" max="36" width="7.28515625" style="41" customWidth="1"/>
    <col min="37" max="37" width="1.28515625" style="41" customWidth="1"/>
    <col min="38" max="38" width="8.28515625" style="41" customWidth="1"/>
    <col min="39" max="16384" width="9.140625" style="41"/>
  </cols>
  <sheetData>
    <row r="1" spans="1:18" ht="15.75" customHeight="1">
      <c r="A1" s="38"/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40"/>
    </row>
    <row r="2" spans="1:18" ht="15.75" customHeight="1">
      <c r="A2" s="42"/>
      <c r="B2" s="43"/>
      <c r="C2" s="43"/>
      <c r="D2" s="43"/>
      <c r="E2" s="43"/>
      <c r="F2" s="101" t="s">
        <v>0</v>
      </c>
      <c r="G2" s="45"/>
      <c r="H2" s="45" t="str">
        <f>'Job Details'!$C$6</f>
        <v>Bristol City Council</v>
      </c>
      <c r="I2" s="43"/>
      <c r="J2" s="43"/>
      <c r="K2" s="43"/>
      <c r="O2" s="45"/>
      <c r="P2" s="45"/>
      <c r="Q2" s="45"/>
      <c r="R2" s="46"/>
    </row>
    <row r="3" spans="1:18" ht="15.75" customHeight="1">
      <c r="A3" s="42"/>
      <c r="B3" s="43"/>
      <c r="C3" s="43"/>
      <c r="D3" s="43"/>
      <c r="E3" s="43"/>
      <c r="F3" s="101" t="s">
        <v>1</v>
      </c>
      <c r="G3" s="45"/>
      <c r="H3" s="45" t="str">
        <f>'Job Details'!$C$7</f>
        <v>Wal 2527 Fishponds Road</v>
      </c>
      <c r="I3" s="43"/>
      <c r="J3" s="43"/>
      <c r="K3" s="43"/>
      <c r="O3" s="45"/>
      <c r="P3" s="45"/>
      <c r="Q3" s="45"/>
      <c r="R3" s="46"/>
    </row>
    <row r="4" spans="1:18" ht="15.75" customHeight="1">
      <c r="A4" s="42"/>
      <c r="B4" s="43"/>
      <c r="C4" s="43"/>
      <c r="D4" s="43"/>
      <c r="E4" s="43"/>
      <c r="F4" s="101" t="s">
        <v>11</v>
      </c>
      <c r="G4" s="45"/>
      <c r="H4" s="47" t="str">
        <f>'Job Details'!C8</f>
        <v>1 - Fishponds Road</v>
      </c>
      <c r="I4" s="43"/>
      <c r="J4" s="43"/>
      <c r="K4" s="43"/>
      <c r="O4" s="45"/>
      <c r="P4" s="45"/>
      <c r="Q4" s="45"/>
      <c r="R4" s="46"/>
    </row>
    <row r="5" spans="1:18" ht="15.75" customHeight="1">
      <c r="A5" s="42"/>
      <c r="B5" s="43"/>
      <c r="C5" s="43"/>
      <c r="D5" s="43"/>
      <c r="E5" s="43"/>
      <c r="F5" s="101" t="s">
        <v>12</v>
      </c>
      <c r="G5" s="45"/>
      <c r="H5" s="87" t="str">
        <f>'Job Details'!$C$9</f>
        <v>Saturday 14th November 2015</v>
      </c>
      <c r="I5" s="43"/>
      <c r="J5" s="43"/>
      <c r="K5" s="43"/>
      <c r="O5" s="88"/>
      <c r="P5" s="88"/>
      <c r="Q5" s="45"/>
      <c r="R5" s="46"/>
    </row>
    <row r="6" spans="1:18" ht="21.75" customHeight="1">
      <c r="A6" s="48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50"/>
    </row>
    <row r="8" spans="1:18" ht="15.75" customHeight="1">
      <c r="A8" s="120" t="s">
        <v>61</v>
      </c>
    </row>
    <row r="9" spans="1:18" ht="15.75" customHeight="1">
      <c r="A9" s="36"/>
      <c r="B9" s="118" t="s">
        <v>34</v>
      </c>
      <c r="C9" s="119"/>
      <c r="D9" s="61"/>
      <c r="E9" s="118" t="s">
        <v>39</v>
      </c>
      <c r="F9" s="119"/>
      <c r="G9" s="61"/>
      <c r="H9" s="118" t="s">
        <v>35</v>
      </c>
      <c r="I9" s="119"/>
      <c r="J9" s="61"/>
      <c r="K9" s="118" t="s">
        <v>40</v>
      </c>
      <c r="L9" s="119"/>
      <c r="N9" s="118" t="s">
        <v>36</v>
      </c>
      <c r="O9" s="119"/>
      <c r="P9" s="61"/>
      <c r="Q9" s="118" t="s">
        <v>41</v>
      </c>
      <c r="R9" s="119"/>
    </row>
    <row r="10" spans="1:18" ht="15.75" customHeight="1">
      <c r="A10" s="36"/>
      <c r="B10" s="89" t="s">
        <v>37</v>
      </c>
      <c r="C10" s="90" t="s">
        <v>38</v>
      </c>
      <c r="E10" s="89" t="s">
        <v>37</v>
      </c>
      <c r="F10" s="90" t="s">
        <v>38</v>
      </c>
      <c r="H10" s="89" t="s">
        <v>37</v>
      </c>
      <c r="I10" s="90" t="s">
        <v>38</v>
      </c>
      <c r="K10" s="89" t="s">
        <v>37</v>
      </c>
      <c r="L10" s="90" t="s">
        <v>38</v>
      </c>
      <c r="N10" s="89" t="s">
        <v>37</v>
      </c>
      <c r="O10" s="90" t="s">
        <v>38</v>
      </c>
      <c r="Q10" s="89" t="s">
        <v>37</v>
      </c>
      <c r="R10" s="90" t="s">
        <v>38</v>
      </c>
    </row>
    <row r="11" spans="1:18" ht="15.75" customHeight="1">
      <c r="A11" s="37">
        <v>0.45833333333333331</v>
      </c>
      <c r="B11" s="97">
        <v>0</v>
      </c>
      <c r="C11" s="98">
        <v>0</v>
      </c>
      <c r="E11" s="97">
        <v>0</v>
      </c>
      <c r="F11" s="98">
        <v>0</v>
      </c>
      <c r="H11" s="97">
        <v>0</v>
      </c>
      <c r="I11" s="98">
        <v>0</v>
      </c>
      <c r="K11" s="97">
        <v>0</v>
      </c>
      <c r="L11" s="98">
        <v>0</v>
      </c>
      <c r="N11" s="97">
        <v>0</v>
      </c>
      <c r="O11" s="98">
        <v>0</v>
      </c>
      <c r="Q11" s="97">
        <v>0</v>
      </c>
      <c r="R11" s="98">
        <v>0</v>
      </c>
    </row>
    <row r="12" spans="1:18" ht="15.75" customHeight="1">
      <c r="A12" s="37">
        <f t="shared" ref="A12:A28" si="0">A11+"00:05"</f>
        <v>0.46180555555555552</v>
      </c>
      <c r="B12" s="91">
        <v>6</v>
      </c>
      <c r="C12" s="92">
        <v>0</v>
      </c>
      <c r="E12" s="91">
        <v>0</v>
      </c>
      <c r="F12" s="92">
        <v>0</v>
      </c>
      <c r="H12" s="91">
        <v>4</v>
      </c>
      <c r="I12" s="92">
        <v>0</v>
      </c>
      <c r="K12" s="91">
        <v>0</v>
      </c>
      <c r="L12" s="92">
        <v>0</v>
      </c>
      <c r="N12" s="91">
        <v>5</v>
      </c>
      <c r="O12" s="92">
        <v>0</v>
      </c>
      <c r="Q12" s="91">
        <v>0</v>
      </c>
      <c r="R12" s="92">
        <v>0</v>
      </c>
    </row>
    <row r="13" spans="1:18" ht="15.75" customHeight="1">
      <c r="A13" s="37">
        <f t="shared" si="0"/>
        <v>0.46527777777777773</v>
      </c>
      <c r="B13" s="91">
        <v>5</v>
      </c>
      <c r="C13" s="92">
        <v>0</v>
      </c>
      <c r="E13" s="91">
        <v>6</v>
      </c>
      <c r="F13" s="92">
        <v>0</v>
      </c>
      <c r="H13" s="91">
        <v>1</v>
      </c>
      <c r="I13" s="92">
        <v>0</v>
      </c>
      <c r="K13" s="91">
        <v>0</v>
      </c>
      <c r="L13" s="92">
        <v>0</v>
      </c>
      <c r="N13" s="91">
        <v>3</v>
      </c>
      <c r="O13" s="92">
        <v>0</v>
      </c>
      <c r="Q13" s="91">
        <v>0</v>
      </c>
      <c r="R13" s="92">
        <v>0</v>
      </c>
    </row>
    <row r="14" spans="1:18" ht="15.75" customHeight="1">
      <c r="A14" s="37">
        <f t="shared" si="0"/>
        <v>0.46874999999999994</v>
      </c>
      <c r="B14" s="91">
        <v>6</v>
      </c>
      <c r="C14" s="92">
        <v>0</v>
      </c>
      <c r="E14" s="91">
        <v>1</v>
      </c>
      <c r="F14" s="92">
        <v>0</v>
      </c>
      <c r="H14" s="91">
        <v>4</v>
      </c>
      <c r="I14" s="92">
        <v>0</v>
      </c>
      <c r="K14" s="91">
        <v>0</v>
      </c>
      <c r="L14" s="92">
        <v>0</v>
      </c>
      <c r="N14" s="91">
        <v>4</v>
      </c>
      <c r="O14" s="92">
        <v>0</v>
      </c>
      <c r="Q14" s="91">
        <v>0</v>
      </c>
      <c r="R14" s="92">
        <v>0</v>
      </c>
    </row>
    <row r="15" spans="1:18" ht="15.75" customHeight="1">
      <c r="A15" s="37">
        <f t="shared" si="0"/>
        <v>0.47222222222222215</v>
      </c>
      <c r="B15" s="91">
        <v>6</v>
      </c>
      <c r="C15" s="92">
        <v>0</v>
      </c>
      <c r="E15" s="91">
        <v>3</v>
      </c>
      <c r="F15" s="92">
        <v>3</v>
      </c>
      <c r="H15" s="91">
        <v>4</v>
      </c>
      <c r="I15" s="92">
        <v>0</v>
      </c>
      <c r="K15" s="91">
        <v>0</v>
      </c>
      <c r="L15" s="92">
        <v>0</v>
      </c>
      <c r="N15" s="91">
        <v>6</v>
      </c>
      <c r="O15" s="92">
        <v>0</v>
      </c>
      <c r="Q15" s="91">
        <v>0</v>
      </c>
      <c r="R15" s="92">
        <v>0</v>
      </c>
    </row>
    <row r="16" spans="1:18" ht="15.75" customHeight="1">
      <c r="A16" s="37">
        <f t="shared" si="0"/>
        <v>0.47569444444444436</v>
      </c>
      <c r="B16" s="91">
        <v>0</v>
      </c>
      <c r="C16" s="92">
        <v>0</v>
      </c>
      <c r="E16" s="91">
        <v>6</v>
      </c>
      <c r="F16" s="92">
        <v>0</v>
      </c>
      <c r="H16" s="91">
        <v>3</v>
      </c>
      <c r="I16" s="92">
        <v>0</v>
      </c>
      <c r="K16" s="91">
        <v>2</v>
      </c>
      <c r="L16" s="92">
        <v>0</v>
      </c>
      <c r="N16" s="91">
        <v>4</v>
      </c>
      <c r="O16" s="92">
        <v>2</v>
      </c>
      <c r="Q16" s="91">
        <v>0</v>
      </c>
      <c r="R16" s="92">
        <v>0</v>
      </c>
    </row>
    <row r="17" spans="1:18" ht="15.75" customHeight="1">
      <c r="A17" s="37">
        <f t="shared" si="0"/>
        <v>0.47916666666666657</v>
      </c>
      <c r="B17" s="91">
        <v>0</v>
      </c>
      <c r="C17" s="92">
        <v>3</v>
      </c>
      <c r="E17" s="91">
        <v>0</v>
      </c>
      <c r="F17" s="92">
        <v>0</v>
      </c>
      <c r="H17" s="91">
        <v>1</v>
      </c>
      <c r="I17" s="92">
        <v>0</v>
      </c>
      <c r="K17" s="91">
        <v>0</v>
      </c>
      <c r="L17" s="92">
        <v>0</v>
      </c>
      <c r="N17" s="91">
        <v>5</v>
      </c>
      <c r="O17" s="92">
        <v>0</v>
      </c>
      <c r="Q17" s="91">
        <v>0</v>
      </c>
      <c r="R17" s="92">
        <v>0</v>
      </c>
    </row>
    <row r="18" spans="1:18" ht="15.75" customHeight="1">
      <c r="A18" s="37">
        <f t="shared" si="0"/>
        <v>0.48263888888888878</v>
      </c>
      <c r="B18" s="91">
        <v>2</v>
      </c>
      <c r="C18" s="92">
        <v>0</v>
      </c>
      <c r="E18" s="91">
        <v>3</v>
      </c>
      <c r="F18" s="92">
        <v>1</v>
      </c>
      <c r="H18" s="91">
        <v>4</v>
      </c>
      <c r="I18" s="92">
        <v>0</v>
      </c>
      <c r="K18" s="91">
        <v>0</v>
      </c>
      <c r="L18" s="92">
        <v>0</v>
      </c>
      <c r="N18" s="91">
        <v>6</v>
      </c>
      <c r="O18" s="92">
        <v>0</v>
      </c>
      <c r="Q18" s="91">
        <v>0</v>
      </c>
      <c r="R18" s="92">
        <v>0</v>
      </c>
    </row>
    <row r="19" spans="1:18" ht="15.75" customHeight="1">
      <c r="A19" s="37">
        <f t="shared" si="0"/>
        <v>0.48611111111111099</v>
      </c>
      <c r="B19" s="91">
        <v>7</v>
      </c>
      <c r="C19" s="92">
        <v>1</v>
      </c>
      <c r="E19" s="91">
        <v>2</v>
      </c>
      <c r="F19" s="92">
        <v>1</v>
      </c>
      <c r="H19" s="91">
        <v>4</v>
      </c>
      <c r="I19" s="92">
        <v>0</v>
      </c>
      <c r="K19" s="91">
        <v>0</v>
      </c>
      <c r="L19" s="92">
        <v>0</v>
      </c>
      <c r="N19" s="91">
        <v>6</v>
      </c>
      <c r="O19" s="92">
        <v>0</v>
      </c>
      <c r="Q19" s="91">
        <v>0</v>
      </c>
      <c r="R19" s="92">
        <v>0</v>
      </c>
    </row>
    <row r="20" spans="1:18" ht="15.75" customHeight="1">
      <c r="A20" s="37">
        <f t="shared" si="0"/>
        <v>0.4895833333333332</v>
      </c>
      <c r="B20" s="91">
        <v>7</v>
      </c>
      <c r="C20" s="92">
        <v>0</v>
      </c>
      <c r="E20" s="91">
        <v>3</v>
      </c>
      <c r="F20" s="92">
        <v>3</v>
      </c>
      <c r="H20" s="91">
        <v>4</v>
      </c>
      <c r="I20" s="92">
        <v>0</v>
      </c>
      <c r="K20" s="91">
        <v>2</v>
      </c>
      <c r="L20" s="92">
        <v>0</v>
      </c>
      <c r="N20" s="91">
        <v>4</v>
      </c>
      <c r="O20" s="92">
        <v>2</v>
      </c>
      <c r="Q20" s="91">
        <v>0</v>
      </c>
      <c r="R20" s="92">
        <v>0</v>
      </c>
    </row>
    <row r="21" spans="1:18" ht="15.75" customHeight="1">
      <c r="A21" s="37">
        <f t="shared" si="0"/>
        <v>0.49305555555555541</v>
      </c>
      <c r="B21" s="91">
        <v>6</v>
      </c>
      <c r="C21" s="92">
        <v>0</v>
      </c>
      <c r="E21" s="91">
        <v>0</v>
      </c>
      <c r="F21" s="92">
        <v>0</v>
      </c>
      <c r="H21" s="91">
        <v>0</v>
      </c>
      <c r="I21" s="92">
        <v>0</v>
      </c>
      <c r="K21" s="91">
        <v>0</v>
      </c>
      <c r="L21" s="92">
        <v>0</v>
      </c>
      <c r="N21" s="91">
        <v>0</v>
      </c>
      <c r="O21" s="92">
        <v>0</v>
      </c>
      <c r="Q21" s="91">
        <v>0</v>
      </c>
      <c r="R21" s="92">
        <v>0</v>
      </c>
    </row>
    <row r="22" spans="1:18" ht="15.75" customHeight="1">
      <c r="A22" s="37">
        <f t="shared" si="0"/>
        <v>0.49652777777777762</v>
      </c>
      <c r="B22" s="91">
        <v>0</v>
      </c>
      <c r="C22" s="92">
        <v>0</v>
      </c>
      <c r="E22" s="91">
        <v>0</v>
      </c>
      <c r="F22" s="92">
        <v>0</v>
      </c>
      <c r="H22" s="91">
        <v>4</v>
      </c>
      <c r="I22" s="92">
        <v>0</v>
      </c>
      <c r="K22" s="91">
        <v>0</v>
      </c>
      <c r="L22" s="92">
        <v>0</v>
      </c>
      <c r="N22" s="91">
        <v>4</v>
      </c>
      <c r="O22" s="92">
        <v>0</v>
      </c>
      <c r="Q22" s="91">
        <v>0</v>
      </c>
      <c r="R22" s="92">
        <v>0</v>
      </c>
    </row>
    <row r="23" spans="1:18" ht="15.75" customHeight="1">
      <c r="A23" s="37">
        <f t="shared" si="0"/>
        <v>0.49999999999999983</v>
      </c>
      <c r="B23" s="91">
        <v>4</v>
      </c>
      <c r="C23" s="92">
        <v>0</v>
      </c>
      <c r="E23" s="91">
        <v>0</v>
      </c>
      <c r="F23" s="92">
        <v>0</v>
      </c>
      <c r="H23" s="91">
        <v>3</v>
      </c>
      <c r="I23" s="92">
        <v>0</v>
      </c>
      <c r="K23" s="91">
        <v>0</v>
      </c>
      <c r="L23" s="92">
        <v>0</v>
      </c>
      <c r="N23" s="91">
        <v>0</v>
      </c>
      <c r="O23" s="92">
        <v>0</v>
      </c>
      <c r="Q23" s="91">
        <v>0</v>
      </c>
      <c r="R23" s="92">
        <v>0</v>
      </c>
    </row>
    <row r="24" spans="1:18" ht="15.75" customHeight="1">
      <c r="A24" s="37">
        <f t="shared" si="0"/>
        <v>0.5034722222222221</v>
      </c>
      <c r="B24" s="91">
        <v>3</v>
      </c>
      <c r="C24" s="92">
        <v>2</v>
      </c>
      <c r="E24" s="91">
        <v>5</v>
      </c>
      <c r="F24" s="92">
        <v>0</v>
      </c>
      <c r="H24" s="91">
        <v>4</v>
      </c>
      <c r="I24" s="92">
        <v>0</v>
      </c>
      <c r="K24" s="91">
        <v>3</v>
      </c>
      <c r="L24" s="92">
        <v>0</v>
      </c>
      <c r="N24" s="91">
        <v>0</v>
      </c>
      <c r="O24" s="92">
        <v>0</v>
      </c>
      <c r="Q24" s="91">
        <v>2</v>
      </c>
      <c r="R24" s="92">
        <v>1</v>
      </c>
    </row>
    <row r="25" spans="1:18" ht="15.75" customHeight="1">
      <c r="A25" s="37">
        <f t="shared" si="0"/>
        <v>0.50694444444444431</v>
      </c>
      <c r="B25" s="91">
        <v>0</v>
      </c>
      <c r="C25" s="92">
        <v>0</v>
      </c>
      <c r="E25" s="91">
        <v>3</v>
      </c>
      <c r="F25" s="92">
        <v>3</v>
      </c>
      <c r="H25" s="91">
        <v>0</v>
      </c>
      <c r="I25" s="92">
        <v>0</v>
      </c>
      <c r="K25" s="91">
        <v>0</v>
      </c>
      <c r="L25" s="92">
        <v>0</v>
      </c>
      <c r="N25" s="91">
        <v>0</v>
      </c>
      <c r="O25" s="92">
        <v>0</v>
      </c>
      <c r="Q25" s="91">
        <v>0</v>
      </c>
      <c r="R25" s="92">
        <v>0</v>
      </c>
    </row>
    <row r="26" spans="1:18" ht="15.75" customHeight="1">
      <c r="A26" s="37">
        <f t="shared" si="0"/>
        <v>0.51041666666666652</v>
      </c>
      <c r="B26" s="91">
        <v>0</v>
      </c>
      <c r="C26" s="92">
        <v>2</v>
      </c>
      <c r="E26" s="91">
        <v>1</v>
      </c>
      <c r="F26" s="92">
        <v>0</v>
      </c>
      <c r="H26" s="91">
        <v>0</v>
      </c>
      <c r="I26" s="92">
        <v>0</v>
      </c>
      <c r="K26" s="91">
        <v>0</v>
      </c>
      <c r="L26" s="92">
        <v>0</v>
      </c>
      <c r="N26" s="91">
        <v>0</v>
      </c>
      <c r="O26" s="92">
        <v>0</v>
      </c>
      <c r="Q26" s="91">
        <v>0</v>
      </c>
      <c r="R26" s="92">
        <v>0</v>
      </c>
    </row>
    <row r="27" spans="1:18" ht="15.75" customHeight="1">
      <c r="A27" s="37">
        <f t="shared" si="0"/>
        <v>0.51388888888888873</v>
      </c>
      <c r="B27" s="91">
        <v>0</v>
      </c>
      <c r="C27" s="92">
        <v>0</v>
      </c>
      <c r="E27" s="91">
        <v>1</v>
      </c>
      <c r="F27" s="92">
        <v>3</v>
      </c>
      <c r="H27" s="91">
        <v>3</v>
      </c>
      <c r="I27" s="92">
        <v>0</v>
      </c>
      <c r="K27" s="91">
        <v>0</v>
      </c>
      <c r="L27" s="92">
        <v>0</v>
      </c>
      <c r="N27" s="91">
        <v>6</v>
      </c>
      <c r="O27" s="92">
        <v>0</v>
      </c>
      <c r="Q27" s="91">
        <v>0</v>
      </c>
      <c r="R27" s="92">
        <v>0</v>
      </c>
    </row>
    <row r="28" spans="1:18" ht="15.75" customHeight="1">
      <c r="A28" s="37">
        <f t="shared" si="0"/>
        <v>0.51736111111111094</v>
      </c>
      <c r="B28" s="91">
        <v>6</v>
      </c>
      <c r="C28" s="92">
        <v>0</v>
      </c>
      <c r="E28" s="91">
        <v>0</v>
      </c>
      <c r="F28" s="92">
        <v>0</v>
      </c>
      <c r="H28" s="91">
        <v>4</v>
      </c>
      <c r="I28" s="92">
        <v>0</v>
      </c>
      <c r="K28" s="91">
        <v>0</v>
      </c>
      <c r="L28" s="92">
        <v>0</v>
      </c>
      <c r="N28" s="91">
        <v>6</v>
      </c>
      <c r="O28" s="92">
        <v>0</v>
      </c>
      <c r="Q28" s="91">
        <v>0</v>
      </c>
      <c r="R28" s="92">
        <v>0</v>
      </c>
    </row>
    <row r="29" spans="1:18" ht="15.75" customHeight="1">
      <c r="A29" s="37">
        <f t="shared" ref="A29:A70" si="1">A28+"00:05"</f>
        <v>0.52083333333333315</v>
      </c>
      <c r="B29" s="91">
        <v>4</v>
      </c>
      <c r="C29" s="92">
        <v>2</v>
      </c>
      <c r="E29" s="91">
        <v>3</v>
      </c>
      <c r="F29" s="92">
        <v>1</v>
      </c>
      <c r="H29" s="91">
        <v>4</v>
      </c>
      <c r="I29" s="92">
        <v>0</v>
      </c>
      <c r="K29" s="91">
        <v>0</v>
      </c>
      <c r="L29" s="92">
        <v>0</v>
      </c>
      <c r="N29" s="91">
        <v>7</v>
      </c>
      <c r="O29" s="92">
        <v>0</v>
      </c>
      <c r="Q29" s="91">
        <v>0</v>
      </c>
      <c r="R29" s="92">
        <v>0</v>
      </c>
    </row>
    <row r="30" spans="1:18" s="56" customFormat="1" ht="15.75" customHeight="1">
      <c r="A30" s="37">
        <f t="shared" si="1"/>
        <v>0.52430555555555536</v>
      </c>
      <c r="B30" s="91">
        <v>0</v>
      </c>
      <c r="C30" s="92">
        <v>0</v>
      </c>
      <c r="E30" s="91">
        <v>4</v>
      </c>
      <c r="F30" s="92">
        <v>0</v>
      </c>
      <c r="H30" s="91">
        <v>0</v>
      </c>
      <c r="I30" s="92">
        <v>0</v>
      </c>
      <c r="K30" s="91">
        <v>0</v>
      </c>
      <c r="L30" s="92">
        <v>0</v>
      </c>
      <c r="N30" s="91">
        <v>0</v>
      </c>
      <c r="O30" s="92">
        <v>0</v>
      </c>
      <c r="Q30" s="91">
        <v>0</v>
      </c>
      <c r="R30" s="92">
        <v>0</v>
      </c>
    </row>
    <row r="31" spans="1:18" ht="15.75" customHeight="1">
      <c r="A31" s="37">
        <f t="shared" si="1"/>
        <v>0.52777777777777757</v>
      </c>
      <c r="B31" s="91">
        <v>6</v>
      </c>
      <c r="C31" s="92">
        <v>0</v>
      </c>
      <c r="E31" s="91">
        <v>0</v>
      </c>
      <c r="F31" s="92">
        <v>1</v>
      </c>
      <c r="H31" s="91">
        <v>4</v>
      </c>
      <c r="I31" s="92">
        <v>0</v>
      </c>
      <c r="K31" s="91">
        <v>0</v>
      </c>
      <c r="L31" s="92">
        <v>0</v>
      </c>
      <c r="N31" s="91">
        <v>6</v>
      </c>
      <c r="O31" s="92">
        <v>0</v>
      </c>
      <c r="Q31" s="91">
        <v>0</v>
      </c>
      <c r="R31" s="92">
        <v>0</v>
      </c>
    </row>
    <row r="32" spans="1:18" ht="15.75" customHeight="1">
      <c r="A32" s="37">
        <f t="shared" si="1"/>
        <v>0.53124999999999978</v>
      </c>
      <c r="B32" s="91">
        <v>6</v>
      </c>
      <c r="C32" s="92">
        <v>0</v>
      </c>
      <c r="E32" s="91">
        <v>1</v>
      </c>
      <c r="F32" s="92">
        <v>0</v>
      </c>
      <c r="H32" s="91">
        <v>4</v>
      </c>
      <c r="I32" s="92">
        <v>0</v>
      </c>
      <c r="K32" s="91">
        <v>0</v>
      </c>
      <c r="L32" s="92">
        <v>0</v>
      </c>
      <c r="N32" s="91">
        <v>6</v>
      </c>
      <c r="O32" s="92">
        <v>0</v>
      </c>
      <c r="Q32" s="91">
        <v>0</v>
      </c>
      <c r="R32" s="92">
        <v>0</v>
      </c>
    </row>
    <row r="33" spans="1:18" ht="15.75" customHeight="1">
      <c r="A33" s="37">
        <f t="shared" si="1"/>
        <v>0.53472222222222199</v>
      </c>
      <c r="B33" s="91">
        <v>6</v>
      </c>
      <c r="C33" s="92">
        <v>0</v>
      </c>
      <c r="E33" s="91">
        <v>0</v>
      </c>
      <c r="F33" s="92">
        <v>0</v>
      </c>
      <c r="H33" s="91">
        <v>4</v>
      </c>
      <c r="I33" s="92">
        <v>0</v>
      </c>
      <c r="K33" s="91">
        <v>0</v>
      </c>
      <c r="L33" s="92">
        <v>0</v>
      </c>
      <c r="N33" s="91">
        <v>5</v>
      </c>
      <c r="O33" s="92">
        <v>1</v>
      </c>
      <c r="Q33" s="91">
        <v>0</v>
      </c>
      <c r="R33" s="92">
        <v>0</v>
      </c>
    </row>
    <row r="34" spans="1:18" ht="15.75" customHeight="1">
      <c r="A34" s="37">
        <f t="shared" si="1"/>
        <v>0.5381944444444442</v>
      </c>
      <c r="B34" s="91">
        <v>7</v>
      </c>
      <c r="C34" s="92">
        <v>0</v>
      </c>
      <c r="E34" s="91">
        <v>6</v>
      </c>
      <c r="F34" s="92">
        <v>0</v>
      </c>
      <c r="H34" s="91">
        <v>4</v>
      </c>
      <c r="I34" s="92">
        <v>0</v>
      </c>
      <c r="K34" s="91">
        <v>4</v>
      </c>
      <c r="L34" s="92">
        <v>0</v>
      </c>
      <c r="N34" s="91">
        <v>6</v>
      </c>
      <c r="O34" s="92">
        <v>1</v>
      </c>
      <c r="Q34" s="91">
        <v>0</v>
      </c>
      <c r="R34" s="92">
        <v>0</v>
      </c>
    </row>
    <row r="35" spans="1:18" ht="15.75" customHeight="1">
      <c r="A35" s="37">
        <f t="shared" si="1"/>
        <v>0.54166666666666641</v>
      </c>
      <c r="B35" s="91">
        <v>6</v>
      </c>
      <c r="C35" s="92">
        <v>0</v>
      </c>
      <c r="E35" s="91">
        <v>0</v>
      </c>
      <c r="F35" s="92">
        <v>1</v>
      </c>
      <c r="H35" s="91">
        <v>4</v>
      </c>
      <c r="I35" s="92">
        <v>0</v>
      </c>
      <c r="K35" s="91">
        <v>0</v>
      </c>
      <c r="L35" s="92">
        <v>0</v>
      </c>
      <c r="N35" s="91">
        <v>6</v>
      </c>
      <c r="O35" s="92">
        <v>0</v>
      </c>
      <c r="Q35" s="91">
        <v>0</v>
      </c>
      <c r="R35" s="92">
        <v>0</v>
      </c>
    </row>
    <row r="36" spans="1:18" ht="15.75" customHeight="1">
      <c r="A36" s="37">
        <f t="shared" si="1"/>
        <v>0.54513888888888862</v>
      </c>
      <c r="B36" s="91">
        <v>6</v>
      </c>
      <c r="C36" s="92">
        <v>0</v>
      </c>
      <c r="E36" s="91">
        <v>0</v>
      </c>
      <c r="F36" s="92">
        <v>0</v>
      </c>
      <c r="H36" s="91">
        <v>4</v>
      </c>
      <c r="I36" s="92">
        <v>0</v>
      </c>
      <c r="K36" s="91">
        <v>0</v>
      </c>
      <c r="L36" s="92">
        <v>0</v>
      </c>
      <c r="N36" s="91">
        <v>6</v>
      </c>
      <c r="O36" s="92">
        <v>0</v>
      </c>
      <c r="Q36" s="91">
        <v>0</v>
      </c>
      <c r="R36" s="92">
        <v>0</v>
      </c>
    </row>
    <row r="37" spans="1:18" ht="15.75" customHeight="1">
      <c r="A37" s="37">
        <f t="shared" si="1"/>
        <v>0.54861111111111083</v>
      </c>
      <c r="B37" s="91">
        <v>6</v>
      </c>
      <c r="C37" s="92">
        <v>0</v>
      </c>
      <c r="E37" s="91">
        <v>0</v>
      </c>
      <c r="F37" s="92">
        <v>0</v>
      </c>
      <c r="H37" s="91">
        <v>4</v>
      </c>
      <c r="I37" s="92">
        <v>0</v>
      </c>
      <c r="K37" s="91">
        <v>0</v>
      </c>
      <c r="L37" s="92">
        <v>0</v>
      </c>
      <c r="N37" s="91">
        <v>4</v>
      </c>
      <c r="O37" s="92">
        <v>0</v>
      </c>
      <c r="Q37" s="91">
        <v>0</v>
      </c>
      <c r="R37" s="92">
        <v>0</v>
      </c>
    </row>
    <row r="38" spans="1:18" ht="15.75" customHeight="1">
      <c r="A38" s="37">
        <f t="shared" si="1"/>
        <v>0.55208333333333304</v>
      </c>
      <c r="B38" s="91">
        <v>7</v>
      </c>
      <c r="C38" s="92">
        <v>0</v>
      </c>
      <c r="E38" s="91">
        <v>1</v>
      </c>
      <c r="F38" s="92">
        <v>0</v>
      </c>
      <c r="H38" s="91">
        <v>4</v>
      </c>
      <c r="I38" s="92">
        <v>0</v>
      </c>
      <c r="K38" s="91">
        <v>0</v>
      </c>
      <c r="L38" s="92">
        <v>0</v>
      </c>
      <c r="N38" s="91">
        <v>6</v>
      </c>
      <c r="O38" s="92">
        <v>0</v>
      </c>
      <c r="Q38" s="91">
        <v>0</v>
      </c>
      <c r="R38" s="92">
        <v>0</v>
      </c>
    </row>
    <row r="39" spans="1:18" ht="15.75" customHeight="1">
      <c r="A39" s="37">
        <f t="shared" si="1"/>
        <v>0.55555555555555525</v>
      </c>
      <c r="B39" s="91">
        <v>2</v>
      </c>
      <c r="C39" s="92">
        <v>2</v>
      </c>
      <c r="E39" s="91">
        <v>1</v>
      </c>
      <c r="F39" s="92">
        <v>0</v>
      </c>
      <c r="H39" s="91">
        <v>3</v>
      </c>
      <c r="I39" s="92">
        <v>0</v>
      </c>
      <c r="K39" s="91">
        <v>0</v>
      </c>
      <c r="L39" s="92">
        <v>0</v>
      </c>
      <c r="N39" s="91">
        <v>6</v>
      </c>
      <c r="O39" s="92">
        <v>0</v>
      </c>
      <c r="Q39" s="91">
        <v>0</v>
      </c>
      <c r="R39" s="92">
        <v>0</v>
      </c>
    </row>
    <row r="40" spans="1:18" ht="15.75" customHeight="1">
      <c r="A40" s="37">
        <f t="shared" si="1"/>
        <v>0.55902777777777746</v>
      </c>
      <c r="B40" s="91">
        <v>0</v>
      </c>
      <c r="C40" s="92">
        <v>0</v>
      </c>
      <c r="E40" s="91">
        <v>1</v>
      </c>
      <c r="F40" s="92">
        <v>0</v>
      </c>
      <c r="H40" s="91">
        <v>0</v>
      </c>
      <c r="I40" s="92">
        <v>0</v>
      </c>
      <c r="K40" s="91">
        <v>0</v>
      </c>
      <c r="L40" s="92">
        <v>0</v>
      </c>
      <c r="N40" s="91">
        <v>0</v>
      </c>
      <c r="O40" s="92">
        <v>0</v>
      </c>
      <c r="Q40" s="91">
        <v>0</v>
      </c>
      <c r="R40" s="92">
        <v>0</v>
      </c>
    </row>
    <row r="41" spans="1:18" ht="15.75" customHeight="1">
      <c r="A41" s="37">
        <f t="shared" si="1"/>
        <v>0.56249999999999967</v>
      </c>
      <c r="B41" s="91">
        <v>2</v>
      </c>
      <c r="C41" s="92">
        <v>0</v>
      </c>
      <c r="E41" s="91">
        <v>4</v>
      </c>
      <c r="F41" s="92">
        <v>1</v>
      </c>
      <c r="H41" s="91">
        <v>2</v>
      </c>
      <c r="I41" s="92">
        <v>0</v>
      </c>
      <c r="K41" s="91">
        <v>0</v>
      </c>
      <c r="L41" s="92">
        <v>0</v>
      </c>
      <c r="N41" s="91">
        <v>0</v>
      </c>
      <c r="O41" s="92">
        <v>0</v>
      </c>
      <c r="Q41" s="91">
        <v>0</v>
      </c>
      <c r="R41" s="92">
        <v>0</v>
      </c>
    </row>
    <row r="42" spans="1:18" ht="15.75" customHeight="1">
      <c r="A42" s="37">
        <f t="shared" si="1"/>
        <v>0.56597222222222188</v>
      </c>
      <c r="B42" s="91">
        <v>6</v>
      </c>
      <c r="C42" s="92">
        <v>0</v>
      </c>
      <c r="E42" s="91">
        <v>1</v>
      </c>
      <c r="F42" s="92">
        <v>0</v>
      </c>
      <c r="H42" s="91">
        <v>5</v>
      </c>
      <c r="I42" s="92">
        <v>0</v>
      </c>
      <c r="K42" s="91">
        <v>1</v>
      </c>
      <c r="L42" s="92">
        <v>0</v>
      </c>
      <c r="N42" s="91">
        <v>6</v>
      </c>
      <c r="O42" s="92">
        <v>0</v>
      </c>
      <c r="Q42" s="91">
        <v>0</v>
      </c>
      <c r="R42" s="92">
        <v>0</v>
      </c>
    </row>
    <row r="43" spans="1:18" ht="15.75" customHeight="1">
      <c r="A43" s="37">
        <f t="shared" si="1"/>
        <v>0.56944444444444409</v>
      </c>
      <c r="B43" s="91">
        <v>6</v>
      </c>
      <c r="C43" s="92">
        <v>0</v>
      </c>
      <c r="E43" s="91">
        <v>4</v>
      </c>
      <c r="F43" s="92">
        <v>0</v>
      </c>
      <c r="H43" s="91">
        <v>4</v>
      </c>
      <c r="I43" s="92">
        <v>0</v>
      </c>
      <c r="K43" s="91">
        <v>0</v>
      </c>
      <c r="L43" s="92">
        <v>0</v>
      </c>
      <c r="N43" s="91">
        <v>6</v>
      </c>
      <c r="O43" s="92">
        <v>0</v>
      </c>
      <c r="Q43" s="91">
        <v>0</v>
      </c>
      <c r="R43" s="92">
        <v>0</v>
      </c>
    </row>
    <row r="44" spans="1:18" ht="15.75" customHeight="1">
      <c r="A44" s="37">
        <f t="shared" si="1"/>
        <v>0.5729166666666663</v>
      </c>
      <c r="B44" s="91">
        <v>6</v>
      </c>
      <c r="C44" s="92">
        <v>0</v>
      </c>
      <c r="E44" s="91">
        <v>1</v>
      </c>
      <c r="F44" s="92">
        <v>0</v>
      </c>
      <c r="H44" s="91">
        <v>4</v>
      </c>
      <c r="I44" s="92">
        <v>0</v>
      </c>
      <c r="K44" s="91">
        <v>0</v>
      </c>
      <c r="L44" s="92">
        <v>0</v>
      </c>
      <c r="N44" s="91">
        <v>7</v>
      </c>
      <c r="O44" s="92">
        <v>0</v>
      </c>
      <c r="Q44" s="91">
        <v>0</v>
      </c>
      <c r="R44" s="92">
        <v>0</v>
      </c>
    </row>
    <row r="45" spans="1:18" ht="15.75" customHeight="1">
      <c r="A45" s="37">
        <f t="shared" si="1"/>
        <v>0.57638888888888851</v>
      </c>
      <c r="B45" s="91">
        <v>6</v>
      </c>
      <c r="C45" s="92">
        <v>0</v>
      </c>
      <c r="E45" s="91">
        <v>5</v>
      </c>
      <c r="F45" s="92">
        <v>1</v>
      </c>
      <c r="H45" s="91">
        <v>4</v>
      </c>
      <c r="I45" s="92">
        <v>0</v>
      </c>
      <c r="K45" s="91">
        <v>3</v>
      </c>
      <c r="L45" s="92">
        <v>0</v>
      </c>
      <c r="N45" s="91">
        <v>6</v>
      </c>
      <c r="O45" s="92">
        <v>0</v>
      </c>
      <c r="Q45" s="91">
        <v>0</v>
      </c>
      <c r="R45" s="92">
        <v>0</v>
      </c>
    </row>
    <row r="46" spans="1:18" ht="15.75" customHeight="1">
      <c r="A46" s="37">
        <f t="shared" si="1"/>
        <v>0.57986111111111072</v>
      </c>
      <c r="B46" s="91">
        <v>0</v>
      </c>
      <c r="C46" s="92">
        <v>0</v>
      </c>
      <c r="E46" s="91">
        <v>3</v>
      </c>
      <c r="F46" s="92">
        <v>2</v>
      </c>
      <c r="H46" s="91">
        <v>0</v>
      </c>
      <c r="I46" s="92">
        <v>0</v>
      </c>
      <c r="K46" s="91">
        <v>0</v>
      </c>
      <c r="L46" s="92">
        <v>0</v>
      </c>
      <c r="N46" s="91">
        <v>0</v>
      </c>
      <c r="O46" s="92">
        <v>0</v>
      </c>
      <c r="Q46" s="91">
        <v>0</v>
      </c>
      <c r="R46" s="92">
        <v>0</v>
      </c>
    </row>
    <row r="47" spans="1:18" ht="15.75" customHeight="1">
      <c r="A47" s="37">
        <f t="shared" si="1"/>
        <v>0.58333333333333293</v>
      </c>
      <c r="B47" s="91">
        <v>0</v>
      </c>
      <c r="C47" s="92">
        <v>0</v>
      </c>
      <c r="E47" s="91">
        <v>0</v>
      </c>
      <c r="F47" s="92">
        <v>0</v>
      </c>
      <c r="H47" s="91">
        <v>1</v>
      </c>
      <c r="I47" s="92">
        <v>0</v>
      </c>
      <c r="K47" s="91">
        <v>0</v>
      </c>
      <c r="L47" s="92">
        <v>0</v>
      </c>
      <c r="N47" s="91">
        <v>2</v>
      </c>
      <c r="O47" s="92">
        <v>2</v>
      </c>
      <c r="Q47" s="91">
        <v>0</v>
      </c>
      <c r="R47" s="92">
        <v>0</v>
      </c>
    </row>
    <row r="48" spans="1:18" ht="15.75" customHeight="1">
      <c r="A48" s="37">
        <f t="shared" si="1"/>
        <v>0.58680555555555514</v>
      </c>
      <c r="B48" s="91">
        <v>0</v>
      </c>
      <c r="C48" s="92">
        <v>0</v>
      </c>
      <c r="E48" s="91">
        <v>2</v>
      </c>
      <c r="F48" s="92">
        <v>0</v>
      </c>
      <c r="H48" s="91">
        <v>0</v>
      </c>
      <c r="I48" s="92">
        <v>0</v>
      </c>
      <c r="K48" s="91">
        <v>0</v>
      </c>
      <c r="L48" s="92">
        <v>0</v>
      </c>
      <c r="N48" s="91">
        <v>0</v>
      </c>
      <c r="O48" s="92">
        <v>0</v>
      </c>
      <c r="Q48" s="91">
        <v>0</v>
      </c>
      <c r="R48" s="92">
        <v>0</v>
      </c>
    </row>
    <row r="49" spans="1:18" ht="15.75" customHeight="1">
      <c r="A49" s="37">
        <f t="shared" si="1"/>
        <v>0.59027777777777735</v>
      </c>
      <c r="B49" s="91">
        <v>0</v>
      </c>
      <c r="C49" s="92">
        <v>0</v>
      </c>
      <c r="E49" s="91">
        <v>1</v>
      </c>
      <c r="F49" s="92">
        <v>1</v>
      </c>
      <c r="H49" s="91">
        <v>0</v>
      </c>
      <c r="I49" s="92">
        <v>0</v>
      </c>
      <c r="K49" s="91">
        <v>0</v>
      </c>
      <c r="L49" s="92">
        <v>0</v>
      </c>
      <c r="N49" s="91">
        <v>4</v>
      </c>
      <c r="O49" s="92">
        <v>0</v>
      </c>
      <c r="Q49" s="91">
        <v>0</v>
      </c>
      <c r="R49" s="92">
        <v>0</v>
      </c>
    </row>
    <row r="50" spans="1:18" ht="15.75" customHeight="1">
      <c r="A50" s="37">
        <f t="shared" si="1"/>
        <v>0.59374999999999956</v>
      </c>
      <c r="B50" s="91">
        <v>0</v>
      </c>
      <c r="C50" s="92">
        <v>0</v>
      </c>
      <c r="E50" s="91">
        <v>5</v>
      </c>
      <c r="F50" s="92">
        <v>0</v>
      </c>
      <c r="H50" s="91">
        <v>0</v>
      </c>
      <c r="I50" s="92">
        <v>0</v>
      </c>
      <c r="K50" s="91">
        <v>4</v>
      </c>
      <c r="L50" s="92">
        <v>0</v>
      </c>
      <c r="N50" s="91">
        <v>1</v>
      </c>
      <c r="O50" s="92">
        <v>0</v>
      </c>
      <c r="Q50" s="91">
        <v>3</v>
      </c>
      <c r="R50" s="92">
        <v>3</v>
      </c>
    </row>
    <row r="51" spans="1:18" ht="15.75" customHeight="1">
      <c r="A51" s="37">
        <f t="shared" si="1"/>
        <v>0.59722222222222177</v>
      </c>
      <c r="B51" s="91">
        <v>0</v>
      </c>
      <c r="C51" s="92">
        <v>0</v>
      </c>
      <c r="E51" s="91">
        <v>1</v>
      </c>
      <c r="F51" s="92">
        <v>0</v>
      </c>
      <c r="H51" s="91">
        <v>0</v>
      </c>
      <c r="I51" s="92">
        <v>0</v>
      </c>
      <c r="K51" s="91">
        <v>0</v>
      </c>
      <c r="L51" s="92">
        <v>0</v>
      </c>
      <c r="N51" s="91">
        <v>2</v>
      </c>
      <c r="O51" s="92">
        <v>1</v>
      </c>
      <c r="Q51" s="91">
        <v>0</v>
      </c>
      <c r="R51" s="92">
        <v>0</v>
      </c>
    </row>
    <row r="52" spans="1:18" ht="15.75" customHeight="1">
      <c r="A52" s="37">
        <f t="shared" si="1"/>
        <v>0.60069444444444398</v>
      </c>
      <c r="B52" s="91">
        <v>0</v>
      </c>
      <c r="C52" s="92">
        <v>0</v>
      </c>
      <c r="E52" s="91">
        <v>0</v>
      </c>
      <c r="F52" s="92">
        <v>0</v>
      </c>
      <c r="H52" s="91">
        <v>0</v>
      </c>
      <c r="I52" s="92">
        <v>0</v>
      </c>
      <c r="K52" s="91">
        <v>0</v>
      </c>
      <c r="L52" s="92">
        <v>0</v>
      </c>
      <c r="N52" s="91">
        <v>0</v>
      </c>
      <c r="O52" s="92">
        <v>0</v>
      </c>
      <c r="Q52" s="91">
        <v>0</v>
      </c>
      <c r="R52" s="92">
        <v>0</v>
      </c>
    </row>
    <row r="53" spans="1:18" ht="15.75" customHeight="1">
      <c r="A53" s="37">
        <f t="shared" si="1"/>
        <v>0.60416666666666619</v>
      </c>
      <c r="B53" s="91">
        <v>0</v>
      </c>
      <c r="C53" s="92">
        <v>0</v>
      </c>
      <c r="E53" s="91">
        <v>0</v>
      </c>
      <c r="F53" s="92">
        <v>2</v>
      </c>
      <c r="H53" s="91">
        <v>0</v>
      </c>
      <c r="I53" s="92">
        <v>0</v>
      </c>
      <c r="K53" s="91">
        <v>0</v>
      </c>
      <c r="L53" s="92">
        <v>0</v>
      </c>
      <c r="N53" s="91">
        <v>0</v>
      </c>
      <c r="O53" s="92">
        <v>0</v>
      </c>
      <c r="Q53" s="91">
        <v>0</v>
      </c>
      <c r="R53" s="92">
        <v>0</v>
      </c>
    </row>
    <row r="54" spans="1:18" ht="15.75" customHeight="1">
      <c r="A54" s="37">
        <f t="shared" si="1"/>
        <v>0.6076388888888884</v>
      </c>
      <c r="B54" s="91">
        <v>0</v>
      </c>
      <c r="C54" s="92">
        <v>0</v>
      </c>
      <c r="E54" s="91">
        <v>0</v>
      </c>
      <c r="F54" s="92">
        <v>0</v>
      </c>
      <c r="H54" s="91">
        <v>0</v>
      </c>
      <c r="I54" s="92">
        <v>0</v>
      </c>
      <c r="K54" s="91">
        <v>1</v>
      </c>
      <c r="L54" s="92">
        <v>0</v>
      </c>
      <c r="N54" s="91">
        <v>2</v>
      </c>
      <c r="O54" s="92">
        <v>0</v>
      </c>
      <c r="Q54" s="91">
        <v>0</v>
      </c>
      <c r="R54" s="92">
        <v>0</v>
      </c>
    </row>
    <row r="55" spans="1:18" ht="15.75" customHeight="1">
      <c r="A55" s="37">
        <f t="shared" si="1"/>
        <v>0.61111111111111061</v>
      </c>
      <c r="B55" s="91">
        <v>5</v>
      </c>
      <c r="C55" s="92">
        <v>0</v>
      </c>
      <c r="E55" s="91">
        <v>0</v>
      </c>
      <c r="F55" s="92">
        <v>3</v>
      </c>
      <c r="H55" s="91">
        <v>3</v>
      </c>
      <c r="I55" s="92">
        <v>0</v>
      </c>
      <c r="K55" s="91">
        <v>0</v>
      </c>
      <c r="L55" s="92">
        <v>0</v>
      </c>
      <c r="N55" s="91">
        <v>4</v>
      </c>
      <c r="O55" s="92">
        <v>2</v>
      </c>
      <c r="Q55" s="91">
        <v>0</v>
      </c>
      <c r="R55" s="92">
        <v>0</v>
      </c>
    </row>
    <row r="56" spans="1:18" ht="15.75" customHeight="1">
      <c r="A56" s="37">
        <f t="shared" si="1"/>
        <v>0.61458333333333282</v>
      </c>
      <c r="B56" s="91">
        <v>0</v>
      </c>
      <c r="C56" s="92">
        <v>0</v>
      </c>
      <c r="E56" s="91">
        <v>0</v>
      </c>
      <c r="F56" s="92">
        <v>0</v>
      </c>
      <c r="H56" s="91">
        <v>0</v>
      </c>
      <c r="I56" s="92">
        <v>0</v>
      </c>
      <c r="K56" s="91">
        <v>0</v>
      </c>
      <c r="L56" s="92">
        <v>0</v>
      </c>
      <c r="N56" s="91">
        <v>0</v>
      </c>
      <c r="O56" s="92">
        <v>0</v>
      </c>
      <c r="Q56" s="91">
        <v>0</v>
      </c>
      <c r="R56" s="92">
        <v>0</v>
      </c>
    </row>
    <row r="57" spans="1:18" ht="15.75" customHeight="1">
      <c r="A57" s="37">
        <f t="shared" si="1"/>
        <v>0.61805555555555503</v>
      </c>
      <c r="B57" s="91">
        <v>6</v>
      </c>
      <c r="C57" s="92">
        <v>0</v>
      </c>
      <c r="E57" s="91">
        <v>3</v>
      </c>
      <c r="F57" s="92">
        <v>2</v>
      </c>
      <c r="H57" s="91">
        <v>4</v>
      </c>
      <c r="I57" s="92">
        <v>0</v>
      </c>
      <c r="K57" s="91">
        <v>3</v>
      </c>
      <c r="L57" s="92">
        <v>0</v>
      </c>
      <c r="N57" s="91">
        <v>3</v>
      </c>
      <c r="O57" s="92">
        <v>0</v>
      </c>
      <c r="Q57" s="91">
        <v>3</v>
      </c>
      <c r="R57" s="92">
        <v>1</v>
      </c>
    </row>
    <row r="58" spans="1:18" ht="15.75" customHeight="1">
      <c r="A58" s="37">
        <f t="shared" si="1"/>
        <v>0.62152777777777724</v>
      </c>
      <c r="B58" s="91">
        <v>0</v>
      </c>
      <c r="C58" s="92">
        <v>0</v>
      </c>
      <c r="E58" s="91">
        <v>0</v>
      </c>
      <c r="F58" s="92">
        <v>0</v>
      </c>
      <c r="H58" s="91">
        <v>0</v>
      </c>
      <c r="I58" s="92">
        <v>0</v>
      </c>
      <c r="K58" s="91">
        <v>0</v>
      </c>
      <c r="L58" s="92">
        <v>0</v>
      </c>
      <c r="N58" s="91">
        <v>0</v>
      </c>
      <c r="O58" s="92">
        <v>0</v>
      </c>
      <c r="Q58" s="91">
        <v>0</v>
      </c>
      <c r="R58" s="92">
        <v>0</v>
      </c>
    </row>
    <row r="59" spans="1:18" ht="15.75" customHeight="1">
      <c r="A59" s="37">
        <f t="shared" si="1"/>
        <v>0.62499999999999944</v>
      </c>
      <c r="B59" s="91">
        <v>6</v>
      </c>
      <c r="C59" s="92">
        <v>0</v>
      </c>
      <c r="E59" s="91">
        <v>6</v>
      </c>
      <c r="F59" s="92">
        <v>0</v>
      </c>
      <c r="H59" s="91">
        <v>4</v>
      </c>
      <c r="I59" s="92">
        <v>0</v>
      </c>
      <c r="K59" s="91">
        <v>0</v>
      </c>
      <c r="L59" s="92">
        <v>0</v>
      </c>
      <c r="N59" s="91">
        <v>4</v>
      </c>
      <c r="O59" s="92">
        <v>0</v>
      </c>
      <c r="Q59" s="91">
        <v>0</v>
      </c>
      <c r="R59" s="92">
        <v>0</v>
      </c>
    </row>
    <row r="60" spans="1:18" ht="15.75" customHeight="1">
      <c r="A60" s="37">
        <f t="shared" si="1"/>
        <v>0.62847222222222165</v>
      </c>
      <c r="B60" s="91">
        <v>4</v>
      </c>
      <c r="C60" s="92">
        <v>2</v>
      </c>
      <c r="E60" s="91">
        <v>1</v>
      </c>
      <c r="F60" s="92">
        <v>0</v>
      </c>
      <c r="H60" s="91">
        <v>4</v>
      </c>
      <c r="I60" s="92">
        <v>0</v>
      </c>
      <c r="K60" s="91">
        <v>0</v>
      </c>
      <c r="L60" s="92">
        <v>0</v>
      </c>
      <c r="N60" s="91">
        <v>6</v>
      </c>
      <c r="O60" s="92">
        <v>0</v>
      </c>
      <c r="Q60" s="91">
        <v>0</v>
      </c>
      <c r="R60" s="92">
        <v>0</v>
      </c>
    </row>
    <row r="61" spans="1:18" ht="15.75" customHeight="1">
      <c r="A61" s="37">
        <f t="shared" si="1"/>
        <v>0.63194444444444386</v>
      </c>
      <c r="B61" s="91">
        <v>3</v>
      </c>
      <c r="C61" s="92">
        <v>0</v>
      </c>
      <c r="E61" s="91">
        <v>0</v>
      </c>
      <c r="F61" s="92">
        <v>5</v>
      </c>
      <c r="H61" s="91">
        <v>4</v>
      </c>
      <c r="I61" s="92">
        <v>0</v>
      </c>
      <c r="K61" s="91">
        <v>0</v>
      </c>
      <c r="L61" s="92">
        <v>0</v>
      </c>
      <c r="N61" s="91">
        <v>5</v>
      </c>
      <c r="O61" s="92">
        <v>1</v>
      </c>
      <c r="Q61" s="91">
        <v>0</v>
      </c>
      <c r="R61" s="92">
        <v>0</v>
      </c>
    </row>
    <row r="62" spans="1:18" ht="15.75" customHeight="1">
      <c r="A62" s="37">
        <f t="shared" si="1"/>
        <v>0.63541666666666607</v>
      </c>
      <c r="B62" s="91">
        <v>0</v>
      </c>
      <c r="C62" s="92">
        <v>0</v>
      </c>
      <c r="E62" s="91">
        <v>3</v>
      </c>
      <c r="F62" s="92">
        <v>2</v>
      </c>
      <c r="H62" s="91">
        <v>1</v>
      </c>
      <c r="I62" s="92">
        <v>0</v>
      </c>
      <c r="K62" s="91">
        <v>0</v>
      </c>
      <c r="L62" s="92">
        <v>0</v>
      </c>
      <c r="N62" s="91">
        <v>0</v>
      </c>
      <c r="O62" s="92">
        <v>0</v>
      </c>
      <c r="Q62" s="91">
        <v>0</v>
      </c>
      <c r="R62" s="92">
        <v>0</v>
      </c>
    </row>
    <row r="63" spans="1:18" ht="15.75" customHeight="1">
      <c r="A63" s="37">
        <f t="shared" si="1"/>
        <v>0.63888888888888828</v>
      </c>
      <c r="B63" s="91">
        <v>4</v>
      </c>
      <c r="C63" s="92">
        <v>0</v>
      </c>
      <c r="E63" s="91">
        <v>1</v>
      </c>
      <c r="F63" s="92">
        <v>0</v>
      </c>
      <c r="H63" s="91">
        <v>4</v>
      </c>
      <c r="I63" s="92">
        <v>0</v>
      </c>
      <c r="K63" s="91">
        <v>0</v>
      </c>
      <c r="L63" s="92">
        <v>0</v>
      </c>
      <c r="N63" s="91">
        <v>3</v>
      </c>
      <c r="O63" s="92">
        <v>0</v>
      </c>
      <c r="Q63" s="91">
        <v>0</v>
      </c>
      <c r="R63" s="92">
        <v>0</v>
      </c>
    </row>
    <row r="64" spans="1:18" ht="15.75" customHeight="1">
      <c r="A64" s="37">
        <f t="shared" si="1"/>
        <v>0.64236111111111049</v>
      </c>
      <c r="B64" s="91">
        <v>0</v>
      </c>
      <c r="C64" s="92">
        <v>0</v>
      </c>
      <c r="E64" s="91">
        <v>1</v>
      </c>
      <c r="F64" s="92">
        <v>0</v>
      </c>
      <c r="H64" s="91">
        <v>1</v>
      </c>
      <c r="I64" s="92">
        <v>0</v>
      </c>
      <c r="K64" s="91">
        <v>0</v>
      </c>
      <c r="L64" s="92">
        <v>0</v>
      </c>
      <c r="N64" s="91">
        <v>4</v>
      </c>
      <c r="O64" s="92">
        <v>0</v>
      </c>
      <c r="Q64" s="91">
        <v>0</v>
      </c>
      <c r="R64" s="92">
        <v>0</v>
      </c>
    </row>
    <row r="65" spans="1:20" ht="15.75" customHeight="1">
      <c r="A65" s="37">
        <f t="shared" si="1"/>
        <v>0.6458333333333327</v>
      </c>
      <c r="B65" s="91">
        <v>3</v>
      </c>
      <c r="C65" s="92">
        <v>2</v>
      </c>
      <c r="E65" s="91">
        <v>0</v>
      </c>
      <c r="F65" s="92">
        <v>4</v>
      </c>
      <c r="H65" s="91">
        <v>5</v>
      </c>
      <c r="I65" s="92">
        <v>0</v>
      </c>
      <c r="K65" s="91">
        <v>0</v>
      </c>
      <c r="L65" s="92">
        <v>2</v>
      </c>
      <c r="N65" s="91">
        <v>3</v>
      </c>
      <c r="O65" s="92">
        <v>1</v>
      </c>
      <c r="Q65" s="91">
        <v>0</v>
      </c>
      <c r="R65" s="92">
        <v>0</v>
      </c>
    </row>
    <row r="66" spans="1:20" ht="15.75" customHeight="1">
      <c r="A66" s="37">
        <f t="shared" si="1"/>
        <v>0.64930555555555491</v>
      </c>
      <c r="B66" s="91">
        <v>2</v>
      </c>
      <c r="C66" s="92">
        <v>0</v>
      </c>
      <c r="E66" s="91">
        <v>3</v>
      </c>
      <c r="F66" s="92">
        <v>0</v>
      </c>
      <c r="H66" s="91">
        <v>0</v>
      </c>
      <c r="I66" s="92">
        <v>0</v>
      </c>
      <c r="K66" s="91">
        <v>2</v>
      </c>
      <c r="L66" s="92">
        <v>0</v>
      </c>
      <c r="N66" s="91">
        <v>0</v>
      </c>
      <c r="O66" s="92">
        <v>0</v>
      </c>
      <c r="Q66" s="91">
        <v>0</v>
      </c>
      <c r="R66" s="92">
        <v>0</v>
      </c>
    </row>
    <row r="67" spans="1:20" ht="15.75" customHeight="1">
      <c r="A67" s="37">
        <f t="shared" si="1"/>
        <v>0.65277777777777712</v>
      </c>
      <c r="B67" s="91">
        <v>3</v>
      </c>
      <c r="C67" s="92">
        <v>3</v>
      </c>
      <c r="E67" s="91">
        <v>0</v>
      </c>
      <c r="F67" s="92">
        <v>0</v>
      </c>
      <c r="H67" s="91">
        <v>4</v>
      </c>
      <c r="I67" s="92">
        <v>0</v>
      </c>
      <c r="K67" s="91">
        <v>1</v>
      </c>
      <c r="L67" s="92">
        <v>0</v>
      </c>
      <c r="N67" s="91">
        <v>4</v>
      </c>
      <c r="O67" s="92">
        <v>0</v>
      </c>
      <c r="Q67" s="91">
        <v>0</v>
      </c>
      <c r="R67" s="92">
        <v>0</v>
      </c>
    </row>
    <row r="68" spans="1:20" ht="15.75" customHeight="1">
      <c r="A68" s="37">
        <f t="shared" si="1"/>
        <v>0.65624999999999933</v>
      </c>
      <c r="B68" s="91">
        <v>4</v>
      </c>
      <c r="C68" s="92">
        <v>0</v>
      </c>
      <c r="E68" s="91">
        <v>1</v>
      </c>
      <c r="F68" s="92">
        <v>0</v>
      </c>
      <c r="H68" s="91">
        <v>4</v>
      </c>
      <c r="I68" s="92">
        <v>0</v>
      </c>
      <c r="K68" s="91">
        <v>0</v>
      </c>
      <c r="L68" s="92">
        <v>0</v>
      </c>
      <c r="N68" s="91">
        <v>5</v>
      </c>
      <c r="O68" s="92">
        <v>0</v>
      </c>
      <c r="Q68" s="91">
        <v>0</v>
      </c>
      <c r="R68" s="92">
        <v>0</v>
      </c>
    </row>
    <row r="69" spans="1:20" ht="15.75" customHeight="1">
      <c r="A69" s="37">
        <f t="shared" si="1"/>
        <v>0.65972222222222154</v>
      </c>
      <c r="B69" s="91">
        <v>0</v>
      </c>
      <c r="C69" s="92">
        <v>3</v>
      </c>
      <c r="E69" s="91">
        <v>0</v>
      </c>
      <c r="F69" s="92">
        <v>0</v>
      </c>
      <c r="H69" s="91">
        <v>3</v>
      </c>
      <c r="I69" s="92">
        <v>0</v>
      </c>
      <c r="K69" s="91">
        <v>0</v>
      </c>
      <c r="L69" s="92">
        <v>0</v>
      </c>
      <c r="N69" s="91">
        <v>6</v>
      </c>
      <c r="O69" s="92">
        <v>0</v>
      </c>
      <c r="Q69" s="91">
        <v>0</v>
      </c>
      <c r="R69" s="92">
        <v>0</v>
      </c>
    </row>
    <row r="70" spans="1:20" ht="15.75" customHeight="1">
      <c r="A70" s="37">
        <f t="shared" si="1"/>
        <v>0.66319444444444375</v>
      </c>
      <c r="B70" s="99">
        <v>0</v>
      </c>
      <c r="C70" s="100">
        <v>0</v>
      </c>
      <c r="E70" s="99">
        <v>0</v>
      </c>
      <c r="F70" s="100">
        <v>0</v>
      </c>
      <c r="H70" s="99">
        <v>1</v>
      </c>
      <c r="I70" s="100">
        <v>0</v>
      </c>
      <c r="K70" s="99">
        <v>0</v>
      </c>
      <c r="L70" s="100">
        <v>0</v>
      </c>
      <c r="N70" s="99">
        <v>3</v>
      </c>
      <c r="O70" s="100">
        <v>3</v>
      </c>
      <c r="Q70" s="99">
        <v>0</v>
      </c>
      <c r="R70" s="100">
        <v>0</v>
      </c>
    </row>
    <row r="72" spans="1:20" ht="27.75" customHeight="1">
      <c r="A72" s="93" t="s">
        <v>60</v>
      </c>
      <c r="B72" s="94">
        <f>MAX(B11:B70)</f>
        <v>7</v>
      </c>
      <c r="C72" s="95">
        <f>MAX(C11:C70)</f>
        <v>3</v>
      </c>
      <c r="D72" s="96"/>
      <c r="E72" s="94">
        <f>MAX(E11:E70)</f>
        <v>6</v>
      </c>
      <c r="F72" s="95">
        <f>MAX(F11:F70)</f>
        <v>5</v>
      </c>
      <c r="G72" s="96"/>
      <c r="H72" s="94">
        <f>MAX(H11:H70)</f>
        <v>5</v>
      </c>
      <c r="I72" s="95">
        <f>MAX(I11:I70)</f>
        <v>0</v>
      </c>
      <c r="J72" s="96"/>
      <c r="K72" s="94">
        <f>MAX(K11:K70)</f>
        <v>4</v>
      </c>
      <c r="L72" s="95">
        <f>MAX(L11:L70)</f>
        <v>2</v>
      </c>
      <c r="M72" s="96"/>
      <c r="N72" s="94">
        <f>MAX(N11:N70)</f>
        <v>7</v>
      </c>
      <c r="O72" s="95">
        <f>MAX(O11:O70)</f>
        <v>3</v>
      </c>
      <c r="P72" s="96"/>
      <c r="Q72" s="94">
        <f>MAX(Q11:Q70)</f>
        <v>3</v>
      </c>
      <c r="R72" s="95">
        <f>MAX(R11:R70)</f>
        <v>3</v>
      </c>
      <c r="S72" s="96"/>
      <c r="T72" s="96"/>
    </row>
  </sheetData>
  <mergeCells count="6">
    <mergeCell ref="Q9:R9"/>
    <mergeCell ref="B9:C9"/>
    <mergeCell ref="E9:F9"/>
    <mergeCell ref="H9:I9"/>
    <mergeCell ref="K9:L9"/>
    <mergeCell ref="N9:O9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Job Details</vt:lpstr>
      <vt:lpstr>Site Plan</vt:lpstr>
      <vt:lpstr>CTC</vt:lpstr>
      <vt:lpstr>Peds</vt:lpstr>
      <vt:lpstr>Queue</vt:lpstr>
      <vt:lpstr>CTC!Print_Titles</vt:lpstr>
      <vt:lpstr>Peds!Print_Titles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Sky High-Count On Us</dc:creator>
  <cp:lastModifiedBy>Ian Baxter</cp:lastModifiedBy>
  <cp:lastPrinted>2013-10-02T14:22:55Z</cp:lastPrinted>
  <dcterms:created xsi:type="dcterms:W3CDTF">2001-07-30T13:44:17Z</dcterms:created>
  <dcterms:modified xsi:type="dcterms:W3CDTF">2015-11-23T16:38:50Z</dcterms:modified>
</cp:coreProperties>
</file>