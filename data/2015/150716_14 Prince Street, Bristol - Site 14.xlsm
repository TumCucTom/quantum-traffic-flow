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7800" windowHeight="6225"/>
  </bookViews>
  <sheets>
    <sheet name="Job Details" sheetId="5" r:id="rId1"/>
    <sheet name="Site Plan" sheetId="6" r:id="rId2"/>
    <sheet name="JTC" sheetId="7" r:id="rId3"/>
    <sheet name="PEDS" sheetId="8" r:id="rId4"/>
  </sheets>
  <definedNames>
    <definedName name="_xlnm.Print_Titles" localSheetId="2">JTC!$1:$7</definedName>
    <definedName name="_xlnm.Print_Titles" localSheetId="3">PEDS!$1:$7</definedName>
  </definedNames>
  <calcPr calcId="125725"/>
</workbook>
</file>

<file path=xl/calcChain.xml><?xml version="1.0" encoding="utf-8"?>
<calcChain xmlns="http://schemas.openxmlformats.org/spreadsheetml/2006/main">
  <c r="K283" i="8"/>
  <c r="H283"/>
  <c r="E283"/>
  <c r="K245"/>
  <c r="H245"/>
  <c r="E245"/>
  <c r="K205"/>
  <c r="H205"/>
  <c r="E205"/>
  <c r="K167"/>
  <c r="H167"/>
  <c r="E167"/>
  <c r="K127"/>
  <c r="H127"/>
  <c r="E127"/>
  <c r="K89"/>
  <c r="H89"/>
  <c r="E89"/>
  <c r="K49"/>
  <c r="H49"/>
  <c r="E49"/>
  <c r="E11"/>
  <c r="H11"/>
  <c r="K11"/>
  <c r="C13"/>
  <c r="C14"/>
  <c r="C15"/>
  <c r="C16"/>
  <c r="B17"/>
  <c r="C17"/>
  <c r="C18"/>
  <c r="C19"/>
  <c r="C20"/>
  <c r="C21"/>
  <c r="B22"/>
  <c r="C22"/>
  <c r="C23"/>
  <c r="C24"/>
  <c r="C25"/>
  <c r="C26"/>
  <c r="B27"/>
  <c r="C27"/>
  <c r="C28"/>
  <c r="C29"/>
  <c r="C30"/>
  <c r="C31"/>
  <c r="B32"/>
  <c r="C32"/>
  <c r="C33"/>
  <c r="C34"/>
  <c r="C35"/>
  <c r="C36"/>
  <c r="B37"/>
  <c r="C37"/>
  <c r="C38"/>
  <c r="C39"/>
  <c r="C40"/>
  <c r="C41"/>
  <c r="B42"/>
  <c r="C42"/>
  <c r="H314"/>
  <c r="H309"/>
  <c r="H304"/>
  <c r="H299"/>
  <c r="H294"/>
  <c r="H289"/>
  <c r="E314"/>
  <c r="E309"/>
  <c r="E304"/>
  <c r="E299"/>
  <c r="E294"/>
  <c r="E289"/>
  <c r="B314"/>
  <c r="B309"/>
  <c r="B304"/>
  <c r="B299"/>
  <c r="B294"/>
  <c r="B289"/>
  <c r="K276"/>
  <c r="K271"/>
  <c r="K266"/>
  <c r="K261"/>
  <c r="K256"/>
  <c r="K251"/>
  <c r="H276"/>
  <c r="H271"/>
  <c r="H266"/>
  <c r="H261"/>
  <c r="H256"/>
  <c r="H251"/>
  <c r="E276"/>
  <c r="E271"/>
  <c r="E266"/>
  <c r="E261"/>
  <c r="E256"/>
  <c r="E251"/>
  <c r="B276"/>
  <c r="B271"/>
  <c r="B266"/>
  <c r="B261"/>
  <c r="B256"/>
  <c r="B251"/>
  <c r="K236"/>
  <c r="K231"/>
  <c r="K226"/>
  <c r="K221"/>
  <c r="K216"/>
  <c r="K211"/>
  <c r="H236"/>
  <c r="H231"/>
  <c r="H226"/>
  <c r="H221"/>
  <c r="H216"/>
  <c r="H211"/>
  <c r="E236"/>
  <c r="E231"/>
  <c r="E226"/>
  <c r="E221"/>
  <c r="E216"/>
  <c r="E211"/>
  <c r="B236"/>
  <c r="B231"/>
  <c r="B226"/>
  <c r="B221"/>
  <c r="B216"/>
  <c r="B211"/>
  <c r="K198"/>
  <c r="K193"/>
  <c r="K188"/>
  <c r="K183"/>
  <c r="K178"/>
  <c r="K173"/>
  <c r="H198"/>
  <c r="H193"/>
  <c r="H188"/>
  <c r="H183"/>
  <c r="H178"/>
  <c r="H173"/>
  <c r="E198"/>
  <c r="E193"/>
  <c r="E188"/>
  <c r="E183"/>
  <c r="E178"/>
  <c r="E173"/>
  <c r="B198"/>
  <c r="B193"/>
  <c r="B188"/>
  <c r="B183"/>
  <c r="B178"/>
  <c r="B173"/>
  <c r="K158"/>
  <c r="K153"/>
  <c r="K148"/>
  <c r="K143"/>
  <c r="K138"/>
  <c r="K133"/>
  <c r="H158"/>
  <c r="H153"/>
  <c r="H148"/>
  <c r="H143"/>
  <c r="H138"/>
  <c r="H133"/>
  <c r="E158"/>
  <c r="E153"/>
  <c r="E148"/>
  <c r="E143"/>
  <c r="E138"/>
  <c r="E133"/>
  <c r="B158"/>
  <c r="B153"/>
  <c r="B148"/>
  <c r="B143"/>
  <c r="B138"/>
  <c r="B133"/>
  <c r="K120"/>
  <c r="K115"/>
  <c r="K110"/>
  <c r="K105"/>
  <c r="K100"/>
  <c r="K95"/>
  <c r="H120"/>
  <c r="H115"/>
  <c r="H110"/>
  <c r="H105"/>
  <c r="H100"/>
  <c r="H95"/>
  <c r="E120"/>
  <c r="E115"/>
  <c r="E110"/>
  <c r="E105"/>
  <c r="E100"/>
  <c r="E95"/>
  <c r="B120"/>
  <c r="B115"/>
  <c r="B110"/>
  <c r="B105"/>
  <c r="B100"/>
  <c r="B95"/>
  <c r="K80"/>
  <c r="K75"/>
  <c r="K70"/>
  <c r="K65"/>
  <c r="K60"/>
  <c r="K55"/>
  <c r="H80"/>
  <c r="H75"/>
  <c r="H70"/>
  <c r="H65"/>
  <c r="H60"/>
  <c r="H55"/>
  <c r="E80"/>
  <c r="E75"/>
  <c r="E70"/>
  <c r="E65"/>
  <c r="E60"/>
  <c r="E55"/>
  <c r="B80"/>
  <c r="B75"/>
  <c r="B70"/>
  <c r="B65"/>
  <c r="B60"/>
  <c r="B55"/>
  <c r="K42"/>
  <c r="K37"/>
  <c r="K32"/>
  <c r="K27"/>
  <c r="K22"/>
  <c r="K17"/>
  <c r="H42"/>
  <c r="H37"/>
  <c r="H32"/>
  <c r="H27"/>
  <c r="H22"/>
  <c r="H17"/>
  <c r="E42"/>
  <c r="E37"/>
  <c r="E32"/>
  <c r="E27"/>
  <c r="E22"/>
  <c r="E17"/>
  <c r="AM306" i="7"/>
  <c r="AL306"/>
  <c r="AK306"/>
  <c r="AJ306"/>
  <c r="AI306"/>
  <c r="AH306"/>
  <c r="AG306"/>
  <c r="AF306"/>
  <c r="AC306"/>
  <c r="AB306"/>
  <c r="AA306"/>
  <c r="Z306"/>
  <c r="Y306"/>
  <c r="X306"/>
  <c r="W306"/>
  <c r="V306"/>
  <c r="S306"/>
  <c r="R306"/>
  <c r="Q306"/>
  <c r="P306"/>
  <c r="O306"/>
  <c r="N306"/>
  <c r="M306"/>
  <c r="L306"/>
  <c r="I306"/>
  <c r="H306"/>
  <c r="G306"/>
  <c r="F306"/>
  <c r="E306"/>
  <c r="D306"/>
  <c r="C306"/>
  <c r="B306"/>
  <c r="AN305"/>
  <c r="AD305"/>
  <c r="T305"/>
  <c r="J305"/>
  <c r="AN304"/>
  <c r="AD304"/>
  <c r="T304"/>
  <c r="J304"/>
  <c r="AN303"/>
  <c r="AD303"/>
  <c r="T303"/>
  <c r="J303"/>
  <c r="AN302"/>
  <c r="AN306" s="1"/>
  <c r="AD302"/>
  <c r="AD306" s="1"/>
  <c r="T302"/>
  <c r="T306" s="1"/>
  <c r="J302"/>
  <c r="J306" s="1"/>
  <c r="AM301"/>
  <c r="AL301"/>
  <c r="AK301"/>
  <c r="AJ301"/>
  <c r="AI301"/>
  <c r="AH301"/>
  <c r="AG301"/>
  <c r="AF301"/>
  <c r="AC301"/>
  <c r="AB301"/>
  <c r="AA301"/>
  <c r="Z301"/>
  <c r="Y301"/>
  <c r="X301"/>
  <c r="W301"/>
  <c r="V301"/>
  <c r="S301"/>
  <c r="R301"/>
  <c r="Q301"/>
  <c r="P301"/>
  <c r="O301"/>
  <c r="N301"/>
  <c r="M301"/>
  <c r="L301"/>
  <c r="I301"/>
  <c r="H301"/>
  <c r="G301"/>
  <c r="F301"/>
  <c r="E301"/>
  <c r="D301"/>
  <c r="C301"/>
  <c r="B301"/>
  <c r="AN300"/>
  <c r="AD300"/>
  <c r="T300"/>
  <c r="J300"/>
  <c r="AN299"/>
  <c r="AD299"/>
  <c r="T299"/>
  <c r="J299"/>
  <c r="AN298"/>
  <c r="AD298"/>
  <c r="T298"/>
  <c r="J298"/>
  <c r="AN297"/>
  <c r="AN301" s="1"/>
  <c r="AD297"/>
  <c r="AD301" s="1"/>
  <c r="T297"/>
  <c r="T301" s="1"/>
  <c r="J297"/>
  <c r="J301" s="1"/>
  <c r="AM296"/>
  <c r="AL296"/>
  <c r="AK296"/>
  <c r="AJ296"/>
  <c r="AI296"/>
  <c r="AH296"/>
  <c r="AG296"/>
  <c r="AF296"/>
  <c r="AC296"/>
  <c r="AB296"/>
  <c r="AA296"/>
  <c r="Z296"/>
  <c r="Y296"/>
  <c r="X296"/>
  <c r="W296"/>
  <c r="V296"/>
  <c r="S296"/>
  <c r="R296"/>
  <c r="Q296"/>
  <c r="P296"/>
  <c r="O296"/>
  <c r="N296"/>
  <c r="M296"/>
  <c r="L296"/>
  <c r="I296"/>
  <c r="H296"/>
  <c r="G296"/>
  <c r="F296"/>
  <c r="E296"/>
  <c r="D296"/>
  <c r="C296"/>
  <c r="B296"/>
  <c r="AN295"/>
  <c r="AD295"/>
  <c r="T295"/>
  <c r="J295"/>
  <c r="AN294"/>
  <c r="AD294"/>
  <c r="T294"/>
  <c r="J294"/>
  <c r="AN293"/>
  <c r="AD293"/>
  <c r="T293"/>
  <c r="J293"/>
  <c r="AN292"/>
  <c r="AN296" s="1"/>
  <c r="AD292"/>
  <c r="AD296" s="1"/>
  <c r="T292"/>
  <c r="T296" s="1"/>
  <c r="J292"/>
  <c r="J296" s="1"/>
  <c r="AM291"/>
  <c r="AL291"/>
  <c r="AK291"/>
  <c r="AJ291"/>
  <c r="AI291"/>
  <c r="AH291"/>
  <c r="AG291"/>
  <c r="AF291"/>
  <c r="AC291"/>
  <c r="AB291"/>
  <c r="AA291"/>
  <c r="Z291"/>
  <c r="Y291"/>
  <c r="X291"/>
  <c r="W291"/>
  <c r="V291"/>
  <c r="S291"/>
  <c r="R291"/>
  <c r="Q291"/>
  <c r="P291"/>
  <c r="O291"/>
  <c r="N291"/>
  <c r="M291"/>
  <c r="L291"/>
  <c r="I291"/>
  <c r="H291"/>
  <c r="G291"/>
  <c r="F291"/>
  <c r="E291"/>
  <c r="D291"/>
  <c r="C291"/>
  <c r="B291"/>
  <c r="AN290"/>
  <c r="AD290"/>
  <c r="T290"/>
  <c r="J290"/>
  <c r="AN289"/>
  <c r="AD289"/>
  <c r="T289"/>
  <c r="J289"/>
  <c r="AN288"/>
  <c r="AD288"/>
  <c r="T288"/>
  <c r="J288"/>
  <c r="AN287"/>
  <c r="AN291" s="1"/>
  <c r="AD287"/>
  <c r="AD291" s="1"/>
  <c r="T287"/>
  <c r="T291" s="1"/>
  <c r="J287"/>
  <c r="J291" s="1"/>
  <c r="AM286"/>
  <c r="AL286"/>
  <c r="AK286"/>
  <c r="AJ286"/>
  <c r="AI286"/>
  <c r="AH286"/>
  <c r="AG286"/>
  <c r="AF286"/>
  <c r="AC286"/>
  <c r="AB286"/>
  <c r="AA286"/>
  <c r="Z286"/>
  <c r="Y286"/>
  <c r="X286"/>
  <c r="W286"/>
  <c r="V286"/>
  <c r="S286"/>
  <c r="R286"/>
  <c r="Q286"/>
  <c r="P286"/>
  <c r="O286"/>
  <c r="N286"/>
  <c r="M286"/>
  <c r="L286"/>
  <c r="I286"/>
  <c r="H286"/>
  <c r="G286"/>
  <c r="F286"/>
  <c r="E286"/>
  <c r="D286"/>
  <c r="C286"/>
  <c r="B286"/>
  <c r="AN285"/>
  <c r="AD285"/>
  <c r="T285"/>
  <c r="J285"/>
  <c r="AN284"/>
  <c r="AD284"/>
  <c r="T284"/>
  <c r="J284"/>
  <c r="AN283"/>
  <c r="AD283"/>
  <c r="T283"/>
  <c r="J283"/>
  <c r="AN282"/>
  <c r="AN286" s="1"/>
  <c r="AD282"/>
  <c r="AD286" s="1"/>
  <c r="T282"/>
  <c r="T286" s="1"/>
  <c r="J282"/>
  <c r="J286" s="1"/>
  <c r="AM281"/>
  <c r="AL281"/>
  <c r="AK281"/>
  <c r="AJ281"/>
  <c r="AI281"/>
  <c r="AH281"/>
  <c r="AG281"/>
  <c r="AF281"/>
  <c r="AC281"/>
  <c r="AB281"/>
  <c r="AA281"/>
  <c r="Z281"/>
  <c r="Y281"/>
  <c r="X281"/>
  <c r="W281"/>
  <c r="V281"/>
  <c r="S281"/>
  <c r="R281"/>
  <c r="Q281"/>
  <c r="P281"/>
  <c r="O281"/>
  <c r="N281"/>
  <c r="M281"/>
  <c r="L281"/>
  <c r="I281"/>
  <c r="H281"/>
  <c r="G281"/>
  <c r="F281"/>
  <c r="E281"/>
  <c r="D281"/>
  <c r="C281"/>
  <c r="B281"/>
  <c r="AN280"/>
  <c r="AD280"/>
  <c r="T280"/>
  <c r="J280"/>
  <c r="AN279"/>
  <c r="AD279"/>
  <c r="T279"/>
  <c r="J279"/>
  <c r="AN278"/>
  <c r="AD278"/>
  <c r="T278"/>
  <c r="J278"/>
  <c r="AN277"/>
  <c r="AN281" s="1"/>
  <c r="AD277"/>
  <c r="AD281" s="1"/>
  <c r="T277"/>
  <c r="T281" s="1"/>
  <c r="J277"/>
  <c r="J281" s="1"/>
  <c r="AM269"/>
  <c r="AL269"/>
  <c r="AK269"/>
  <c r="AJ269"/>
  <c r="AI269"/>
  <c r="AH269"/>
  <c r="AG269"/>
  <c r="AF269"/>
  <c r="AC269"/>
  <c r="AB269"/>
  <c r="AA269"/>
  <c r="Z269"/>
  <c r="Y269"/>
  <c r="X269"/>
  <c r="W269"/>
  <c r="V269"/>
  <c r="S269"/>
  <c r="R269"/>
  <c r="Q269"/>
  <c r="P269"/>
  <c r="O269"/>
  <c r="N269"/>
  <c r="M269"/>
  <c r="L269"/>
  <c r="I269"/>
  <c r="H269"/>
  <c r="G269"/>
  <c r="F269"/>
  <c r="E269"/>
  <c r="D269"/>
  <c r="C269"/>
  <c r="B269"/>
  <c r="AN268"/>
  <c r="AD268"/>
  <c r="T268"/>
  <c r="J268"/>
  <c r="AN267"/>
  <c r="AD267"/>
  <c r="T267"/>
  <c r="J267"/>
  <c r="AN266"/>
  <c r="AD266"/>
  <c r="T266"/>
  <c r="J266"/>
  <c r="AN265"/>
  <c r="AN269" s="1"/>
  <c r="AD265"/>
  <c r="AD269" s="1"/>
  <c r="T265"/>
  <c r="T269" s="1"/>
  <c r="J265"/>
  <c r="J269" s="1"/>
  <c r="AM264"/>
  <c r="AL264"/>
  <c r="AK264"/>
  <c r="AJ264"/>
  <c r="AI264"/>
  <c r="AH264"/>
  <c r="AG264"/>
  <c r="AF264"/>
  <c r="AC264"/>
  <c r="AB264"/>
  <c r="AA264"/>
  <c r="Z264"/>
  <c r="Y264"/>
  <c r="X264"/>
  <c r="W264"/>
  <c r="V264"/>
  <c r="S264"/>
  <c r="R264"/>
  <c r="Q264"/>
  <c r="P264"/>
  <c r="O264"/>
  <c r="N264"/>
  <c r="M264"/>
  <c r="L264"/>
  <c r="I264"/>
  <c r="H264"/>
  <c r="G264"/>
  <c r="F264"/>
  <c r="E264"/>
  <c r="D264"/>
  <c r="C264"/>
  <c r="B264"/>
  <c r="AN263"/>
  <c r="AD263"/>
  <c r="T263"/>
  <c r="J263"/>
  <c r="AN262"/>
  <c r="AD262"/>
  <c r="T262"/>
  <c r="J262"/>
  <c r="AN261"/>
  <c r="AD261"/>
  <c r="T261"/>
  <c r="J261"/>
  <c r="AN260"/>
  <c r="AN264" s="1"/>
  <c r="AD260"/>
  <c r="AD264" s="1"/>
  <c r="T260"/>
  <c r="T264" s="1"/>
  <c r="J260"/>
  <c r="J264" s="1"/>
  <c r="AM259"/>
  <c r="AL259"/>
  <c r="AK259"/>
  <c r="AJ259"/>
  <c r="AI259"/>
  <c r="AH259"/>
  <c r="AG259"/>
  <c r="AF259"/>
  <c r="AC259"/>
  <c r="AB259"/>
  <c r="AA259"/>
  <c r="Z259"/>
  <c r="Y259"/>
  <c r="X259"/>
  <c r="W259"/>
  <c r="V259"/>
  <c r="S259"/>
  <c r="R259"/>
  <c r="Q259"/>
  <c r="P259"/>
  <c r="O259"/>
  <c r="N259"/>
  <c r="M259"/>
  <c r="L259"/>
  <c r="I259"/>
  <c r="H259"/>
  <c r="G259"/>
  <c r="F259"/>
  <c r="E259"/>
  <c r="D259"/>
  <c r="C259"/>
  <c r="B259"/>
  <c r="AN258"/>
  <c r="AD258"/>
  <c r="T258"/>
  <c r="J258"/>
  <c r="AN257"/>
  <c r="AD257"/>
  <c r="T257"/>
  <c r="J257"/>
  <c r="AN256"/>
  <c r="AD256"/>
  <c r="T256"/>
  <c r="J256"/>
  <c r="AN255"/>
  <c r="AN259" s="1"/>
  <c r="AD255"/>
  <c r="AD259" s="1"/>
  <c r="T255"/>
  <c r="T259" s="1"/>
  <c r="J255"/>
  <c r="J259" s="1"/>
  <c r="AM254"/>
  <c r="AL254"/>
  <c r="AK254"/>
  <c r="AJ254"/>
  <c r="AI254"/>
  <c r="AH254"/>
  <c r="AG254"/>
  <c r="AF254"/>
  <c r="AC254"/>
  <c r="AB254"/>
  <c r="AA254"/>
  <c r="Z254"/>
  <c r="Y254"/>
  <c r="X254"/>
  <c r="W254"/>
  <c r="V254"/>
  <c r="S254"/>
  <c r="R254"/>
  <c r="Q254"/>
  <c r="P254"/>
  <c r="O254"/>
  <c r="N254"/>
  <c r="M254"/>
  <c r="L254"/>
  <c r="I254"/>
  <c r="H254"/>
  <c r="G254"/>
  <c r="F254"/>
  <c r="E254"/>
  <c r="D254"/>
  <c r="C254"/>
  <c r="B254"/>
  <c r="AN253"/>
  <c r="AD253"/>
  <c r="T253"/>
  <c r="J253"/>
  <c r="AN252"/>
  <c r="AD252"/>
  <c r="T252"/>
  <c r="J252"/>
  <c r="AN251"/>
  <c r="AD251"/>
  <c r="T251"/>
  <c r="J251"/>
  <c r="AN250"/>
  <c r="AN254" s="1"/>
  <c r="AD250"/>
  <c r="AD254" s="1"/>
  <c r="T250"/>
  <c r="T254" s="1"/>
  <c r="J250"/>
  <c r="J254" s="1"/>
  <c r="AM249"/>
  <c r="AL249"/>
  <c r="AK249"/>
  <c r="AJ249"/>
  <c r="AI249"/>
  <c r="AH249"/>
  <c r="AG249"/>
  <c r="AF249"/>
  <c r="AC249"/>
  <c r="AB249"/>
  <c r="AA249"/>
  <c r="Z249"/>
  <c r="Y249"/>
  <c r="X249"/>
  <c r="W249"/>
  <c r="V249"/>
  <c r="S249"/>
  <c r="R249"/>
  <c r="Q249"/>
  <c r="P249"/>
  <c r="O249"/>
  <c r="N249"/>
  <c r="M249"/>
  <c r="L249"/>
  <c r="I249"/>
  <c r="H249"/>
  <c r="G249"/>
  <c r="F249"/>
  <c r="E249"/>
  <c r="D249"/>
  <c r="C249"/>
  <c r="B249"/>
  <c r="AN248"/>
  <c r="AD248"/>
  <c r="T248"/>
  <c r="J248"/>
  <c r="AN247"/>
  <c r="AD247"/>
  <c r="T247"/>
  <c r="J247"/>
  <c r="AN246"/>
  <c r="AD246"/>
  <c r="T246"/>
  <c r="J246"/>
  <c r="AN245"/>
  <c r="AN249" s="1"/>
  <c r="AD245"/>
  <c r="AD249" s="1"/>
  <c r="T245"/>
  <c r="T249" s="1"/>
  <c r="J245"/>
  <c r="J249" s="1"/>
  <c r="AM244"/>
  <c r="AL244"/>
  <c r="AK244"/>
  <c r="AJ244"/>
  <c r="AI244"/>
  <c r="AH244"/>
  <c r="AG244"/>
  <c r="AF244"/>
  <c r="AC244"/>
  <c r="AB244"/>
  <c r="AA244"/>
  <c r="Z244"/>
  <c r="Y244"/>
  <c r="X244"/>
  <c r="W244"/>
  <c r="V244"/>
  <c r="S244"/>
  <c r="R244"/>
  <c r="Q244"/>
  <c r="P244"/>
  <c r="O244"/>
  <c r="N244"/>
  <c r="M244"/>
  <c r="L244"/>
  <c r="I244"/>
  <c r="H244"/>
  <c r="G244"/>
  <c r="F244"/>
  <c r="E244"/>
  <c r="D244"/>
  <c r="C244"/>
  <c r="B244"/>
  <c r="AN243"/>
  <c r="AD243"/>
  <c r="T243"/>
  <c r="J243"/>
  <c r="AN242"/>
  <c r="AD242"/>
  <c r="T242"/>
  <c r="J242"/>
  <c r="AN241"/>
  <c r="AD241"/>
  <c r="T241"/>
  <c r="J241"/>
  <c r="AN240"/>
  <c r="AN244" s="1"/>
  <c r="AD240"/>
  <c r="AD244" s="1"/>
  <c r="T240"/>
  <c r="T244" s="1"/>
  <c r="J240"/>
  <c r="J244" s="1"/>
  <c r="AM230"/>
  <c r="AL230"/>
  <c r="AK230"/>
  <c r="AJ230"/>
  <c r="AI230"/>
  <c r="AH230"/>
  <c r="AG230"/>
  <c r="AF230"/>
  <c r="AC230"/>
  <c r="AB230"/>
  <c r="AA230"/>
  <c r="Z230"/>
  <c r="Y230"/>
  <c r="X230"/>
  <c r="W230"/>
  <c r="V230"/>
  <c r="S230"/>
  <c r="R230"/>
  <c r="Q230"/>
  <c r="P230"/>
  <c r="O230"/>
  <c r="N230"/>
  <c r="M230"/>
  <c r="L230"/>
  <c r="I230"/>
  <c r="H230"/>
  <c r="G230"/>
  <c r="F230"/>
  <c r="E230"/>
  <c r="D230"/>
  <c r="C230"/>
  <c r="B230"/>
  <c r="AN229"/>
  <c r="AD229"/>
  <c r="T229"/>
  <c r="J229"/>
  <c r="AN228"/>
  <c r="AD228"/>
  <c r="T228"/>
  <c r="J228"/>
  <c r="AN227"/>
  <c r="AD227"/>
  <c r="T227"/>
  <c r="J227"/>
  <c r="AN226"/>
  <c r="AN230" s="1"/>
  <c r="AD226"/>
  <c r="AD230" s="1"/>
  <c r="T226"/>
  <c r="T230" s="1"/>
  <c r="J226"/>
  <c r="J230" s="1"/>
  <c r="AM225"/>
  <c r="AL225"/>
  <c r="AK225"/>
  <c r="AJ225"/>
  <c r="AI225"/>
  <c r="AH225"/>
  <c r="AG225"/>
  <c r="AF225"/>
  <c r="AC225"/>
  <c r="AB225"/>
  <c r="AA225"/>
  <c r="Z225"/>
  <c r="Y225"/>
  <c r="X225"/>
  <c r="W225"/>
  <c r="V225"/>
  <c r="S225"/>
  <c r="R225"/>
  <c r="Q225"/>
  <c r="P225"/>
  <c r="O225"/>
  <c r="N225"/>
  <c r="M225"/>
  <c r="L225"/>
  <c r="I225"/>
  <c r="H225"/>
  <c r="G225"/>
  <c r="F225"/>
  <c r="E225"/>
  <c r="D225"/>
  <c r="C225"/>
  <c r="B225"/>
  <c r="AN224"/>
  <c r="AD224"/>
  <c r="T224"/>
  <c r="J224"/>
  <c r="AN223"/>
  <c r="AD223"/>
  <c r="T223"/>
  <c r="J223"/>
  <c r="AN222"/>
  <c r="AD222"/>
  <c r="T222"/>
  <c r="J222"/>
  <c r="AN221"/>
  <c r="AN225" s="1"/>
  <c r="AD221"/>
  <c r="AD225" s="1"/>
  <c r="T221"/>
  <c r="T225" s="1"/>
  <c r="J221"/>
  <c r="J225" s="1"/>
  <c r="AM220"/>
  <c r="AL220"/>
  <c r="AK220"/>
  <c r="AJ220"/>
  <c r="AI220"/>
  <c r="AH220"/>
  <c r="AG220"/>
  <c r="AF220"/>
  <c r="AC220"/>
  <c r="AB220"/>
  <c r="AA220"/>
  <c r="Z220"/>
  <c r="Y220"/>
  <c r="X220"/>
  <c r="W220"/>
  <c r="V220"/>
  <c r="S220"/>
  <c r="R220"/>
  <c r="Q220"/>
  <c r="P220"/>
  <c r="O220"/>
  <c r="N220"/>
  <c r="M220"/>
  <c r="L220"/>
  <c r="I220"/>
  <c r="H220"/>
  <c r="G220"/>
  <c r="F220"/>
  <c r="E220"/>
  <c r="D220"/>
  <c r="C220"/>
  <c r="B220"/>
  <c r="AN219"/>
  <c r="AD219"/>
  <c r="T219"/>
  <c r="J219"/>
  <c r="AN218"/>
  <c r="AD218"/>
  <c r="T218"/>
  <c r="J218"/>
  <c r="AN217"/>
  <c r="AD217"/>
  <c r="T217"/>
  <c r="J217"/>
  <c r="AN216"/>
  <c r="AN220" s="1"/>
  <c r="AD216"/>
  <c r="AD220" s="1"/>
  <c r="T216"/>
  <c r="T220" s="1"/>
  <c r="J216"/>
  <c r="J220" s="1"/>
  <c r="AM215"/>
  <c r="AL215"/>
  <c r="AK215"/>
  <c r="AJ215"/>
  <c r="AI215"/>
  <c r="AH215"/>
  <c r="AG215"/>
  <c r="AF215"/>
  <c r="AC215"/>
  <c r="AB215"/>
  <c r="AA215"/>
  <c r="Z215"/>
  <c r="Y215"/>
  <c r="X215"/>
  <c r="W215"/>
  <c r="V215"/>
  <c r="S215"/>
  <c r="R215"/>
  <c r="Q215"/>
  <c r="P215"/>
  <c r="O215"/>
  <c r="N215"/>
  <c r="M215"/>
  <c r="L215"/>
  <c r="I215"/>
  <c r="H215"/>
  <c r="G215"/>
  <c r="F215"/>
  <c r="E215"/>
  <c r="D215"/>
  <c r="C215"/>
  <c r="B215"/>
  <c r="AN214"/>
  <c r="AD214"/>
  <c r="T214"/>
  <c r="J214"/>
  <c r="AN213"/>
  <c r="AD213"/>
  <c r="T213"/>
  <c r="J213"/>
  <c r="AN212"/>
  <c r="AD212"/>
  <c r="T212"/>
  <c r="J212"/>
  <c r="AN211"/>
  <c r="AN215" s="1"/>
  <c r="AD211"/>
  <c r="AD215" s="1"/>
  <c r="T211"/>
  <c r="T215" s="1"/>
  <c r="J211"/>
  <c r="J215" s="1"/>
  <c r="AM210"/>
  <c r="AL210"/>
  <c r="AK210"/>
  <c r="AJ210"/>
  <c r="AI210"/>
  <c r="AH210"/>
  <c r="AG210"/>
  <c r="AF210"/>
  <c r="AC210"/>
  <c r="AB210"/>
  <c r="AA210"/>
  <c r="Z210"/>
  <c r="Y210"/>
  <c r="X210"/>
  <c r="W210"/>
  <c r="V210"/>
  <c r="S210"/>
  <c r="R210"/>
  <c r="Q210"/>
  <c r="P210"/>
  <c r="O210"/>
  <c r="N210"/>
  <c r="M210"/>
  <c r="L210"/>
  <c r="I210"/>
  <c r="H210"/>
  <c r="G210"/>
  <c r="F210"/>
  <c r="E210"/>
  <c r="D210"/>
  <c r="C210"/>
  <c r="B210"/>
  <c r="AN209"/>
  <c r="AD209"/>
  <c r="T209"/>
  <c r="J209"/>
  <c r="AN208"/>
  <c r="AD208"/>
  <c r="T208"/>
  <c r="J208"/>
  <c r="AN207"/>
  <c r="AD207"/>
  <c r="T207"/>
  <c r="J207"/>
  <c r="AN206"/>
  <c r="AN210" s="1"/>
  <c r="AD206"/>
  <c r="AD210" s="1"/>
  <c r="T206"/>
  <c r="T210" s="1"/>
  <c r="J206"/>
  <c r="J210" s="1"/>
  <c r="AM205"/>
  <c r="AL205"/>
  <c r="AK205"/>
  <c r="AJ205"/>
  <c r="AI205"/>
  <c r="AH205"/>
  <c r="AG205"/>
  <c r="AF205"/>
  <c r="AC205"/>
  <c r="AB205"/>
  <c r="AA205"/>
  <c r="Z205"/>
  <c r="Y205"/>
  <c r="X205"/>
  <c r="W205"/>
  <c r="V205"/>
  <c r="S205"/>
  <c r="R205"/>
  <c r="Q205"/>
  <c r="P205"/>
  <c r="O205"/>
  <c r="N205"/>
  <c r="M205"/>
  <c r="L205"/>
  <c r="I205"/>
  <c r="H205"/>
  <c r="G205"/>
  <c r="F205"/>
  <c r="E205"/>
  <c r="D205"/>
  <c r="C205"/>
  <c r="B205"/>
  <c r="AN204"/>
  <c r="AD204"/>
  <c r="T204"/>
  <c r="J204"/>
  <c r="AN203"/>
  <c r="AD203"/>
  <c r="T203"/>
  <c r="J203"/>
  <c r="AN202"/>
  <c r="AD202"/>
  <c r="T202"/>
  <c r="J202"/>
  <c r="AN201"/>
  <c r="AN205" s="1"/>
  <c r="AD201"/>
  <c r="AD205" s="1"/>
  <c r="T201"/>
  <c r="T205" s="1"/>
  <c r="J201"/>
  <c r="J205" s="1"/>
  <c r="AM193"/>
  <c r="AL193"/>
  <c r="AK193"/>
  <c r="AJ193"/>
  <c r="AI193"/>
  <c r="AH193"/>
  <c r="AG193"/>
  <c r="AF193"/>
  <c r="AC193"/>
  <c r="AB193"/>
  <c r="AA193"/>
  <c r="Z193"/>
  <c r="Y193"/>
  <c r="X193"/>
  <c r="W193"/>
  <c r="V193"/>
  <c r="S193"/>
  <c r="R193"/>
  <c r="Q193"/>
  <c r="P193"/>
  <c r="O193"/>
  <c r="N193"/>
  <c r="M193"/>
  <c r="L193"/>
  <c r="I193"/>
  <c r="H193"/>
  <c r="G193"/>
  <c r="F193"/>
  <c r="E193"/>
  <c r="D193"/>
  <c r="C193"/>
  <c r="B193"/>
  <c r="AN192"/>
  <c r="AD192"/>
  <c r="T192"/>
  <c r="J192"/>
  <c r="AN191"/>
  <c r="AD191"/>
  <c r="T191"/>
  <c r="J191"/>
  <c r="AN190"/>
  <c r="AD190"/>
  <c r="T190"/>
  <c r="J190"/>
  <c r="AN189"/>
  <c r="AN193" s="1"/>
  <c r="AD189"/>
  <c r="AD193" s="1"/>
  <c r="T189"/>
  <c r="T193" s="1"/>
  <c r="J189"/>
  <c r="J193" s="1"/>
  <c r="AM188"/>
  <c r="AL188"/>
  <c r="AK188"/>
  <c r="AJ188"/>
  <c r="AI188"/>
  <c r="AH188"/>
  <c r="AG188"/>
  <c r="AF188"/>
  <c r="AC188"/>
  <c r="AB188"/>
  <c r="AA188"/>
  <c r="Z188"/>
  <c r="Y188"/>
  <c r="X188"/>
  <c r="W188"/>
  <c r="V188"/>
  <c r="S188"/>
  <c r="R188"/>
  <c r="Q188"/>
  <c r="P188"/>
  <c r="O188"/>
  <c r="N188"/>
  <c r="M188"/>
  <c r="L188"/>
  <c r="I188"/>
  <c r="H188"/>
  <c r="G188"/>
  <c r="F188"/>
  <c r="E188"/>
  <c r="D188"/>
  <c r="C188"/>
  <c r="B188"/>
  <c r="AN187"/>
  <c r="AD187"/>
  <c r="T187"/>
  <c r="J187"/>
  <c r="AN186"/>
  <c r="AD186"/>
  <c r="T186"/>
  <c r="J186"/>
  <c r="AN185"/>
  <c r="AD185"/>
  <c r="T185"/>
  <c r="J185"/>
  <c r="AN184"/>
  <c r="AN188" s="1"/>
  <c r="AD184"/>
  <c r="AD188" s="1"/>
  <c r="T184"/>
  <c r="T188" s="1"/>
  <c r="J184"/>
  <c r="J188" s="1"/>
  <c r="AM183"/>
  <c r="AL183"/>
  <c r="AK183"/>
  <c r="AJ183"/>
  <c r="AI183"/>
  <c r="AH183"/>
  <c r="AG183"/>
  <c r="AF183"/>
  <c r="AC183"/>
  <c r="AB183"/>
  <c r="AA183"/>
  <c r="Z183"/>
  <c r="Y183"/>
  <c r="X183"/>
  <c r="W183"/>
  <c r="V183"/>
  <c r="S183"/>
  <c r="R183"/>
  <c r="Q183"/>
  <c r="P183"/>
  <c r="O183"/>
  <c r="N183"/>
  <c r="M183"/>
  <c r="L183"/>
  <c r="I183"/>
  <c r="H183"/>
  <c r="G183"/>
  <c r="F183"/>
  <c r="E183"/>
  <c r="D183"/>
  <c r="C183"/>
  <c r="B183"/>
  <c r="AN182"/>
  <c r="AD182"/>
  <c r="T182"/>
  <c r="J182"/>
  <c r="AN181"/>
  <c r="AD181"/>
  <c r="T181"/>
  <c r="J181"/>
  <c r="AN180"/>
  <c r="AD180"/>
  <c r="T180"/>
  <c r="J180"/>
  <c r="AN179"/>
  <c r="AN183" s="1"/>
  <c r="AD179"/>
  <c r="AD183" s="1"/>
  <c r="T179"/>
  <c r="T183" s="1"/>
  <c r="J179"/>
  <c r="J183" s="1"/>
  <c r="AM178"/>
  <c r="AL178"/>
  <c r="AK178"/>
  <c r="AJ178"/>
  <c r="AI178"/>
  <c r="AH178"/>
  <c r="AG178"/>
  <c r="AF178"/>
  <c r="AC178"/>
  <c r="AB178"/>
  <c r="AA178"/>
  <c r="Z178"/>
  <c r="Y178"/>
  <c r="X178"/>
  <c r="W178"/>
  <c r="V178"/>
  <c r="S178"/>
  <c r="R178"/>
  <c r="Q178"/>
  <c r="P178"/>
  <c r="O178"/>
  <c r="N178"/>
  <c r="M178"/>
  <c r="L178"/>
  <c r="I178"/>
  <c r="H178"/>
  <c r="G178"/>
  <c r="F178"/>
  <c r="E178"/>
  <c r="D178"/>
  <c r="C178"/>
  <c r="B178"/>
  <c r="AN177"/>
  <c r="AD177"/>
  <c r="T177"/>
  <c r="J177"/>
  <c r="AN176"/>
  <c r="AD176"/>
  <c r="T176"/>
  <c r="J176"/>
  <c r="AN175"/>
  <c r="AD175"/>
  <c r="T175"/>
  <c r="J175"/>
  <c r="AN174"/>
  <c r="AN178" s="1"/>
  <c r="AD174"/>
  <c r="AD178" s="1"/>
  <c r="T174"/>
  <c r="T178" s="1"/>
  <c r="J174"/>
  <c r="J178" s="1"/>
  <c r="AM173"/>
  <c r="AL173"/>
  <c r="AK173"/>
  <c r="AJ173"/>
  <c r="AI173"/>
  <c r="AH173"/>
  <c r="AG173"/>
  <c r="AF173"/>
  <c r="AC173"/>
  <c r="AB173"/>
  <c r="AA173"/>
  <c r="Z173"/>
  <c r="Y173"/>
  <c r="X173"/>
  <c r="W173"/>
  <c r="V173"/>
  <c r="S173"/>
  <c r="R173"/>
  <c r="Q173"/>
  <c r="P173"/>
  <c r="O173"/>
  <c r="N173"/>
  <c r="M173"/>
  <c r="L173"/>
  <c r="I173"/>
  <c r="H173"/>
  <c r="G173"/>
  <c r="F173"/>
  <c r="E173"/>
  <c r="D173"/>
  <c r="C173"/>
  <c r="B173"/>
  <c r="AN172"/>
  <c r="AD172"/>
  <c r="T172"/>
  <c r="J172"/>
  <c r="AN171"/>
  <c r="AD171"/>
  <c r="T171"/>
  <c r="J171"/>
  <c r="AN170"/>
  <c r="AD170"/>
  <c r="T170"/>
  <c r="J170"/>
  <c r="AN169"/>
  <c r="AN173" s="1"/>
  <c r="AD169"/>
  <c r="AD173" s="1"/>
  <c r="T169"/>
  <c r="T173" s="1"/>
  <c r="J169"/>
  <c r="J173" s="1"/>
  <c r="AM168"/>
  <c r="AL168"/>
  <c r="AK168"/>
  <c r="AJ168"/>
  <c r="AI168"/>
  <c r="AH168"/>
  <c r="AG168"/>
  <c r="AF168"/>
  <c r="AC168"/>
  <c r="AB168"/>
  <c r="AA168"/>
  <c r="Z168"/>
  <c r="Y168"/>
  <c r="X168"/>
  <c r="W168"/>
  <c r="V168"/>
  <c r="S168"/>
  <c r="R168"/>
  <c r="Q168"/>
  <c r="P168"/>
  <c r="O168"/>
  <c r="N168"/>
  <c r="M168"/>
  <c r="L168"/>
  <c r="I168"/>
  <c r="H168"/>
  <c r="G168"/>
  <c r="F168"/>
  <c r="E168"/>
  <c r="D168"/>
  <c r="C168"/>
  <c r="B168"/>
  <c r="AN167"/>
  <c r="AD167"/>
  <c r="T167"/>
  <c r="J167"/>
  <c r="AN166"/>
  <c r="AD166"/>
  <c r="T166"/>
  <c r="J166"/>
  <c r="AN165"/>
  <c r="AD165"/>
  <c r="T165"/>
  <c r="J165"/>
  <c r="AN164"/>
  <c r="AN168" s="1"/>
  <c r="AD164"/>
  <c r="AD168" s="1"/>
  <c r="T164"/>
  <c r="T168" s="1"/>
  <c r="J164"/>
  <c r="J168" s="1"/>
  <c r="AM154"/>
  <c r="AL154"/>
  <c r="AK154"/>
  <c r="AJ154"/>
  <c r="AI154"/>
  <c r="AH154"/>
  <c r="AG154"/>
  <c r="AF154"/>
  <c r="AC154"/>
  <c r="AB154"/>
  <c r="AA154"/>
  <c r="Z154"/>
  <c r="Y154"/>
  <c r="X154"/>
  <c r="W154"/>
  <c r="V154"/>
  <c r="S154"/>
  <c r="R154"/>
  <c r="Q154"/>
  <c r="P154"/>
  <c r="O154"/>
  <c r="N154"/>
  <c r="M154"/>
  <c r="L154"/>
  <c r="I154"/>
  <c r="H154"/>
  <c r="G154"/>
  <c r="F154"/>
  <c r="E154"/>
  <c r="D154"/>
  <c r="C154"/>
  <c r="B154"/>
  <c r="AN153"/>
  <c r="AD153"/>
  <c r="T153"/>
  <c r="J153"/>
  <c r="AN152"/>
  <c r="AD152"/>
  <c r="T152"/>
  <c r="J152"/>
  <c r="AN151"/>
  <c r="AD151"/>
  <c r="T151"/>
  <c r="J151"/>
  <c r="AN150"/>
  <c r="AN154" s="1"/>
  <c r="AD150"/>
  <c r="AD154" s="1"/>
  <c r="T150"/>
  <c r="T154" s="1"/>
  <c r="J150"/>
  <c r="J154" s="1"/>
  <c r="AM149"/>
  <c r="AL149"/>
  <c r="AK149"/>
  <c r="AJ149"/>
  <c r="AI149"/>
  <c r="AH149"/>
  <c r="AG149"/>
  <c r="AF149"/>
  <c r="AC149"/>
  <c r="AB149"/>
  <c r="AA149"/>
  <c r="Z149"/>
  <c r="Y149"/>
  <c r="X149"/>
  <c r="W149"/>
  <c r="V149"/>
  <c r="S149"/>
  <c r="R149"/>
  <c r="Q149"/>
  <c r="P149"/>
  <c r="O149"/>
  <c r="N149"/>
  <c r="M149"/>
  <c r="L149"/>
  <c r="I149"/>
  <c r="H149"/>
  <c r="G149"/>
  <c r="F149"/>
  <c r="E149"/>
  <c r="D149"/>
  <c r="C149"/>
  <c r="B149"/>
  <c r="AN148"/>
  <c r="AD148"/>
  <c r="T148"/>
  <c r="J148"/>
  <c r="AN147"/>
  <c r="AD147"/>
  <c r="T147"/>
  <c r="J147"/>
  <c r="AN146"/>
  <c r="AD146"/>
  <c r="T146"/>
  <c r="J146"/>
  <c r="AN145"/>
  <c r="AN149" s="1"/>
  <c r="AD145"/>
  <c r="AD149" s="1"/>
  <c r="T145"/>
  <c r="T149" s="1"/>
  <c r="J145"/>
  <c r="J149" s="1"/>
  <c r="AM144"/>
  <c r="AL144"/>
  <c r="AK144"/>
  <c r="AJ144"/>
  <c r="AI144"/>
  <c r="AH144"/>
  <c r="AG144"/>
  <c r="AF144"/>
  <c r="AC144"/>
  <c r="AB144"/>
  <c r="AA144"/>
  <c r="Z144"/>
  <c r="Y144"/>
  <c r="X144"/>
  <c r="W144"/>
  <c r="V144"/>
  <c r="S144"/>
  <c r="R144"/>
  <c r="Q144"/>
  <c r="P144"/>
  <c r="O144"/>
  <c r="N144"/>
  <c r="M144"/>
  <c r="L144"/>
  <c r="I144"/>
  <c r="H144"/>
  <c r="G144"/>
  <c r="F144"/>
  <c r="E144"/>
  <c r="D144"/>
  <c r="C144"/>
  <c r="B144"/>
  <c r="AN143"/>
  <c r="AD143"/>
  <c r="T143"/>
  <c r="J143"/>
  <c r="AN142"/>
  <c r="AD142"/>
  <c r="T142"/>
  <c r="J142"/>
  <c r="AN141"/>
  <c r="AD141"/>
  <c r="T141"/>
  <c r="J141"/>
  <c r="AN140"/>
  <c r="AN144" s="1"/>
  <c r="AD140"/>
  <c r="AD144" s="1"/>
  <c r="T140"/>
  <c r="T144" s="1"/>
  <c r="J140"/>
  <c r="J144" s="1"/>
  <c r="AM139"/>
  <c r="AL139"/>
  <c r="AK139"/>
  <c r="AJ139"/>
  <c r="AI139"/>
  <c r="AH139"/>
  <c r="AG139"/>
  <c r="AF139"/>
  <c r="AC139"/>
  <c r="AB139"/>
  <c r="AA139"/>
  <c r="Z139"/>
  <c r="Y139"/>
  <c r="X139"/>
  <c r="W139"/>
  <c r="V139"/>
  <c r="S139"/>
  <c r="R139"/>
  <c r="Q139"/>
  <c r="P139"/>
  <c r="O139"/>
  <c r="N139"/>
  <c r="M139"/>
  <c r="L139"/>
  <c r="I139"/>
  <c r="H139"/>
  <c r="G139"/>
  <c r="F139"/>
  <c r="E139"/>
  <c r="D139"/>
  <c r="C139"/>
  <c r="B139"/>
  <c r="AN138"/>
  <c r="AD138"/>
  <c r="T138"/>
  <c r="J138"/>
  <c r="AN137"/>
  <c r="AD137"/>
  <c r="T137"/>
  <c r="J137"/>
  <c r="AN136"/>
  <c r="AD136"/>
  <c r="T136"/>
  <c r="J136"/>
  <c r="AN135"/>
  <c r="AN139" s="1"/>
  <c r="AD135"/>
  <c r="AD139" s="1"/>
  <c r="T135"/>
  <c r="T139" s="1"/>
  <c r="J135"/>
  <c r="J139" s="1"/>
  <c r="AM134"/>
  <c r="AL134"/>
  <c r="AK134"/>
  <c r="AJ134"/>
  <c r="AI134"/>
  <c r="AH134"/>
  <c r="AG134"/>
  <c r="AF134"/>
  <c r="AC134"/>
  <c r="AB134"/>
  <c r="AA134"/>
  <c r="Z134"/>
  <c r="Y134"/>
  <c r="X134"/>
  <c r="W134"/>
  <c r="V134"/>
  <c r="S134"/>
  <c r="R134"/>
  <c r="Q134"/>
  <c r="P134"/>
  <c r="O134"/>
  <c r="N134"/>
  <c r="M134"/>
  <c r="L134"/>
  <c r="I134"/>
  <c r="H134"/>
  <c r="G134"/>
  <c r="F134"/>
  <c r="E134"/>
  <c r="D134"/>
  <c r="C134"/>
  <c r="B134"/>
  <c r="AN133"/>
  <c r="AD133"/>
  <c r="T133"/>
  <c r="J133"/>
  <c r="AN132"/>
  <c r="AD132"/>
  <c r="T132"/>
  <c r="J132"/>
  <c r="AN131"/>
  <c r="AD131"/>
  <c r="T131"/>
  <c r="J131"/>
  <c r="AN130"/>
  <c r="AN134" s="1"/>
  <c r="AD130"/>
  <c r="AD134" s="1"/>
  <c r="T130"/>
  <c r="T134" s="1"/>
  <c r="J130"/>
  <c r="J134" s="1"/>
  <c r="AM129"/>
  <c r="AL129"/>
  <c r="AK129"/>
  <c r="AJ129"/>
  <c r="AI129"/>
  <c r="AH129"/>
  <c r="AG129"/>
  <c r="AF129"/>
  <c r="AC129"/>
  <c r="AB129"/>
  <c r="AA129"/>
  <c r="Z129"/>
  <c r="Y129"/>
  <c r="X129"/>
  <c r="W129"/>
  <c r="V129"/>
  <c r="S129"/>
  <c r="R129"/>
  <c r="Q129"/>
  <c r="P129"/>
  <c r="O129"/>
  <c r="N129"/>
  <c r="M129"/>
  <c r="L129"/>
  <c r="I129"/>
  <c r="H129"/>
  <c r="G129"/>
  <c r="F129"/>
  <c r="E129"/>
  <c r="D129"/>
  <c r="C129"/>
  <c r="B129"/>
  <c r="AN128"/>
  <c r="AD128"/>
  <c r="T128"/>
  <c r="J128"/>
  <c r="AN127"/>
  <c r="AD127"/>
  <c r="T127"/>
  <c r="J127"/>
  <c r="AN126"/>
  <c r="AD126"/>
  <c r="T126"/>
  <c r="J126"/>
  <c r="AN125"/>
  <c r="AN129" s="1"/>
  <c r="AD125"/>
  <c r="AD129" s="1"/>
  <c r="T125"/>
  <c r="T129" s="1"/>
  <c r="J125"/>
  <c r="J129" s="1"/>
  <c r="AM117"/>
  <c r="AL117"/>
  <c r="AK117"/>
  <c r="AJ117"/>
  <c r="AI117"/>
  <c r="AH117"/>
  <c r="AG117"/>
  <c r="AF117"/>
  <c r="AC117"/>
  <c r="AB117"/>
  <c r="AA117"/>
  <c r="Z117"/>
  <c r="Y117"/>
  <c r="X117"/>
  <c r="W117"/>
  <c r="V117"/>
  <c r="S117"/>
  <c r="R117"/>
  <c r="Q117"/>
  <c r="P117"/>
  <c r="O117"/>
  <c r="N117"/>
  <c r="M117"/>
  <c r="L117"/>
  <c r="I117"/>
  <c r="H117"/>
  <c r="G117"/>
  <c r="F117"/>
  <c r="E117"/>
  <c r="D117"/>
  <c r="C117"/>
  <c r="B117"/>
  <c r="AN116"/>
  <c r="AD116"/>
  <c r="T116"/>
  <c r="J116"/>
  <c r="AN115"/>
  <c r="AD115"/>
  <c r="T115"/>
  <c r="J115"/>
  <c r="AN114"/>
  <c r="AD114"/>
  <c r="T114"/>
  <c r="J114"/>
  <c r="AN113"/>
  <c r="AN117" s="1"/>
  <c r="AD113"/>
  <c r="AD117" s="1"/>
  <c r="T113"/>
  <c r="T117" s="1"/>
  <c r="J113"/>
  <c r="J117" s="1"/>
  <c r="AM112"/>
  <c r="AL112"/>
  <c r="AK112"/>
  <c r="AJ112"/>
  <c r="AI112"/>
  <c r="AH112"/>
  <c r="AG112"/>
  <c r="AF112"/>
  <c r="AC112"/>
  <c r="AB112"/>
  <c r="AA112"/>
  <c r="Z112"/>
  <c r="Y112"/>
  <c r="X112"/>
  <c r="W112"/>
  <c r="V112"/>
  <c r="S112"/>
  <c r="R112"/>
  <c r="Q112"/>
  <c r="P112"/>
  <c r="O112"/>
  <c r="N112"/>
  <c r="M112"/>
  <c r="L112"/>
  <c r="I112"/>
  <c r="H112"/>
  <c r="G112"/>
  <c r="F112"/>
  <c r="E112"/>
  <c r="D112"/>
  <c r="C112"/>
  <c r="B112"/>
  <c r="AN111"/>
  <c r="AD111"/>
  <c r="T111"/>
  <c r="J111"/>
  <c r="AN110"/>
  <c r="AD110"/>
  <c r="T110"/>
  <c r="J110"/>
  <c r="AN109"/>
  <c r="AD109"/>
  <c r="T109"/>
  <c r="J109"/>
  <c r="AN108"/>
  <c r="AN112" s="1"/>
  <c r="AD108"/>
  <c r="AD112" s="1"/>
  <c r="T108"/>
  <c r="T112" s="1"/>
  <c r="J108"/>
  <c r="J112" s="1"/>
  <c r="AM107"/>
  <c r="AL107"/>
  <c r="AK107"/>
  <c r="AJ107"/>
  <c r="AI107"/>
  <c r="AH107"/>
  <c r="AG107"/>
  <c r="AF107"/>
  <c r="AC107"/>
  <c r="AB107"/>
  <c r="AA107"/>
  <c r="Z107"/>
  <c r="Y107"/>
  <c r="X107"/>
  <c r="W107"/>
  <c r="V107"/>
  <c r="S107"/>
  <c r="R107"/>
  <c r="Q107"/>
  <c r="P107"/>
  <c r="O107"/>
  <c r="N107"/>
  <c r="M107"/>
  <c r="L107"/>
  <c r="I107"/>
  <c r="H107"/>
  <c r="G107"/>
  <c r="F107"/>
  <c r="E107"/>
  <c r="D107"/>
  <c r="C107"/>
  <c r="B107"/>
  <c r="AN106"/>
  <c r="AD106"/>
  <c r="T106"/>
  <c r="J106"/>
  <c r="AN105"/>
  <c r="AD105"/>
  <c r="T105"/>
  <c r="J105"/>
  <c r="AN104"/>
  <c r="AD104"/>
  <c r="T104"/>
  <c r="J104"/>
  <c r="AN103"/>
  <c r="AN107" s="1"/>
  <c r="AD103"/>
  <c r="AD107" s="1"/>
  <c r="T103"/>
  <c r="T107" s="1"/>
  <c r="J103"/>
  <c r="J107" s="1"/>
  <c r="AM102"/>
  <c r="AL102"/>
  <c r="AK102"/>
  <c r="AJ102"/>
  <c r="AI102"/>
  <c r="AH102"/>
  <c r="AG102"/>
  <c r="AF102"/>
  <c r="AC102"/>
  <c r="AB102"/>
  <c r="AA102"/>
  <c r="Z102"/>
  <c r="Y102"/>
  <c r="X102"/>
  <c r="W102"/>
  <c r="V102"/>
  <c r="S102"/>
  <c r="R102"/>
  <c r="Q102"/>
  <c r="P102"/>
  <c r="O102"/>
  <c r="N102"/>
  <c r="M102"/>
  <c r="L102"/>
  <c r="I102"/>
  <c r="H102"/>
  <c r="G102"/>
  <c r="F102"/>
  <c r="E102"/>
  <c r="D102"/>
  <c r="C102"/>
  <c r="B102"/>
  <c r="AN101"/>
  <c r="AD101"/>
  <c r="T101"/>
  <c r="J101"/>
  <c r="AN100"/>
  <c r="AD100"/>
  <c r="T100"/>
  <c r="J100"/>
  <c r="AN99"/>
  <c r="AD99"/>
  <c r="T99"/>
  <c r="J99"/>
  <c r="AN98"/>
  <c r="AN102" s="1"/>
  <c r="AD98"/>
  <c r="AD102" s="1"/>
  <c r="T98"/>
  <c r="T102" s="1"/>
  <c r="J98"/>
  <c r="J102" s="1"/>
  <c r="AM97"/>
  <c r="AL97"/>
  <c r="AK97"/>
  <c r="AJ97"/>
  <c r="AI97"/>
  <c r="AH97"/>
  <c r="AG97"/>
  <c r="AF97"/>
  <c r="AC97"/>
  <c r="AB97"/>
  <c r="AA97"/>
  <c r="Z97"/>
  <c r="Y97"/>
  <c r="X97"/>
  <c r="W97"/>
  <c r="V97"/>
  <c r="S97"/>
  <c r="R97"/>
  <c r="Q97"/>
  <c r="P97"/>
  <c r="O97"/>
  <c r="N97"/>
  <c r="M97"/>
  <c r="L97"/>
  <c r="I97"/>
  <c r="H97"/>
  <c r="G97"/>
  <c r="F97"/>
  <c r="E97"/>
  <c r="D97"/>
  <c r="C97"/>
  <c r="B97"/>
  <c r="AN96"/>
  <c r="AD96"/>
  <c r="T96"/>
  <c r="J96"/>
  <c r="AN95"/>
  <c r="AD95"/>
  <c r="T95"/>
  <c r="J95"/>
  <c r="AN94"/>
  <c r="AD94"/>
  <c r="T94"/>
  <c r="J94"/>
  <c r="AN93"/>
  <c r="AN97" s="1"/>
  <c r="AD93"/>
  <c r="AD97" s="1"/>
  <c r="T93"/>
  <c r="T97" s="1"/>
  <c r="J93"/>
  <c r="J97" s="1"/>
  <c r="AM92"/>
  <c r="AL92"/>
  <c r="AK92"/>
  <c r="AJ92"/>
  <c r="AI92"/>
  <c r="AH92"/>
  <c r="AG92"/>
  <c r="AF92"/>
  <c r="AC92"/>
  <c r="AB92"/>
  <c r="AA92"/>
  <c r="Z92"/>
  <c r="Y92"/>
  <c r="X92"/>
  <c r="W92"/>
  <c r="V92"/>
  <c r="S92"/>
  <c r="R92"/>
  <c r="Q92"/>
  <c r="P92"/>
  <c r="O92"/>
  <c r="N92"/>
  <c r="M92"/>
  <c r="L92"/>
  <c r="I92"/>
  <c r="H92"/>
  <c r="G92"/>
  <c r="F92"/>
  <c r="E92"/>
  <c r="D92"/>
  <c r="C92"/>
  <c r="B92"/>
  <c r="AN91"/>
  <c r="AD91"/>
  <c r="T91"/>
  <c r="J91"/>
  <c r="AN90"/>
  <c r="AD90"/>
  <c r="T90"/>
  <c r="J90"/>
  <c r="AN89"/>
  <c r="AD89"/>
  <c r="T89"/>
  <c r="J89"/>
  <c r="AN88"/>
  <c r="AN92" s="1"/>
  <c r="AD88"/>
  <c r="AD92" s="1"/>
  <c r="T88"/>
  <c r="T92" s="1"/>
  <c r="J88"/>
  <c r="J92" s="1"/>
  <c r="AM78"/>
  <c r="AL78"/>
  <c r="AK78"/>
  <c r="AJ78"/>
  <c r="AI78"/>
  <c r="AH78"/>
  <c r="AG78"/>
  <c r="AF78"/>
  <c r="AC78"/>
  <c r="AB78"/>
  <c r="AA78"/>
  <c r="Z78"/>
  <c r="Y78"/>
  <c r="X78"/>
  <c r="W78"/>
  <c r="V78"/>
  <c r="S78"/>
  <c r="R78"/>
  <c r="Q78"/>
  <c r="P78"/>
  <c r="O78"/>
  <c r="N78"/>
  <c r="M78"/>
  <c r="L78"/>
  <c r="I78"/>
  <c r="H78"/>
  <c r="G78"/>
  <c r="F78"/>
  <c r="E78"/>
  <c r="D78"/>
  <c r="C78"/>
  <c r="B78"/>
  <c r="AN77"/>
  <c r="AD77"/>
  <c r="T77"/>
  <c r="J77"/>
  <c r="AN76"/>
  <c r="AD76"/>
  <c r="T76"/>
  <c r="J76"/>
  <c r="AN75"/>
  <c r="AD75"/>
  <c r="T75"/>
  <c r="J75"/>
  <c r="AN74"/>
  <c r="AN78" s="1"/>
  <c r="AD74"/>
  <c r="AD78" s="1"/>
  <c r="T74"/>
  <c r="T78" s="1"/>
  <c r="J74"/>
  <c r="J78" s="1"/>
  <c r="AM73"/>
  <c r="AL73"/>
  <c r="AK73"/>
  <c r="AJ73"/>
  <c r="AI73"/>
  <c r="AH73"/>
  <c r="AG73"/>
  <c r="AF73"/>
  <c r="AC73"/>
  <c r="AB73"/>
  <c r="AA73"/>
  <c r="Z73"/>
  <c r="Y73"/>
  <c r="X73"/>
  <c r="W73"/>
  <c r="V73"/>
  <c r="S73"/>
  <c r="R73"/>
  <c r="Q73"/>
  <c r="P73"/>
  <c r="O73"/>
  <c r="N73"/>
  <c r="M73"/>
  <c r="L73"/>
  <c r="I73"/>
  <c r="H73"/>
  <c r="G73"/>
  <c r="F73"/>
  <c r="E73"/>
  <c r="D73"/>
  <c r="C73"/>
  <c r="B73"/>
  <c r="AN72"/>
  <c r="AD72"/>
  <c r="T72"/>
  <c r="J72"/>
  <c r="AN71"/>
  <c r="AD71"/>
  <c r="T71"/>
  <c r="J71"/>
  <c r="AN70"/>
  <c r="AD70"/>
  <c r="T70"/>
  <c r="J70"/>
  <c r="AN69"/>
  <c r="AN73" s="1"/>
  <c r="AD69"/>
  <c r="AD73" s="1"/>
  <c r="T69"/>
  <c r="T73" s="1"/>
  <c r="J69"/>
  <c r="J73" s="1"/>
  <c r="AM68"/>
  <c r="AL68"/>
  <c r="AK68"/>
  <c r="AJ68"/>
  <c r="AI68"/>
  <c r="AH68"/>
  <c r="AG68"/>
  <c r="AF68"/>
  <c r="AC68"/>
  <c r="AB68"/>
  <c r="AA68"/>
  <c r="Z68"/>
  <c r="Y68"/>
  <c r="X68"/>
  <c r="W68"/>
  <c r="V68"/>
  <c r="S68"/>
  <c r="R68"/>
  <c r="Q68"/>
  <c r="P68"/>
  <c r="O68"/>
  <c r="N68"/>
  <c r="M68"/>
  <c r="L68"/>
  <c r="I68"/>
  <c r="H68"/>
  <c r="G68"/>
  <c r="F68"/>
  <c r="E68"/>
  <c r="D68"/>
  <c r="C68"/>
  <c r="B68"/>
  <c r="AN67"/>
  <c r="AD67"/>
  <c r="T67"/>
  <c r="J67"/>
  <c r="AN66"/>
  <c r="AD66"/>
  <c r="T66"/>
  <c r="J66"/>
  <c r="AN65"/>
  <c r="AD65"/>
  <c r="T65"/>
  <c r="J65"/>
  <c r="AN64"/>
  <c r="AN68" s="1"/>
  <c r="AD64"/>
  <c r="AD68" s="1"/>
  <c r="T64"/>
  <c r="T68" s="1"/>
  <c r="J64"/>
  <c r="J68" s="1"/>
  <c r="AM63"/>
  <c r="AL63"/>
  <c r="AK63"/>
  <c r="AJ63"/>
  <c r="AI63"/>
  <c r="AH63"/>
  <c r="AG63"/>
  <c r="AF63"/>
  <c r="AC63"/>
  <c r="AB63"/>
  <c r="AA63"/>
  <c r="Z63"/>
  <c r="Y63"/>
  <c r="X63"/>
  <c r="W63"/>
  <c r="V63"/>
  <c r="S63"/>
  <c r="R63"/>
  <c r="Q63"/>
  <c r="P63"/>
  <c r="O63"/>
  <c r="N63"/>
  <c r="M63"/>
  <c r="L63"/>
  <c r="I63"/>
  <c r="H63"/>
  <c r="G63"/>
  <c r="F63"/>
  <c r="E63"/>
  <c r="D63"/>
  <c r="C63"/>
  <c r="B63"/>
  <c r="AN62"/>
  <c r="AD62"/>
  <c r="T62"/>
  <c r="J62"/>
  <c r="AN61"/>
  <c r="AD61"/>
  <c r="T61"/>
  <c r="J61"/>
  <c r="AN60"/>
  <c r="AD60"/>
  <c r="T60"/>
  <c r="J60"/>
  <c r="AN59"/>
  <c r="AN63" s="1"/>
  <c r="AD59"/>
  <c r="AD63" s="1"/>
  <c r="T59"/>
  <c r="T63" s="1"/>
  <c r="J59"/>
  <c r="J63" s="1"/>
  <c r="AM58"/>
  <c r="AL58"/>
  <c r="AK58"/>
  <c r="AJ58"/>
  <c r="AI58"/>
  <c r="AH58"/>
  <c r="AG58"/>
  <c r="AF58"/>
  <c r="AC58"/>
  <c r="AB58"/>
  <c r="AA58"/>
  <c r="Z58"/>
  <c r="Y58"/>
  <c r="X58"/>
  <c r="W58"/>
  <c r="V58"/>
  <c r="S58"/>
  <c r="R58"/>
  <c r="Q58"/>
  <c r="P58"/>
  <c r="O58"/>
  <c r="N58"/>
  <c r="M58"/>
  <c r="L58"/>
  <c r="I58"/>
  <c r="H58"/>
  <c r="G58"/>
  <c r="F58"/>
  <c r="E58"/>
  <c r="D58"/>
  <c r="C58"/>
  <c r="B58"/>
  <c r="AN57"/>
  <c r="AD57"/>
  <c r="T57"/>
  <c r="J57"/>
  <c r="AN56"/>
  <c r="AD56"/>
  <c r="T56"/>
  <c r="J56"/>
  <c r="AN55"/>
  <c r="AD55"/>
  <c r="T55"/>
  <c r="J55"/>
  <c r="AN54"/>
  <c r="AN58" s="1"/>
  <c r="AD54"/>
  <c r="AD58" s="1"/>
  <c r="T54"/>
  <c r="T58" s="1"/>
  <c r="J54"/>
  <c r="J58" s="1"/>
  <c r="AM53"/>
  <c r="AL53"/>
  <c r="AK53"/>
  <c r="AJ53"/>
  <c r="AI53"/>
  <c r="AH53"/>
  <c r="AG53"/>
  <c r="AF53"/>
  <c r="AC53"/>
  <c r="AB53"/>
  <c r="AA53"/>
  <c r="Z53"/>
  <c r="Y53"/>
  <c r="X53"/>
  <c r="W53"/>
  <c r="V53"/>
  <c r="S53"/>
  <c r="R53"/>
  <c r="Q53"/>
  <c r="P53"/>
  <c r="O53"/>
  <c r="N53"/>
  <c r="M53"/>
  <c r="L53"/>
  <c r="I53"/>
  <c r="H53"/>
  <c r="G53"/>
  <c r="F53"/>
  <c r="E53"/>
  <c r="D53"/>
  <c r="C53"/>
  <c r="B53"/>
  <c r="AN52"/>
  <c r="AD52"/>
  <c r="T52"/>
  <c r="J52"/>
  <c r="AN51"/>
  <c r="AD51"/>
  <c r="T51"/>
  <c r="J51"/>
  <c r="AN50"/>
  <c r="AD50"/>
  <c r="T50"/>
  <c r="J50"/>
  <c r="AN49"/>
  <c r="AN53" s="1"/>
  <c r="AD49"/>
  <c r="AD53" s="1"/>
  <c r="T49"/>
  <c r="T53" s="1"/>
  <c r="J49"/>
  <c r="J53" s="1"/>
  <c r="AM41"/>
  <c r="AL41"/>
  <c r="AK41"/>
  <c r="AJ41"/>
  <c r="AI41"/>
  <c r="AH41"/>
  <c r="AG41"/>
  <c r="AF41"/>
  <c r="AC41"/>
  <c r="AB41"/>
  <c r="AA41"/>
  <c r="Z41"/>
  <c r="Y41"/>
  <c r="X41"/>
  <c r="W41"/>
  <c r="V41"/>
  <c r="S41"/>
  <c r="R41"/>
  <c r="Q41"/>
  <c r="P41"/>
  <c r="O41"/>
  <c r="N41"/>
  <c r="M41"/>
  <c r="L41"/>
  <c r="I41"/>
  <c r="H41"/>
  <c r="G41"/>
  <c r="F41"/>
  <c r="E41"/>
  <c r="D41"/>
  <c r="C41"/>
  <c r="B41"/>
  <c r="AN40"/>
  <c r="AD40"/>
  <c r="T40"/>
  <c r="J40"/>
  <c r="AN39"/>
  <c r="AD39"/>
  <c r="T39"/>
  <c r="J39"/>
  <c r="AN38"/>
  <c r="AD38"/>
  <c r="T38"/>
  <c r="J38"/>
  <c r="AN37"/>
  <c r="AN41" s="1"/>
  <c r="AD37"/>
  <c r="AD41" s="1"/>
  <c r="T37"/>
  <c r="T41" s="1"/>
  <c r="J37"/>
  <c r="J41" s="1"/>
  <c r="AM36"/>
  <c r="AL36"/>
  <c r="AK36"/>
  <c r="AJ36"/>
  <c r="AI36"/>
  <c r="AH36"/>
  <c r="AG36"/>
  <c r="AF36"/>
  <c r="AC36"/>
  <c r="AB36"/>
  <c r="AA36"/>
  <c r="Z36"/>
  <c r="Y36"/>
  <c r="X36"/>
  <c r="W36"/>
  <c r="V36"/>
  <c r="S36"/>
  <c r="R36"/>
  <c r="Q36"/>
  <c r="P36"/>
  <c r="O36"/>
  <c r="N36"/>
  <c r="M36"/>
  <c r="L36"/>
  <c r="I36"/>
  <c r="H36"/>
  <c r="G36"/>
  <c r="F36"/>
  <c r="E36"/>
  <c r="D36"/>
  <c r="C36"/>
  <c r="B36"/>
  <c r="AN35"/>
  <c r="AD35"/>
  <c r="T35"/>
  <c r="J35"/>
  <c r="AN34"/>
  <c r="AD34"/>
  <c r="T34"/>
  <c r="J34"/>
  <c r="AN33"/>
  <c r="AD33"/>
  <c r="T33"/>
  <c r="J33"/>
  <c r="AN32"/>
  <c r="AN36" s="1"/>
  <c r="AD32"/>
  <c r="AD36" s="1"/>
  <c r="T32"/>
  <c r="T36" s="1"/>
  <c r="J32"/>
  <c r="J36" s="1"/>
  <c r="AM31"/>
  <c r="AL31"/>
  <c r="AK31"/>
  <c r="AJ31"/>
  <c r="AI31"/>
  <c r="AH31"/>
  <c r="AG31"/>
  <c r="AF31"/>
  <c r="AC31"/>
  <c r="AB31"/>
  <c r="AA31"/>
  <c r="Z31"/>
  <c r="Y31"/>
  <c r="X31"/>
  <c r="W31"/>
  <c r="V31"/>
  <c r="S31"/>
  <c r="R31"/>
  <c r="Q31"/>
  <c r="P31"/>
  <c r="O31"/>
  <c r="N31"/>
  <c r="M31"/>
  <c r="L31"/>
  <c r="I31"/>
  <c r="H31"/>
  <c r="G31"/>
  <c r="F31"/>
  <c r="E31"/>
  <c r="D31"/>
  <c r="C31"/>
  <c r="B31"/>
  <c r="AN30"/>
  <c r="AD30"/>
  <c r="T30"/>
  <c r="J30"/>
  <c r="AN29"/>
  <c r="AD29"/>
  <c r="T29"/>
  <c r="J29"/>
  <c r="AN28"/>
  <c r="AD28"/>
  <c r="T28"/>
  <c r="J28"/>
  <c r="AN27"/>
  <c r="AN31" s="1"/>
  <c r="AD27"/>
  <c r="AD31" s="1"/>
  <c r="T27"/>
  <c r="T31" s="1"/>
  <c r="J27"/>
  <c r="J31" s="1"/>
  <c r="AM26"/>
  <c r="AL26"/>
  <c r="AK26"/>
  <c r="AJ26"/>
  <c r="AI26"/>
  <c r="AH26"/>
  <c r="AG26"/>
  <c r="AF26"/>
  <c r="AC26"/>
  <c r="AB26"/>
  <c r="AA26"/>
  <c r="Z26"/>
  <c r="Y26"/>
  <c r="X26"/>
  <c r="W26"/>
  <c r="V26"/>
  <c r="S26"/>
  <c r="R26"/>
  <c r="Q26"/>
  <c r="P26"/>
  <c r="O26"/>
  <c r="N26"/>
  <c r="M26"/>
  <c r="L26"/>
  <c r="I26"/>
  <c r="H26"/>
  <c r="G26"/>
  <c r="F26"/>
  <c r="E26"/>
  <c r="D26"/>
  <c r="C26"/>
  <c r="B26"/>
  <c r="AN25"/>
  <c r="AD25"/>
  <c r="T25"/>
  <c r="J25"/>
  <c r="AN24"/>
  <c r="AD24"/>
  <c r="T24"/>
  <c r="J24"/>
  <c r="AN23"/>
  <c r="AD23"/>
  <c r="T23"/>
  <c r="J23"/>
  <c r="AN22"/>
  <c r="AN26" s="1"/>
  <c r="AD22"/>
  <c r="AD26" s="1"/>
  <c r="T22"/>
  <c r="T26" s="1"/>
  <c r="J22"/>
  <c r="J26" s="1"/>
  <c r="AM21"/>
  <c r="AL21"/>
  <c r="AK21"/>
  <c r="AJ21"/>
  <c r="AI21"/>
  <c r="AH21"/>
  <c r="AG21"/>
  <c r="AF21"/>
  <c r="AC21"/>
  <c r="AB21"/>
  <c r="AA21"/>
  <c r="Z21"/>
  <c r="Y21"/>
  <c r="X21"/>
  <c r="W21"/>
  <c r="V21"/>
  <c r="S21"/>
  <c r="R21"/>
  <c r="Q21"/>
  <c r="P21"/>
  <c r="O21"/>
  <c r="N21"/>
  <c r="M21"/>
  <c r="L21"/>
  <c r="I21"/>
  <c r="H21"/>
  <c r="G21"/>
  <c r="F21"/>
  <c r="E21"/>
  <c r="D21"/>
  <c r="C21"/>
  <c r="B21"/>
  <c r="AN20"/>
  <c r="AD20"/>
  <c r="T20"/>
  <c r="J20"/>
  <c r="AN19"/>
  <c r="AD19"/>
  <c r="T19"/>
  <c r="J19"/>
  <c r="AN18"/>
  <c r="AD18"/>
  <c r="T18"/>
  <c r="J18"/>
  <c r="AN17"/>
  <c r="AN21" s="1"/>
  <c r="AD17"/>
  <c r="AD21" s="1"/>
  <c r="T17"/>
  <c r="T21" s="1"/>
  <c r="J17"/>
  <c r="J21" s="1"/>
  <c r="AM16"/>
  <c r="AL16"/>
  <c r="AK16"/>
  <c r="AJ16"/>
  <c r="AI16"/>
  <c r="AH16"/>
  <c r="AG16"/>
  <c r="AF16"/>
  <c r="AC16"/>
  <c r="AB16"/>
  <c r="AA16"/>
  <c r="Z16"/>
  <c r="Y16"/>
  <c r="X16"/>
  <c r="W16"/>
  <c r="V16"/>
  <c r="S16"/>
  <c r="R16"/>
  <c r="Q16"/>
  <c r="P16"/>
  <c r="O16"/>
  <c r="N16"/>
  <c r="M16"/>
  <c r="L16"/>
  <c r="I16"/>
  <c r="H16"/>
  <c r="G16"/>
  <c r="F16"/>
  <c r="E16"/>
  <c r="D16"/>
  <c r="C16"/>
  <c r="B16"/>
  <c r="AN15"/>
  <c r="AD15"/>
  <c r="T15"/>
  <c r="J15"/>
  <c r="AN14"/>
  <c r="AD14"/>
  <c r="T14"/>
  <c r="J14"/>
  <c r="AN13"/>
  <c r="AD13"/>
  <c r="T13"/>
  <c r="J13"/>
  <c r="AN12"/>
  <c r="AN16" s="1"/>
  <c r="AD12"/>
  <c r="AD16" s="1"/>
  <c r="T12"/>
  <c r="T16" s="1"/>
  <c r="J12"/>
  <c r="J16" s="1"/>
  <c r="N3"/>
  <c r="N4"/>
  <c r="N5" i="8"/>
  <c r="N4"/>
  <c r="N3"/>
  <c r="N2"/>
  <c r="B8"/>
  <c r="F13"/>
  <c r="I13"/>
  <c r="L13"/>
  <c r="N13"/>
  <c r="F14"/>
  <c r="I14"/>
  <c r="L14"/>
  <c r="N14"/>
  <c r="F15"/>
  <c r="I15"/>
  <c r="L15"/>
  <c r="N15"/>
  <c r="F16"/>
  <c r="I16"/>
  <c r="L16"/>
  <c r="N16"/>
  <c r="F17"/>
  <c r="I17"/>
  <c r="L17"/>
  <c r="N17"/>
  <c r="F18"/>
  <c r="I18"/>
  <c r="L18"/>
  <c r="N18"/>
  <c r="F19"/>
  <c r="I19"/>
  <c r="L19"/>
  <c r="N19"/>
  <c r="F20"/>
  <c r="I20"/>
  <c r="L20"/>
  <c r="N20"/>
  <c r="F21"/>
  <c r="I21"/>
  <c r="L21"/>
  <c r="N21"/>
  <c r="F22"/>
  <c r="I22"/>
  <c r="L22"/>
  <c r="N22"/>
  <c r="F23"/>
  <c r="I23"/>
  <c r="L23"/>
  <c r="N23"/>
  <c r="F24"/>
  <c r="I24"/>
  <c r="L24"/>
  <c r="N24"/>
  <c r="F25"/>
  <c r="I25"/>
  <c r="L25"/>
  <c r="N25"/>
  <c r="F26"/>
  <c r="I26"/>
  <c r="L26"/>
  <c r="N26"/>
  <c r="F27"/>
  <c r="I27"/>
  <c r="L27"/>
  <c r="N27"/>
  <c r="F28"/>
  <c r="I28"/>
  <c r="L28"/>
  <c r="N28"/>
  <c r="F29"/>
  <c r="I29"/>
  <c r="L29"/>
  <c r="N29"/>
  <c r="F30"/>
  <c r="I30"/>
  <c r="L30"/>
  <c r="N30"/>
  <c r="F31"/>
  <c r="I31"/>
  <c r="L31"/>
  <c r="N31"/>
  <c r="F32"/>
  <c r="I32"/>
  <c r="L32"/>
  <c r="N32"/>
  <c r="F33"/>
  <c r="I33"/>
  <c r="L33"/>
  <c r="N33"/>
  <c r="F34"/>
  <c r="I34"/>
  <c r="L34"/>
  <c r="N34"/>
  <c r="F35"/>
  <c r="I35"/>
  <c r="L35"/>
  <c r="N35"/>
  <c r="F36"/>
  <c r="I36"/>
  <c r="L36"/>
  <c r="N36"/>
  <c r="F37"/>
  <c r="I37"/>
  <c r="L37"/>
  <c r="N37"/>
  <c r="F38"/>
  <c r="I38"/>
  <c r="L38"/>
  <c r="N38"/>
  <c r="F39"/>
  <c r="I39"/>
  <c r="L39"/>
  <c r="N39"/>
  <c r="F40"/>
  <c r="I40"/>
  <c r="L40"/>
  <c r="N40"/>
  <c r="F41"/>
  <c r="I41"/>
  <c r="L41"/>
  <c r="N41"/>
  <c r="F42"/>
  <c r="I42"/>
  <c r="L42"/>
  <c r="N42"/>
  <c r="B44"/>
  <c r="C44"/>
  <c r="E44"/>
  <c r="F44"/>
  <c r="H44"/>
  <c r="I44"/>
  <c r="K44"/>
  <c r="L44"/>
  <c r="N44"/>
  <c r="B46"/>
  <c r="C51"/>
  <c r="F51"/>
  <c r="I51"/>
  <c r="L51"/>
  <c r="N51"/>
  <c r="C52"/>
  <c r="F52"/>
  <c r="I52"/>
  <c r="L52"/>
  <c r="N52"/>
  <c r="C53"/>
  <c r="F53"/>
  <c r="I53"/>
  <c r="L53"/>
  <c r="N53"/>
  <c r="C54"/>
  <c r="F54"/>
  <c r="I54"/>
  <c r="L54"/>
  <c r="N54"/>
  <c r="C55"/>
  <c r="F55"/>
  <c r="I55"/>
  <c r="L55"/>
  <c r="N55"/>
  <c r="C56"/>
  <c r="F56"/>
  <c r="I56"/>
  <c r="L56"/>
  <c r="N56"/>
  <c r="C57"/>
  <c r="F57"/>
  <c r="I57"/>
  <c r="L57"/>
  <c r="N57"/>
  <c r="C58"/>
  <c r="F58"/>
  <c r="I58"/>
  <c r="L58"/>
  <c r="N58"/>
  <c r="C59"/>
  <c r="F59"/>
  <c r="I59"/>
  <c r="L59"/>
  <c r="N59"/>
  <c r="C60"/>
  <c r="F60"/>
  <c r="I60"/>
  <c r="L60"/>
  <c r="N60"/>
  <c r="C61"/>
  <c r="F61"/>
  <c r="I61"/>
  <c r="L61"/>
  <c r="N61"/>
  <c r="C62"/>
  <c r="F62"/>
  <c r="I62"/>
  <c r="L62"/>
  <c r="N62"/>
  <c r="C63"/>
  <c r="F63"/>
  <c r="I63"/>
  <c r="L63"/>
  <c r="N63"/>
  <c r="C64"/>
  <c r="F64"/>
  <c r="I64"/>
  <c r="L64"/>
  <c r="N64"/>
  <c r="C65"/>
  <c r="F65"/>
  <c r="I65"/>
  <c r="L65"/>
  <c r="N65"/>
  <c r="C66"/>
  <c r="F66"/>
  <c r="I66"/>
  <c r="L66"/>
  <c r="N66"/>
  <c r="C67"/>
  <c r="F67"/>
  <c r="I67"/>
  <c r="L67"/>
  <c r="N67"/>
  <c r="C68"/>
  <c r="F68"/>
  <c r="I68"/>
  <c r="L68"/>
  <c r="N68"/>
  <c r="C69"/>
  <c r="F69"/>
  <c r="I69"/>
  <c r="L69"/>
  <c r="N69"/>
  <c r="C70"/>
  <c r="F70"/>
  <c r="I70"/>
  <c r="L70"/>
  <c r="N70"/>
  <c r="C71"/>
  <c r="F71"/>
  <c r="I71"/>
  <c r="L71"/>
  <c r="N71"/>
  <c r="C72"/>
  <c r="F72"/>
  <c r="I72"/>
  <c r="L72"/>
  <c r="N72"/>
  <c r="C73"/>
  <c r="F73"/>
  <c r="I73"/>
  <c r="L73"/>
  <c r="N73"/>
  <c r="C74"/>
  <c r="F74"/>
  <c r="I74"/>
  <c r="L74"/>
  <c r="N74"/>
  <c r="C75"/>
  <c r="F75"/>
  <c r="I75"/>
  <c r="L75"/>
  <c r="N75"/>
  <c r="C76"/>
  <c r="F76"/>
  <c r="I76"/>
  <c r="L76"/>
  <c r="N76"/>
  <c r="C77"/>
  <c r="F77"/>
  <c r="I77"/>
  <c r="L77"/>
  <c r="N77"/>
  <c r="C78"/>
  <c r="F78"/>
  <c r="I78"/>
  <c r="L78"/>
  <c r="N78"/>
  <c r="C79"/>
  <c r="F79"/>
  <c r="I79"/>
  <c r="L79"/>
  <c r="N79"/>
  <c r="C80"/>
  <c r="F80"/>
  <c r="I80"/>
  <c r="L80"/>
  <c r="N80"/>
  <c r="B82"/>
  <c r="C82"/>
  <c r="E82"/>
  <c r="F82"/>
  <c r="H82"/>
  <c r="I82"/>
  <c r="K82"/>
  <c r="L82"/>
  <c r="N82"/>
  <c r="B84"/>
  <c r="C84"/>
  <c r="E84"/>
  <c r="F84"/>
  <c r="H84"/>
  <c r="I84"/>
  <c r="K84"/>
  <c r="L84"/>
  <c r="N84"/>
  <c r="B86"/>
  <c r="C91"/>
  <c r="F91"/>
  <c r="I91"/>
  <c r="L91"/>
  <c r="N91"/>
  <c r="C92"/>
  <c r="F92"/>
  <c r="I92"/>
  <c r="L92"/>
  <c r="N92"/>
  <c r="C93"/>
  <c r="F93"/>
  <c r="I93"/>
  <c r="L93"/>
  <c r="N93"/>
  <c r="C94"/>
  <c r="F94"/>
  <c r="I94"/>
  <c r="L94"/>
  <c r="N94"/>
  <c r="C95"/>
  <c r="F95"/>
  <c r="I95"/>
  <c r="L95"/>
  <c r="N95"/>
  <c r="C96"/>
  <c r="F96"/>
  <c r="I96"/>
  <c r="L96"/>
  <c r="N96"/>
  <c r="C97"/>
  <c r="F97"/>
  <c r="I97"/>
  <c r="L97"/>
  <c r="N97"/>
  <c r="C98"/>
  <c r="F98"/>
  <c r="I98"/>
  <c r="L98"/>
  <c r="N98"/>
  <c r="C99"/>
  <c r="F99"/>
  <c r="I99"/>
  <c r="L99"/>
  <c r="N99"/>
  <c r="C100"/>
  <c r="F100"/>
  <c r="I100"/>
  <c r="L100"/>
  <c r="N100"/>
  <c r="C101"/>
  <c r="F101"/>
  <c r="I101"/>
  <c r="L101"/>
  <c r="N101"/>
  <c r="C102"/>
  <c r="F102"/>
  <c r="I102"/>
  <c r="L102"/>
  <c r="N102"/>
  <c r="C103"/>
  <c r="F103"/>
  <c r="I103"/>
  <c r="L103"/>
  <c r="N103"/>
  <c r="C104"/>
  <c r="F104"/>
  <c r="I104"/>
  <c r="L104"/>
  <c r="N104"/>
  <c r="C105"/>
  <c r="F105"/>
  <c r="I105"/>
  <c r="L105"/>
  <c r="N105"/>
  <c r="C106"/>
  <c r="F106"/>
  <c r="I106"/>
  <c r="L106"/>
  <c r="N106"/>
  <c r="C107"/>
  <c r="F107"/>
  <c r="I107"/>
  <c r="L107"/>
  <c r="N107"/>
  <c r="C108"/>
  <c r="F108"/>
  <c r="I108"/>
  <c r="L108"/>
  <c r="N108"/>
  <c r="C109"/>
  <c r="F109"/>
  <c r="I109"/>
  <c r="L109"/>
  <c r="N109"/>
  <c r="C110"/>
  <c r="F110"/>
  <c r="I110"/>
  <c r="L110"/>
  <c r="N110"/>
  <c r="C111"/>
  <c r="F111"/>
  <c r="I111"/>
  <c r="L111"/>
  <c r="N111"/>
  <c r="C112"/>
  <c r="F112"/>
  <c r="I112"/>
  <c r="L112"/>
  <c r="N112"/>
  <c r="C113"/>
  <c r="F113"/>
  <c r="I113"/>
  <c r="L113"/>
  <c r="N113"/>
  <c r="C114"/>
  <c r="F114"/>
  <c r="I114"/>
  <c r="L114"/>
  <c r="N114"/>
  <c r="C115"/>
  <c r="F115"/>
  <c r="I115"/>
  <c r="L115"/>
  <c r="N115"/>
  <c r="C116"/>
  <c r="F116"/>
  <c r="I116"/>
  <c r="L116"/>
  <c r="N116"/>
  <c r="C117"/>
  <c r="F117"/>
  <c r="I117"/>
  <c r="L117"/>
  <c r="N117"/>
  <c r="C118"/>
  <c r="F118"/>
  <c r="I118"/>
  <c r="L118"/>
  <c r="N118"/>
  <c r="C119"/>
  <c r="F119"/>
  <c r="I119"/>
  <c r="L119"/>
  <c r="N119"/>
  <c r="C120"/>
  <c r="F120"/>
  <c r="I120"/>
  <c r="L120"/>
  <c r="N120"/>
  <c r="B122"/>
  <c r="C122"/>
  <c r="E122"/>
  <c r="F122"/>
  <c r="H122"/>
  <c r="I122"/>
  <c r="K122"/>
  <c r="L122"/>
  <c r="N122"/>
  <c r="B124"/>
  <c r="C129"/>
  <c r="F129"/>
  <c r="I129"/>
  <c r="L129"/>
  <c r="N129"/>
  <c r="C130"/>
  <c r="F130"/>
  <c r="I130"/>
  <c r="L130"/>
  <c r="N130"/>
  <c r="C131"/>
  <c r="F131"/>
  <c r="I131"/>
  <c r="L131"/>
  <c r="N131"/>
  <c r="C132"/>
  <c r="F132"/>
  <c r="I132"/>
  <c r="L132"/>
  <c r="N132"/>
  <c r="C133"/>
  <c r="F133"/>
  <c r="I133"/>
  <c r="L133"/>
  <c r="N133"/>
  <c r="C134"/>
  <c r="F134"/>
  <c r="I134"/>
  <c r="L134"/>
  <c r="N134"/>
  <c r="C135"/>
  <c r="F135"/>
  <c r="I135"/>
  <c r="L135"/>
  <c r="N135"/>
  <c r="C136"/>
  <c r="F136"/>
  <c r="I136"/>
  <c r="L136"/>
  <c r="N136"/>
  <c r="C137"/>
  <c r="F137"/>
  <c r="I137"/>
  <c r="L137"/>
  <c r="N137"/>
  <c r="C138"/>
  <c r="F138"/>
  <c r="I138"/>
  <c r="L138"/>
  <c r="N138"/>
  <c r="C139"/>
  <c r="F139"/>
  <c r="I139"/>
  <c r="L139"/>
  <c r="N139"/>
  <c r="C140"/>
  <c r="F140"/>
  <c r="I140"/>
  <c r="L140"/>
  <c r="N140"/>
  <c r="C141"/>
  <c r="F141"/>
  <c r="I141"/>
  <c r="L141"/>
  <c r="N141"/>
  <c r="C142"/>
  <c r="F142"/>
  <c r="I142"/>
  <c r="L142"/>
  <c r="N142"/>
  <c r="C143"/>
  <c r="F143"/>
  <c r="I143"/>
  <c r="L143"/>
  <c r="N143"/>
  <c r="C144"/>
  <c r="F144"/>
  <c r="I144"/>
  <c r="L144"/>
  <c r="N144"/>
  <c r="C145"/>
  <c r="F145"/>
  <c r="I145"/>
  <c r="L145"/>
  <c r="N145"/>
  <c r="C146"/>
  <c r="F146"/>
  <c r="I146"/>
  <c r="L146"/>
  <c r="N146"/>
  <c r="C147"/>
  <c r="F147"/>
  <c r="I147"/>
  <c r="L147"/>
  <c r="N147"/>
  <c r="C148"/>
  <c r="F148"/>
  <c r="I148"/>
  <c r="L148"/>
  <c r="N148"/>
  <c r="C149"/>
  <c r="F149"/>
  <c r="I149"/>
  <c r="L149"/>
  <c r="N149"/>
  <c r="C150"/>
  <c r="F150"/>
  <c r="I150"/>
  <c r="L150"/>
  <c r="N150"/>
  <c r="C151"/>
  <c r="F151"/>
  <c r="I151"/>
  <c r="L151"/>
  <c r="N151"/>
  <c r="C152"/>
  <c r="F152"/>
  <c r="I152"/>
  <c r="L152"/>
  <c r="N152"/>
  <c r="C153"/>
  <c r="F153"/>
  <c r="I153"/>
  <c r="L153"/>
  <c r="N153"/>
  <c r="C154"/>
  <c r="F154"/>
  <c r="I154"/>
  <c r="L154"/>
  <c r="N154"/>
  <c r="C155"/>
  <c r="F155"/>
  <c r="I155"/>
  <c r="L155"/>
  <c r="N155"/>
  <c r="C156"/>
  <c r="F156"/>
  <c r="I156"/>
  <c r="L156"/>
  <c r="N156"/>
  <c r="C157"/>
  <c r="F157"/>
  <c r="I157"/>
  <c r="L157"/>
  <c r="N157"/>
  <c r="C158"/>
  <c r="F158"/>
  <c r="I158"/>
  <c r="L158"/>
  <c r="N158"/>
  <c r="B160"/>
  <c r="C160"/>
  <c r="E160"/>
  <c r="F160"/>
  <c r="H160"/>
  <c r="I160"/>
  <c r="K160"/>
  <c r="L160"/>
  <c r="N160"/>
  <c r="B162"/>
  <c r="C162"/>
  <c r="E162"/>
  <c r="F162"/>
  <c r="H162"/>
  <c r="I162"/>
  <c r="K162"/>
  <c r="L162"/>
  <c r="N162"/>
  <c r="B164"/>
  <c r="C169"/>
  <c r="F169"/>
  <c r="I169"/>
  <c r="L169"/>
  <c r="N169"/>
  <c r="C170"/>
  <c r="F170"/>
  <c r="I170"/>
  <c r="L170"/>
  <c r="N170"/>
  <c r="C171"/>
  <c r="F171"/>
  <c r="I171"/>
  <c r="L171"/>
  <c r="N171"/>
  <c r="C172"/>
  <c r="F172"/>
  <c r="I172"/>
  <c r="L172"/>
  <c r="N172"/>
  <c r="C173"/>
  <c r="F173"/>
  <c r="I173"/>
  <c r="L173"/>
  <c r="N173"/>
  <c r="C174"/>
  <c r="F174"/>
  <c r="I174"/>
  <c r="L174"/>
  <c r="N174"/>
  <c r="C175"/>
  <c r="F175"/>
  <c r="I175"/>
  <c r="L175"/>
  <c r="N175"/>
  <c r="C176"/>
  <c r="F176"/>
  <c r="I176"/>
  <c r="L176"/>
  <c r="N176"/>
  <c r="C177"/>
  <c r="F177"/>
  <c r="I177"/>
  <c r="L177"/>
  <c r="N177"/>
  <c r="C178"/>
  <c r="F178"/>
  <c r="I178"/>
  <c r="L178"/>
  <c r="N178"/>
  <c r="C179"/>
  <c r="F179"/>
  <c r="I179"/>
  <c r="L179"/>
  <c r="N179"/>
  <c r="C180"/>
  <c r="F180"/>
  <c r="I180"/>
  <c r="L180"/>
  <c r="N180"/>
  <c r="C181"/>
  <c r="F181"/>
  <c r="I181"/>
  <c r="L181"/>
  <c r="N181"/>
  <c r="C182"/>
  <c r="F182"/>
  <c r="I182"/>
  <c r="L182"/>
  <c r="N182"/>
  <c r="C183"/>
  <c r="F183"/>
  <c r="I183"/>
  <c r="L183"/>
  <c r="N183"/>
  <c r="C184"/>
  <c r="F184"/>
  <c r="I184"/>
  <c r="L184"/>
  <c r="N184"/>
  <c r="C185"/>
  <c r="F185"/>
  <c r="I185"/>
  <c r="L185"/>
  <c r="N185"/>
  <c r="C186"/>
  <c r="F186"/>
  <c r="I186"/>
  <c r="L186"/>
  <c r="N186"/>
  <c r="C187"/>
  <c r="F187"/>
  <c r="I187"/>
  <c r="L187"/>
  <c r="N187"/>
  <c r="C188"/>
  <c r="F188"/>
  <c r="I188"/>
  <c r="L188"/>
  <c r="N188"/>
  <c r="C189"/>
  <c r="F189"/>
  <c r="I189"/>
  <c r="L189"/>
  <c r="N189"/>
  <c r="C190"/>
  <c r="F190"/>
  <c r="I190"/>
  <c r="L190"/>
  <c r="N190"/>
  <c r="C191"/>
  <c r="F191"/>
  <c r="I191"/>
  <c r="L191"/>
  <c r="N191"/>
  <c r="C192"/>
  <c r="F192"/>
  <c r="I192"/>
  <c r="L192"/>
  <c r="N192"/>
  <c r="C193"/>
  <c r="F193"/>
  <c r="I193"/>
  <c r="L193"/>
  <c r="N193"/>
  <c r="C194"/>
  <c r="F194"/>
  <c r="I194"/>
  <c r="L194"/>
  <c r="N194"/>
  <c r="C195"/>
  <c r="F195"/>
  <c r="I195"/>
  <c r="L195"/>
  <c r="N195"/>
  <c r="C196"/>
  <c r="F196"/>
  <c r="I196"/>
  <c r="L196"/>
  <c r="N196"/>
  <c r="C197"/>
  <c r="F197"/>
  <c r="I197"/>
  <c r="L197"/>
  <c r="N197"/>
  <c r="C198"/>
  <c r="F198"/>
  <c r="I198"/>
  <c r="L198"/>
  <c r="N198"/>
  <c r="B200"/>
  <c r="C200"/>
  <c r="E200"/>
  <c r="F200"/>
  <c r="H200"/>
  <c r="I200"/>
  <c r="K200"/>
  <c r="L200"/>
  <c r="N200"/>
  <c r="B202"/>
  <c r="C207"/>
  <c r="F207"/>
  <c r="I207"/>
  <c r="L207"/>
  <c r="N207"/>
  <c r="C208"/>
  <c r="F208"/>
  <c r="I208"/>
  <c r="L208"/>
  <c r="N208"/>
  <c r="C209"/>
  <c r="F209"/>
  <c r="I209"/>
  <c r="L209"/>
  <c r="N209"/>
  <c r="C210"/>
  <c r="F210"/>
  <c r="I210"/>
  <c r="L210"/>
  <c r="N210"/>
  <c r="C211"/>
  <c r="F211"/>
  <c r="I211"/>
  <c r="L211"/>
  <c r="N211"/>
  <c r="C212"/>
  <c r="F212"/>
  <c r="I212"/>
  <c r="L212"/>
  <c r="N212"/>
  <c r="C213"/>
  <c r="F213"/>
  <c r="I213"/>
  <c r="L213"/>
  <c r="N213"/>
  <c r="C214"/>
  <c r="F214"/>
  <c r="I214"/>
  <c r="L214"/>
  <c r="N214"/>
  <c r="C215"/>
  <c r="F215"/>
  <c r="I215"/>
  <c r="L215"/>
  <c r="N215"/>
  <c r="C216"/>
  <c r="F216"/>
  <c r="I216"/>
  <c r="L216"/>
  <c r="N216"/>
  <c r="C217"/>
  <c r="F217"/>
  <c r="I217"/>
  <c r="L217"/>
  <c r="N217"/>
  <c r="C218"/>
  <c r="F218"/>
  <c r="I218"/>
  <c r="L218"/>
  <c r="N218"/>
  <c r="C219"/>
  <c r="F219"/>
  <c r="I219"/>
  <c r="L219"/>
  <c r="N219"/>
  <c r="C220"/>
  <c r="F220"/>
  <c r="I220"/>
  <c r="L220"/>
  <c r="N220"/>
  <c r="C221"/>
  <c r="F221"/>
  <c r="I221"/>
  <c r="L221"/>
  <c r="N221"/>
  <c r="C222"/>
  <c r="F222"/>
  <c r="I222"/>
  <c r="L222"/>
  <c r="N222"/>
  <c r="C223"/>
  <c r="F223"/>
  <c r="I223"/>
  <c r="L223"/>
  <c r="N223"/>
  <c r="C224"/>
  <c r="F224"/>
  <c r="I224"/>
  <c r="L224"/>
  <c r="N224"/>
  <c r="C225"/>
  <c r="F225"/>
  <c r="I225"/>
  <c r="L225"/>
  <c r="N225"/>
  <c r="C226"/>
  <c r="F226"/>
  <c r="I226"/>
  <c r="L226"/>
  <c r="N226"/>
  <c r="C227"/>
  <c r="F227"/>
  <c r="I227"/>
  <c r="L227"/>
  <c r="N227"/>
  <c r="C228"/>
  <c r="F228"/>
  <c r="I228"/>
  <c r="L228"/>
  <c r="N228"/>
  <c r="C229"/>
  <c r="F229"/>
  <c r="I229"/>
  <c r="L229"/>
  <c r="N229"/>
  <c r="C230"/>
  <c r="F230"/>
  <c r="I230"/>
  <c r="L230"/>
  <c r="N230"/>
  <c r="C231"/>
  <c r="F231"/>
  <c r="I231"/>
  <c r="L231"/>
  <c r="N231"/>
  <c r="C232"/>
  <c r="F232"/>
  <c r="I232"/>
  <c r="L232"/>
  <c r="N232"/>
  <c r="C233"/>
  <c r="F233"/>
  <c r="I233"/>
  <c r="L233"/>
  <c r="N233"/>
  <c r="C234"/>
  <c r="F234"/>
  <c r="I234"/>
  <c r="L234"/>
  <c r="N234"/>
  <c r="C235"/>
  <c r="F235"/>
  <c r="I235"/>
  <c r="L235"/>
  <c r="N235"/>
  <c r="C236"/>
  <c r="F236"/>
  <c r="I236"/>
  <c r="L236"/>
  <c r="N236"/>
  <c r="B238"/>
  <c r="C238"/>
  <c r="E238"/>
  <c r="F238"/>
  <c r="H238"/>
  <c r="I238"/>
  <c r="K238"/>
  <c r="L238"/>
  <c r="N238"/>
  <c r="B240"/>
  <c r="C240"/>
  <c r="E240"/>
  <c r="F240"/>
  <c r="H240"/>
  <c r="I240"/>
  <c r="K240"/>
  <c r="L240"/>
  <c r="N240"/>
  <c r="B242"/>
  <c r="C247"/>
  <c r="F247"/>
  <c r="I247"/>
  <c r="L247"/>
  <c r="N247"/>
  <c r="C248"/>
  <c r="F248"/>
  <c r="I248"/>
  <c r="L248"/>
  <c r="N248"/>
  <c r="C249"/>
  <c r="F249"/>
  <c r="I249"/>
  <c r="L249"/>
  <c r="N249"/>
  <c r="C250"/>
  <c r="F250"/>
  <c r="I250"/>
  <c r="L250"/>
  <c r="N250"/>
  <c r="C251"/>
  <c r="F251"/>
  <c r="I251"/>
  <c r="L251"/>
  <c r="N251"/>
  <c r="C252"/>
  <c r="F252"/>
  <c r="I252"/>
  <c r="L252"/>
  <c r="N252"/>
  <c r="C253"/>
  <c r="F253"/>
  <c r="I253"/>
  <c r="L253"/>
  <c r="N253"/>
  <c r="C254"/>
  <c r="F254"/>
  <c r="I254"/>
  <c r="L254"/>
  <c r="N254"/>
  <c r="C255"/>
  <c r="F255"/>
  <c r="I255"/>
  <c r="L255"/>
  <c r="N255"/>
  <c r="C256"/>
  <c r="F256"/>
  <c r="I256"/>
  <c r="L256"/>
  <c r="N256"/>
  <c r="C257"/>
  <c r="F257"/>
  <c r="I257"/>
  <c r="L257"/>
  <c r="N257"/>
  <c r="C258"/>
  <c r="F258"/>
  <c r="I258"/>
  <c r="L258"/>
  <c r="N258"/>
  <c r="C259"/>
  <c r="F259"/>
  <c r="I259"/>
  <c r="L259"/>
  <c r="N259"/>
  <c r="C260"/>
  <c r="F260"/>
  <c r="I260"/>
  <c r="L260"/>
  <c r="N260"/>
  <c r="C261"/>
  <c r="F261"/>
  <c r="I261"/>
  <c r="L261"/>
  <c r="N261"/>
  <c r="C262"/>
  <c r="F262"/>
  <c r="I262"/>
  <c r="L262"/>
  <c r="N262"/>
  <c r="C263"/>
  <c r="F263"/>
  <c r="I263"/>
  <c r="L263"/>
  <c r="N263"/>
  <c r="C264"/>
  <c r="F264"/>
  <c r="I264"/>
  <c r="L264"/>
  <c r="N264"/>
  <c r="C265"/>
  <c r="F265"/>
  <c r="I265"/>
  <c r="L265"/>
  <c r="N265"/>
  <c r="C266"/>
  <c r="F266"/>
  <c r="I266"/>
  <c r="L266"/>
  <c r="N266"/>
  <c r="C267"/>
  <c r="F267"/>
  <c r="I267"/>
  <c r="L267"/>
  <c r="N267"/>
  <c r="C268"/>
  <c r="F268"/>
  <c r="I268"/>
  <c r="L268"/>
  <c r="N268"/>
  <c r="C269"/>
  <c r="F269"/>
  <c r="I269"/>
  <c r="L269"/>
  <c r="N269"/>
  <c r="C270"/>
  <c r="F270"/>
  <c r="I270"/>
  <c r="L270"/>
  <c r="N270"/>
  <c r="C271"/>
  <c r="F271"/>
  <c r="I271"/>
  <c r="L271"/>
  <c r="N271"/>
  <c r="C272"/>
  <c r="F272"/>
  <c r="I272"/>
  <c r="L272"/>
  <c r="N272"/>
  <c r="C273"/>
  <c r="F273"/>
  <c r="I273"/>
  <c r="L273"/>
  <c r="N273"/>
  <c r="C274"/>
  <c r="F274"/>
  <c r="I274"/>
  <c r="L274"/>
  <c r="N274"/>
  <c r="C275"/>
  <c r="F275"/>
  <c r="I275"/>
  <c r="L275"/>
  <c r="N275"/>
  <c r="C276"/>
  <c r="F276"/>
  <c r="I276"/>
  <c r="L276"/>
  <c r="N276"/>
  <c r="B278"/>
  <c r="C278"/>
  <c r="E278"/>
  <c r="F278"/>
  <c r="H278"/>
  <c r="I278"/>
  <c r="K278"/>
  <c r="L278"/>
  <c r="N278"/>
  <c r="B280"/>
  <c r="C285"/>
  <c r="F285"/>
  <c r="I285"/>
  <c r="L285"/>
  <c r="N285"/>
  <c r="C286"/>
  <c r="F286"/>
  <c r="I286"/>
  <c r="L286"/>
  <c r="N286"/>
  <c r="C287"/>
  <c r="F287"/>
  <c r="I287"/>
  <c r="L287"/>
  <c r="N287"/>
  <c r="C288"/>
  <c r="F288"/>
  <c r="I288"/>
  <c r="L288"/>
  <c r="N288"/>
  <c r="C289"/>
  <c r="F289"/>
  <c r="I289"/>
  <c r="K289"/>
  <c r="L289"/>
  <c r="N289"/>
  <c r="C290"/>
  <c r="F290"/>
  <c r="I290"/>
  <c r="L290"/>
  <c r="N290"/>
  <c r="C291"/>
  <c r="F291"/>
  <c r="I291"/>
  <c r="L291"/>
  <c r="N291"/>
  <c r="C292"/>
  <c r="F292"/>
  <c r="I292"/>
  <c r="L292"/>
  <c r="N292"/>
  <c r="C293"/>
  <c r="F293"/>
  <c r="I293"/>
  <c r="L293"/>
  <c r="N293"/>
  <c r="C294"/>
  <c r="F294"/>
  <c r="I294"/>
  <c r="K294"/>
  <c r="L294"/>
  <c r="N294"/>
  <c r="C295"/>
  <c r="F295"/>
  <c r="I295"/>
  <c r="L295"/>
  <c r="N295"/>
  <c r="C296"/>
  <c r="F296"/>
  <c r="I296"/>
  <c r="L296"/>
  <c r="N296"/>
  <c r="C297"/>
  <c r="F297"/>
  <c r="I297"/>
  <c r="L297"/>
  <c r="N297"/>
  <c r="C298"/>
  <c r="F298"/>
  <c r="I298"/>
  <c r="L298"/>
  <c r="N298"/>
  <c r="C299"/>
  <c r="F299"/>
  <c r="I299"/>
  <c r="K299"/>
  <c r="L299"/>
  <c r="N299"/>
  <c r="C300"/>
  <c r="F300"/>
  <c r="I300"/>
  <c r="L300"/>
  <c r="N300"/>
  <c r="C301"/>
  <c r="F301"/>
  <c r="I301"/>
  <c r="L301"/>
  <c r="N301"/>
  <c r="C302"/>
  <c r="F302"/>
  <c r="I302"/>
  <c r="L302"/>
  <c r="N302"/>
  <c r="C303"/>
  <c r="F303"/>
  <c r="I303"/>
  <c r="L303"/>
  <c r="N303"/>
  <c r="C304"/>
  <c r="F304"/>
  <c r="I304"/>
  <c r="K304"/>
  <c r="L304"/>
  <c r="N304"/>
  <c r="C305"/>
  <c r="F305"/>
  <c r="I305"/>
  <c r="L305"/>
  <c r="N305"/>
  <c r="C306"/>
  <c r="F306"/>
  <c r="I306"/>
  <c r="L306"/>
  <c r="N306"/>
  <c r="C307"/>
  <c r="F307"/>
  <c r="I307"/>
  <c r="L307"/>
  <c r="N307"/>
  <c r="C308"/>
  <c r="F308"/>
  <c r="I308"/>
  <c r="L308"/>
  <c r="N308"/>
  <c r="C309"/>
  <c r="F309"/>
  <c r="I309"/>
  <c r="K309"/>
  <c r="L309"/>
  <c r="N309"/>
  <c r="C310"/>
  <c r="F310"/>
  <c r="I310"/>
  <c r="L310"/>
  <c r="N310"/>
  <c r="C311"/>
  <c r="F311"/>
  <c r="I311"/>
  <c r="L311"/>
  <c r="N311"/>
  <c r="C312"/>
  <c r="F312"/>
  <c r="I312"/>
  <c r="L312"/>
  <c r="N312"/>
  <c r="C313"/>
  <c r="F313"/>
  <c r="I313"/>
  <c r="L313"/>
  <c r="N313"/>
  <c r="C314"/>
  <c r="F314"/>
  <c r="I314"/>
  <c r="K314"/>
  <c r="L314"/>
  <c r="N314"/>
  <c r="B316"/>
  <c r="C316"/>
  <c r="E316"/>
  <c r="F316"/>
  <c r="H316"/>
  <c r="I316"/>
  <c r="K316"/>
  <c r="L316"/>
  <c r="N316"/>
  <c r="B318"/>
  <c r="C318"/>
  <c r="E318"/>
  <c r="F318"/>
  <c r="H318"/>
  <c r="I318"/>
  <c r="K318"/>
  <c r="L318"/>
  <c r="N318"/>
  <c r="E323"/>
  <c r="H323"/>
  <c r="K323"/>
  <c r="B325"/>
  <c r="C325"/>
  <c r="E325"/>
  <c r="F325"/>
  <c r="H325"/>
  <c r="I325"/>
  <c r="K325"/>
  <c r="L325"/>
  <c r="N325"/>
  <c r="B326"/>
  <c r="C326"/>
  <c r="E326"/>
  <c r="F326"/>
  <c r="H326"/>
  <c r="I326"/>
  <c r="K326"/>
  <c r="L326"/>
  <c r="N326"/>
  <c r="B327"/>
  <c r="C327"/>
  <c r="E327"/>
  <c r="F327"/>
  <c r="H327"/>
  <c r="I327"/>
  <c r="K327"/>
  <c r="L327"/>
  <c r="N327"/>
  <c r="B328"/>
  <c r="C328"/>
  <c r="E328"/>
  <c r="F328"/>
  <c r="H328"/>
  <c r="I328"/>
  <c r="K328"/>
  <c r="L328"/>
  <c r="N328"/>
  <c r="B329"/>
  <c r="C329"/>
  <c r="E329"/>
  <c r="F329"/>
  <c r="H329"/>
  <c r="I329"/>
  <c r="K329"/>
  <c r="L329"/>
  <c r="N329"/>
  <c r="B330"/>
  <c r="C330"/>
  <c r="E330"/>
  <c r="F330"/>
  <c r="H330"/>
  <c r="I330"/>
  <c r="K330"/>
  <c r="L330"/>
  <c r="N330"/>
  <c r="B331"/>
  <c r="C331"/>
  <c r="E331"/>
  <c r="F331"/>
  <c r="H331"/>
  <c r="I331"/>
  <c r="K331"/>
  <c r="L331"/>
  <c r="N331"/>
  <c r="B332"/>
  <c r="C332"/>
  <c r="E332"/>
  <c r="F332"/>
  <c r="H332"/>
  <c r="I332"/>
  <c r="K332"/>
  <c r="L332"/>
  <c r="N332"/>
  <c r="B333"/>
  <c r="C333"/>
  <c r="E333"/>
  <c r="F333"/>
  <c r="H333"/>
  <c r="I333"/>
  <c r="K333"/>
  <c r="L333"/>
  <c r="N333"/>
  <c r="B334"/>
  <c r="C334"/>
  <c r="E334"/>
  <c r="F334"/>
  <c r="H334"/>
  <c r="I334"/>
  <c r="K334"/>
  <c r="L334"/>
  <c r="N334"/>
  <c r="B335"/>
  <c r="C335"/>
  <c r="E335"/>
  <c r="F335"/>
  <c r="H335"/>
  <c r="I335"/>
  <c r="K335"/>
  <c r="L335"/>
  <c r="N335"/>
  <c r="B336"/>
  <c r="C336"/>
  <c r="E336"/>
  <c r="F336"/>
  <c r="H336"/>
  <c r="I336"/>
  <c r="K336"/>
  <c r="L336"/>
  <c r="N336"/>
  <c r="B337"/>
  <c r="C337"/>
  <c r="E337"/>
  <c r="F337"/>
  <c r="H337"/>
  <c r="I337"/>
  <c r="K337"/>
  <c r="L337"/>
  <c r="N337"/>
  <c r="B338"/>
  <c r="C338"/>
  <c r="E338"/>
  <c r="F338"/>
  <c r="H338"/>
  <c r="I338"/>
  <c r="K338"/>
  <c r="L338"/>
  <c r="N338"/>
  <c r="B339"/>
  <c r="C339"/>
  <c r="E339"/>
  <c r="F339"/>
  <c r="H339"/>
  <c r="I339"/>
  <c r="K339"/>
  <c r="L339"/>
  <c r="N339"/>
  <c r="B340"/>
  <c r="C340"/>
  <c r="E340"/>
  <c r="F340"/>
  <c r="H340"/>
  <c r="I340"/>
  <c r="K340"/>
  <c r="L340"/>
  <c r="N340"/>
  <c r="B341"/>
  <c r="C341"/>
  <c r="E341"/>
  <c r="F341"/>
  <c r="H341"/>
  <c r="I341"/>
  <c r="K341"/>
  <c r="L341"/>
  <c r="N341"/>
  <c r="B342"/>
  <c r="C342"/>
  <c r="E342"/>
  <c r="F342"/>
  <c r="H342"/>
  <c r="I342"/>
  <c r="K342"/>
  <c r="L342"/>
  <c r="N342"/>
  <c r="B343"/>
  <c r="C343"/>
  <c r="E343"/>
  <c r="F343"/>
  <c r="H343"/>
  <c r="I343"/>
  <c r="K343"/>
  <c r="L343"/>
  <c r="N343"/>
  <c r="B344"/>
  <c r="C344"/>
  <c r="E344"/>
  <c r="F344"/>
  <c r="H344"/>
  <c r="I344"/>
  <c r="K344"/>
  <c r="L344"/>
  <c r="N344"/>
  <c r="B345"/>
  <c r="C345"/>
  <c r="E345"/>
  <c r="F345"/>
  <c r="H345"/>
  <c r="I345"/>
  <c r="K345"/>
  <c r="L345"/>
  <c r="N345"/>
  <c r="B346"/>
  <c r="C346"/>
  <c r="E346"/>
  <c r="F346"/>
  <c r="H346"/>
  <c r="I346"/>
  <c r="K346"/>
  <c r="L346"/>
  <c r="N346"/>
  <c r="B347"/>
  <c r="C347"/>
  <c r="E347"/>
  <c r="F347"/>
  <c r="H347"/>
  <c r="I347"/>
  <c r="K347"/>
  <c r="L347"/>
  <c r="N347"/>
  <c r="B348"/>
  <c r="C348"/>
  <c r="E348"/>
  <c r="F348"/>
  <c r="H348"/>
  <c r="I348"/>
  <c r="K348"/>
  <c r="L348"/>
  <c r="N348"/>
  <c r="B349"/>
  <c r="C349"/>
  <c r="E349"/>
  <c r="F349"/>
  <c r="H349"/>
  <c r="I349"/>
  <c r="K349"/>
  <c r="L349"/>
  <c r="N349"/>
  <c r="B350"/>
  <c r="C350"/>
  <c r="E350"/>
  <c r="F350"/>
  <c r="H350"/>
  <c r="I350"/>
  <c r="K350"/>
  <c r="L350"/>
  <c r="N350"/>
  <c r="B351"/>
  <c r="C351"/>
  <c r="E351"/>
  <c r="F351"/>
  <c r="H351"/>
  <c r="I351"/>
  <c r="K351"/>
  <c r="L351"/>
  <c r="N351"/>
  <c r="B352"/>
  <c r="C352"/>
  <c r="E352"/>
  <c r="F352"/>
  <c r="H352"/>
  <c r="I352"/>
  <c r="K352"/>
  <c r="L352"/>
  <c r="N352"/>
  <c r="B353"/>
  <c r="C353"/>
  <c r="E353"/>
  <c r="F353"/>
  <c r="H353"/>
  <c r="I353"/>
  <c r="K353"/>
  <c r="L353"/>
  <c r="N353"/>
  <c r="B354"/>
  <c r="C354"/>
  <c r="E354"/>
  <c r="F354"/>
  <c r="H354"/>
  <c r="I354"/>
  <c r="K354"/>
  <c r="L354"/>
  <c r="N354"/>
  <c r="B356"/>
  <c r="C356"/>
  <c r="E356"/>
  <c r="F356"/>
  <c r="H356"/>
  <c r="I356"/>
  <c r="K356"/>
  <c r="L356"/>
  <c r="N356"/>
  <c r="B361"/>
  <c r="E361"/>
  <c r="H361"/>
  <c r="K361"/>
  <c r="B363"/>
  <c r="C363"/>
  <c r="E363"/>
  <c r="F363"/>
  <c r="H363"/>
  <c r="I363"/>
  <c r="K363"/>
  <c r="L363"/>
  <c r="N363"/>
  <c r="B364"/>
  <c r="C364"/>
  <c r="E364"/>
  <c r="F364"/>
  <c r="H364"/>
  <c r="I364"/>
  <c r="K364"/>
  <c r="L364"/>
  <c r="N364"/>
  <c r="B365"/>
  <c r="C365"/>
  <c r="E365"/>
  <c r="F365"/>
  <c r="H365"/>
  <c r="I365"/>
  <c r="K365"/>
  <c r="L365"/>
  <c r="N365"/>
  <c r="B366"/>
  <c r="C366"/>
  <c r="E366"/>
  <c r="F366"/>
  <c r="H366"/>
  <c r="I366"/>
  <c r="K366"/>
  <c r="L366"/>
  <c r="N366"/>
  <c r="B367"/>
  <c r="C367"/>
  <c r="E367"/>
  <c r="F367"/>
  <c r="H367"/>
  <c r="I367"/>
  <c r="K367"/>
  <c r="L367"/>
  <c r="N367"/>
  <c r="B368"/>
  <c r="C368"/>
  <c r="E368"/>
  <c r="F368"/>
  <c r="H368"/>
  <c r="I368"/>
  <c r="K368"/>
  <c r="L368"/>
  <c r="N368"/>
  <c r="B369"/>
  <c r="C369"/>
  <c r="E369"/>
  <c r="F369"/>
  <c r="H369"/>
  <c r="I369"/>
  <c r="K369"/>
  <c r="L369"/>
  <c r="N369"/>
  <c r="B370"/>
  <c r="C370"/>
  <c r="E370"/>
  <c r="F370"/>
  <c r="H370"/>
  <c r="I370"/>
  <c r="K370"/>
  <c r="L370"/>
  <c r="N370"/>
  <c r="B371"/>
  <c r="C371"/>
  <c r="E371"/>
  <c r="F371"/>
  <c r="H371"/>
  <c r="I371"/>
  <c r="K371"/>
  <c r="L371"/>
  <c r="N371"/>
  <c r="B372"/>
  <c r="C372"/>
  <c r="E372"/>
  <c r="F372"/>
  <c r="H372"/>
  <c r="I372"/>
  <c r="K372"/>
  <c r="L372"/>
  <c r="N372"/>
  <c r="B373"/>
  <c r="C373"/>
  <c r="E373"/>
  <c r="F373"/>
  <c r="H373"/>
  <c r="I373"/>
  <c r="K373"/>
  <c r="L373"/>
  <c r="N373"/>
  <c r="B374"/>
  <c r="C374"/>
  <c r="E374"/>
  <c r="F374"/>
  <c r="H374"/>
  <c r="I374"/>
  <c r="K374"/>
  <c r="L374"/>
  <c r="N374"/>
  <c r="B375"/>
  <c r="C375"/>
  <c r="E375"/>
  <c r="F375"/>
  <c r="H375"/>
  <c r="I375"/>
  <c r="K375"/>
  <c r="L375"/>
  <c r="N375"/>
  <c r="B376"/>
  <c r="C376"/>
  <c r="E376"/>
  <c r="F376"/>
  <c r="H376"/>
  <c r="I376"/>
  <c r="K376"/>
  <c r="L376"/>
  <c r="N376"/>
  <c r="B377"/>
  <c r="C377"/>
  <c r="E377"/>
  <c r="F377"/>
  <c r="H377"/>
  <c r="I377"/>
  <c r="K377"/>
  <c r="L377"/>
  <c r="N377"/>
  <c r="B378"/>
  <c r="C378"/>
  <c r="E378"/>
  <c r="F378"/>
  <c r="H378"/>
  <c r="I378"/>
  <c r="K378"/>
  <c r="L378"/>
  <c r="N378"/>
  <c r="B379"/>
  <c r="C379"/>
  <c r="E379"/>
  <c r="F379"/>
  <c r="H379"/>
  <c r="I379"/>
  <c r="K379"/>
  <c r="L379"/>
  <c r="N379"/>
  <c r="B380"/>
  <c r="C380"/>
  <c r="E380"/>
  <c r="F380"/>
  <c r="H380"/>
  <c r="I380"/>
  <c r="K380"/>
  <c r="L380"/>
  <c r="N380"/>
  <c r="B381"/>
  <c r="C381"/>
  <c r="E381"/>
  <c r="F381"/>
  <c r="H381"/>
  <c r="I381"/>
  <c r="K381"/>
  <c r="L381"/>
  <c r="N381"/>
  <c r="B382"/>
  <c r="C382"/>
  <c r="E382"/>
  <c r="F382"/>
  <c r="H382"/>
  <c r="I382"/>
  <c r="K382"/>
  <c r="L382"/>
  <c r="N382"/>
  <c r="B383"/>
  <c r="C383"/>
  <c r="E383"/>
  <c r="F383"/>
  <c r="H383"/>
  <c r="I383"/>
  <c r="K383"/>
  <c r="L383"/>
  <c r="N383"/>
  <c r="B384"/>
  <c r="C384"/>
  <c r="E384"/>
  <c r="F384"/>
  <c r="H384"/>
  <c r="I384"/>
  <c r="K384"/>
  <c r="L384"/>
  <c r="N384"/>
  <c r="B385"/>
  <c r="C385"/>
  <c r="E385"/>
  <c r="F385"/>
  <c r="H385"/>
  <c r="I385"/>
  <c r="K385"/>
  <c r="L385"/>
  <c r="N385"/>
  <c r="B386"/>
  <c r="C386"/>
  <c r="E386"/>
  <c r="F386"/>
  <c r="H386"/>
  <c r="I386"/>
  <c r="K386"/>
  <c r="L386"/>
  <c r="N386"/>
  <c r="B387"/>
  <c r="C387"/>
  <c r="E387"/>
  <c r="F387"/>
  <c r="H387"/>
  <c r="I387"/>
  <c r="K387"/>
  <c r="L387"/>
  <c r="N387"/>
  <c r="B388"/>
  <c r="C388"/>
  <c r="E388"/>
  <c r="F388"/>
  <c r="H388"/>
  <c r="I388"/>
  <c r="K388"/>
  <c r="L388"/>
  <c r="N388"/>
  <c r="B389"/>
  <c r="C389"/>
  <c r="E389"/>
  <c r="F389"/>
  <c r="H389"/>
  <c r="I389"/>
  <c r="K389"/>
  <c r="L389"/>
  <c r="N389"/>
  <c r="B390"/>
  <c r="C390"/>
  <c r="E390"/>
  <c r="F390"/>
  <c r="H390"/>
  <c r="I390"/>
  <c r="K390"/>
  <c r="L390"/>
  <c r="N390"/>
  <c r="B391"/>
  <c r="C391"/>
  <c r="E391"/>
  <c r="F391"/>
  <c r="H391"/>
  <c r="I391"/>
  <c r="K391"/>
  <c r="L391"/>
  <c r="N391"/>
  <c r="B392"/>
  <c r="C392"/>
  <c r="E392"/>
  <c r="F392"/>
  <c r="H392"/>
  <c r="I392"/>
  <c r="K392"/>
  <c r="L392"/>
  <c r="N392"/>
  <c r="B394"/>
  <c r="C394"/>
  <c r="E394"/>
  <c r="F394"/>
  <c r="H394"/>
  <c r="I394"/>
  <c r="K394"/>
  <c r="L394"/>
  <c r="N394"/>
  <c r="B396"/>
  <c r="C396"/>
  <c r="E396"/>
  <c r="F396"/>
  <c r="H396"/>
  <c r="I396"/>
  <c r="K396"/>
  <c r="L396"/>
  <c r="N396"/>
  <c r="E401"/>
  <c r="H401"/>
  <c r="K401"/>
  <c r="B403"/>
  <c r="C403"/>
  <c r="E403"/>
  <c r="F403"/>
  <c r="H403"/>
  <c r="I403"/>
  <c r="K403"/>
  <c r="L403"/>
  <c r="N403"/>
  <c r="B404"/>
  <c r="C404"/>
  <c r="E404"/>
  <c r="F404"/>
  <c r="H404"/>
  <c r="I404"/>
  <c r="K404"/>
  <c r="L404"/>
  <c r="N404"/>
  <c r="B405"/>
  <c r="C405"/>
  <c r="E405"/>
  <c r="F405"/>
  <c r="H405"/>
  <c r="I405"/>
  <c r="K405"/>
  <c r="L405"/>
  <c r="N405"/>
  <c r="B406"/>
  <c r="C406"/>
  <c r="E406"/>
  <c r="F406"/>
  <c r="H406"/>
  <c r="I406"/>
  <c r="K406"/>
  <c r="L406"/>
  <c r="N406"/>
  <c r="B407"/>
  <c r="C407"/>
  <c r="E407"/>
  <c r="F407"/>
  <c r="H407"/>
  <c r="I407"/>
  <c r="K407"/>
  <c r="L407"/>
  <c r="N407"/>
  <c r="B408"/>
  <c r="C408"/>
  <c r="E408"/>
  <c r="F408"/>
  <c r="H408"/>
  <c r="I408"/>
  <c r="K408"/>
  <c r="L408"/>
  <c r="N408"/>
  <c r="B409"/>
  <c r="C409"/>
  <c r="E409"/>
  <c r="F409"/>
  <c r="H409"/>
  <c r="I409"/>
  <c r="K409"/>
  <c r="L409"/>
  <c r="N409"/>
  <c r="B410"/>
  <c r="C410"/>
  <c r="E410"/>
  <c r="F410"/>
  <c r="H410"/>
  <c r="I410"/>
  <c r="K410"/>
  <c r="L410"/>
  <c r="N410"/>
  <c r="B411"/>
  <c r="C411"/>
  <c r="E411"/>
  <c r="F411"/>
  <c r="H411"/>
  <c r="I411"/>
  <c r="K411"/>
  <c r="L411"/>
  <c r="N411"/>
  <c r="B412"/>
  <c r="C412"/>
  <c r="E412"/>
  <c r="F412"/>
  <c r="H412"/>
  <c r="I412"/>
  <c r="K412"/>
  <c r="L412"/>
  <c r="N412"/>
  <c r="B413"/>
  <c r="C413"/>
  <c r="E413"/>
  <c r="F413"/>
  <c r="H413"/>
  <c r="I413"/>
  <c r="K413"/>
  <c r="L413"/>
  <c r="N413"/>
  <c r="B414"/>
  <c r="C414"/>
  <c r="E414"/>
  <c r="F414"/>
  <c r="H414"/>
  <c r="I414"/>
  <c r="K414"/>
  <c r="L414"/>
  <c r="N414"/>
  <c r="B415"/>
  <c r="C415"/>
  <c r="E415"/>
  <c r="F415"/>
  <c r="H415"/>
  <c r="I415"/>
  <c r="K415"/>
  <c r="L415"/>
  <c r="N415"/>
  <c r="B416"/>
  <c r="C416"/>
  <c r="E416"/>
  <c r="F416"/>
  <c r="H416"/>
  <c r="I416"/>
  <c r="K416"/>
  <c r="L416"/>
  <c r="N416"/>
  <c r="B417"/>
  <c r="C417"/>
  <c r="E417"/>
  <c r="F417"/>
  <c r="H417"/>
  <c r="I417"/>
  <c r="K417"/>
  <c r="L417"/>
  <c r="N417"/>
  <c r="B418"/>
  <c r="C418"/>
  <c r="E418"/>
  <c r="F418"/>
  <c r="H418"/>
  <c r="I418"/>
  <c r="K418"/>
  <c r="L418"/>
  <c r="N418"/>
  <c r="B419"/>
  <c r="C419"/>
  <c r="E419"/>
  <c r="F419"/>
  <c r="H419"/>
  <c r="I419"/>
  <c r="K419"/>
  <c r="L419"/>
  <c r="N419"/>
  <c r="B420"/>
  <c r="C420"/>
  <c r="E420"/>
  <c r="F420"/>
  <c r="H420"/>
  <c r="I420"/>
  <c r="K420"/>
  <c r="L420"/>
  <c r="N420"/>
  <c r="B421"/>
  <c r="C421"/>
  <c r="E421"/>
  <c r="F421"/>
  <c r="H421"/>
  <c r="I421"/>
  <c r="K421"/>
  <c r="L421"/>
  <c r="N421"/>
  <c r="B422"/>
  <c r="C422"/>
  <c r="E422"/>
  <c r="F422"/>
  <c r="H422"/>
  <c r="I422"/>
  <c r="K422"/>
  <c r="L422"/>
  <c r="N422"/>
  <c r="B423"/>
  <c r="C423"/>
  <c r="E423"/>
  <c r="F423"/>
  <c r="H423"/>
  <c r="I423"/>
  <c r="K423"/>
  <c r="L423"/>
  <c r="N423"/>
  <c r="B424"/>
  <c r="C424"/>
  <c r="E424"/>
  <c r="F424"/>
  <c r="H424"/>
  <c r="I424"/>
  <c r="K424"/>
  <c r="L424"/>
  <c r="N424"/>
  <c r="B425"/>
  <c r="C425"/>
  <c r="E425"/>
  <c r="F425"/>
  <c r="H425"/>
  <c r="I425"/>
  <c r="K425"/>
  <c r="L425"/>
  <c r="N425"/>
  <c r="B426"/>
  <c r="C426"/>
  <c r="E426"/>
  <c r="F426"/>
  <c r="H426"/>
  <c r="I426"/>
  <c r="K426"/>
  <c r="L426"/>
  <c r="N426"/>
  <c r="B427"/>
  <c r="C427"/>
  <c r="E427"/>
  <c r="F427"/>
  <c r="H427"/>
  <c r="I427"/>
  <c r="K427"/>
  <c r="L427"/>
  <c r="N427"/>
  <c r="B428"/>
  <c r="C428"/>
  <c r="E428"/>
  <c r="F428"/>
  <c r="H428"/>
  <c r="I428"/>
  <c r="K428"/>
  <c r="L428"/>
  <c r="N428"/>
  <c r="B429"/>
  <c r="C429"/>
  <c r="E429"/>
  <c r="F429"/>
  <c r="H429"/>
  <c r="I429"/>
  <c r="K429"/>
  <c r="L429"/>
  <c r="N429"/>
  <c r="B430"/>
  <c r="C430"/>
  <c r="E430"/>
  <c r="F430"/>
  <c r="H430"/>
  <c r="I430"/>
  <c r="K430"/>
  <c r="L430"/>
  <c r="N430"/>
  <c r="B431"/>
  <c r="C431"/>
  <c r="E431"/>
  <c r="F431"/>
  <c r="H431"/>
  <c r="I431"/>
  <c r="K431"/>
  <c r="L431"/>
  <c r="N431"/>
  <c r="B432"/>
  <c r="C432"/>
  <c r="E432"/>
  <c r="F432"/>
  <c r="H432"/>
  <c r="I432"/>
  <c r="K432"/>
  <c r="L432"/>
  <c r="N432"/>
  <c r="B434"/>
  <c r="C434"/>
  <c r="E434"/>
  <c r="F434"/>
  <c r="H434"/>
  <c r="I434"/>
  <c r="K434"/>
  <c r="L434"/>
  <c r="N434"/>
  <c r="E439"/>
  <c r="H439"/>
  <c r="K439"/>
  <c r="B441"/>
  <c r="C441"/>
  <c r="E441"/>
  <c r="F441"/>
  <c r="H441"/>
  <c r="I441"/>
  <c r="K441"/>
  <c r="L441"/>
  <c r="N441"/>
  <c r="B442"/>
  <c r="C442"/>
  <c r="E442"/>
  <c r="F442"/>
  <c r="H442"/>
  <c r="I442"/>
  <c r="K442"/>
  <c r="L442"/>
  <c r="N442"/>
  <c r="B443"/>
  <c r="C443"/>
  <c r="E443"/>
  <c r="F443"/>
  <c r="H443"/>
  <c r="I443"/>
  <c r="K443"/>
  <c r="L443"/>
  <c r="N443"/>
  <c r="B444"/>
  <c r="C444"/>
  <c r="E444"/>
  <c r="F444"/>
  <c r="H444"/>
  <c r="I444"/>
  <c r="K444"/>
  <c r="L444"/>
  <c r="N444"/>
  <c r="B445"/>
  <c r="C445"/>
  <c r="E445"/>
  <c r="F445"/>
  <c r="H445"/>
  <c r="I445"/>
  <c r="K445"/>
  <c r="L445"/>
  <c r="N445"/>
  <c r="B446"/>
  <c r="C446"/>
  <c r="E446"/>
  <c r="F446"/>
  <c r="H446"/>
  <c r="I446"/>
  <c r="K446"/>
  <c r="L446"/>
  <c r="N446"/>
  <c r="B447"/>
  <c r="C447"/>
  <c r="E447"/>
  <c r="F447"/>
  <c r="H447"/>
  <c r="I447"/>
  <c r="K447"/>
  <c r="L447"/>
  <c r="N447"/>
  <c r="B448"/>
  <c r="C448"/>
  <c r="E448"/>
  <c r="F448"/>
  <c r="H448"/>
  <c r="I448"/>
  <c r="K448"/>
  <c r="L448"/>
  <c r="N448"/>
  <c r="B449"/>
  <c r="C449"/>
  <c r="E449"/>
  <c r="F449"/>
  <c r="H449"/>
  <c r="I449"/>
  <c r="K449"/>
  <c r="L449"/>
  <c r="N449"/>
  <c r="B450"/>
  <c r="C450"/>
  <c r="E450"/>
  <c r="F450"/>
  <c r="H450"/>
  <c r="I450"/>
  <c r="K450"/>
  <c r="L450"/>
  <c r="N450"/>
  <c r="B451"/>
  <c r="C451"/>
  <c r="E451"/>
  <c r="F451"/>
  <c r="H451"/>
  <c r="I451"/>
  <c r="K451"/>
  <c r="L451"/>
  <c r="N451"/>
  <c r="B452"/>
  <c r="C452"/>
  <c r="E452"/>
  <c r="F452"/>
  <c r="H452"/>
  <c r="I452"/>
  <c r="K452"/>
  <c r="L452"/>
  <c r="N452"/>
  <c r="B453"/>
  <c r="C453"/>
  <c r="E453"/>
  <c r="F453"/>
  <c r="H453"/>
  <c r="I453"/>
  <c r="K453"/>
  <c r="L453"/>
  <c r="N453"/>
  <c r="B454"/>
  <c r="C454"/>
  <c r="E454"/>
  <c r="F454"/>
  <c r="H454"/>
  <c r="I454"/>
  <c r="K454"/>
  <c r="L454"/>
  <c r="N454"/>
  <c r="B455"/>
  <c r="C455"/>
  <c r="E455"/>
  <c r="F455"/>
  <c r="H455"/>
  <c r="I455"/>
  <c r="K455"/>
  <c r="L455"/>
  <c r="N455"/>
  <c r="B456"/>
  <c r="C456"/>
  <c r="E456"/>
  <c r="F456"/>
  <c r="H456"/>
  <c r="I456"/>
  <c r="K456"/>
  <c r="L456"/>
  <c r="N456"/>
  <c r="B457"/>
  <c r="C457"/>
  <c r="E457"/>
  <c r="F457"/>
  <c r="H457"/>
  <c r="I457"/>
  <c r="K457"/>
  <c r="L457"/>
  <c r="N457"/>
  <c r="B458"/>
  <c r="C458"/>
  <c r="E458"/>
  <c r="F458"/>
  <c r="H458"/>
  <c r="I458"/>
  <c r="K458"/>
  <c r="L458"/>
  <c r="N458"/>
  <c r="B459"/>
  <c r="C459"/>
  <c r="E459"/>
  <c r="F459"/>
  <c r="H459"/>
  <c r="I459"/>
  <c r="K459"/>
  <c r="L459"/>
  <c r="N459"/>
  <c r="B460"/>
  <c r="C460"/>
  <c r="E460"/>
  <c r="F460"/>
  <c r="H460"/>
  <c r="I460"/>
  <c r="K460"/>
  <c r="L460"/>
  <c r="N460"/>
  <c r="B461"/>
  <c r="C461"/>
  <c r="E461"/>
  <c r="F461"/>
  <c r="H461"/>
  <c r="I461"/>
  <c r="K461"/>
  <c r="L461"/>
  <c r="N461"/>
  <c r="B462"/>
  <c r="C462"/>
  <c r="E462"/>
  <c r="F462"/>
  <c r="H462"/>
  <c r="I462"/>
  <c r="K462"/>
  <c r="L462"/>
  <c r="N462"/>
  <c r="B463"/>
  <c r="C463"/>
  <c r="E463"/>
  <c r="F463"/>
  <c r="H463"/>
  <c r="I463"/>
  <c r="K463"/>
  <c r="L463"/>
  <c r="N463"/>
  <c r="B464"/>
  <c r="C464"/>
  <c r="E464"/>
  <c r="F464"/>
  <c r="H464"/>
  <c r="I464"/>
  <c r="K464"/>
  <c r="L464"/>
  <c r="N464"/>
  <c r="B465"/>
  <c r="C465"/>
  <c r="E465"/>
  <c r="F465"/>
  <c r="H465"/>
  <c r="I465"/>
  <c r="K465"/>
  <c r="L465"/>
  <c r="N465"/>
  <c r="B466"/>
  <c r="C466"/>
  <c r="E466"/>
  <c r="F466"/>
  <c r="H466"/>
  <c r="I466"/>
  <c r="K466"/>
  <c r="L466"/>
  <c r="N466"/>
  <c r="B467"/>
  <c r="C467"/>
  <c r="E467"/>
  <c r="F467"/>
  <c r="H467"/>
  <c r="I467"/>
  <c r="K467"/>
  <c r="L467"/>
  <c r="N467"/>
  <c r="B468"/>
  <c r="C468"/>
  <c r="E468"/>
  <c r="F468"/>
  <c r="H468"/>
  <c r="I468"/>
  <c r="K468"/>
  <c r="L468"/>
  <c r="N468"/>
  <c r="B469"/>
  <c r="C469"/>
  <c r="E469"/>
  <c r="F469"/>
  <c r="H469"/>
  <c r="I469"/>
  <c r="K469"/>
  <c r="L469"/>
  <c r="N469"/>
  <c r="B470"/>
  <c r="C470"/>
  <c r="E470"/>
  <c r="F470"/>
  <c r="H470"/>
  <c r="I470"/>
  <c r="K470"/>
  <c r="L470"/>
  <c r="N470"/>
  <c r="B472"/>
  <c r="C472"/>
  <c r="E472"/>
  <c r="F472"/>
  <c r="H472"/>
  <c r="I472"/>
  <c r="K472"/>
  <c r="L472"/>
  <c r="N472"/>
  <c r="B474"/>
  <c r="C474"/>
  <c r="E474"/>
  <c r="F474"/>
  <c r="H474"/>
  <c r="I474"/>
  <c r="K474"/>
  <c r="L474"/>
  <c r="N474"/>
  <c r="AM457" i="7"/>
  <c r="AL457"/>
  <c r="AK457"/>
  <c r="AJ457"/>
  <c r="AI457"/>
  <c r="AH457"/>
  <c r="AG457"/>
  <c r="AF457"/>
  <c r="AN457" s="1"/>
  <c r="AC457"/>
  <c r="AB457"/>
  <c r="AA457"/>
  <c r="Z457"/>
  <c r="Y457"/>
  <c r="X457"/>
  <c r="W457"/>
  <c r="V457"/>
  <c r="AD457" s="1"/>
  <c r="S457"/>
  <c r="R457"/>
  <c r="Q457"/>
  <c r="P457"/>
  <c r="O457"/>
  <c r="N457"/>
  <c r="M457"/>
  <c r="L457"/>
  <c r="T457" s="1"/>
  <c r="I457"/>
  <c r="H457"/>
  <c r="G457"/>
  <c r="F457"/>
  <c r="E457"/>
  <c r="D457"/>
  <c r="C457"/>
  <c r="B457"/>
  <c r="J457" s="1"/>
  <c r="AP457" s="1"/>
  <c r="AM456"/>
  <c r="AL456"/>
  <c r="AK456"/>
  <c r="AJ456"/>
  <c r="AI456"/>
  <c r="AH456"/>
  <c r="AG456"/>
  <c r="AF456"/>
  <c r="AN456" s="1"/>
  <c r="AC456"/>
  <c r="AB456"/>
  <c r="AA456"/>
  <c r="Z456"/>
  <c r="Y456"/>
  <c r="X456"/>
  <c r="W456"/>
  <c r="V456"/>
  <c r="AD456" s="1"/>
  <c r="S456"/>
  <c r="R456"/>
  <c r="Q456"/>
  <c r="P456"/>
  <c r="O456"/>
  <c r="N456"/>
  <c r="M456"/>
  <c r="L456"/>
  <c r="T456" s="1"/>
  <c r="I456"/>
  <c r="H456"/>
  <c r="G456"/>
  <c r="F456"/>
  <c r="E456"/>
  <c r="D456"/>
  <c r="C456"/>
  <c r="B456"/>
  <c r="J456" s="1"/>
  <c r="AP456" s="1"/>
  <c r="AM455"/>
  <c r="AL455"/>
  <c r="AK455"/>
  <c r="AJ455"/>
  <c r="AI455"/>
  <c r="AH455"/>
  <c r="AG455"/>
  <c r="AF455"/>
  <c r="AN455" s="1"/>
  <c r="AC455"/>
  <c r="AB455"/>
  <c r="AA455"/>
  <c r="Z455"/>
  <c r="Y455"/>
  <c r="X455"/>
  <c r="W455"/>
  <c r="V455"/>
  <c r="AD455" s="1"/>
  <c r="S455"/>
  <c r="R455"/>
  <c r="Q455"/>
  <c r="P455"/>
  <c r="O455"/>
  <c r="N455"/>
  <c r="M455"/>
  <c r="L455"/>
  <c r="T455" s="1"/>
  <c r="I455"/>
  <c r="H455"/>
  <c r="G455"/>
  <c r="F455"/>
  <c r="E455"/>
  <c r="D455"/>
  <c r="C455"/>
  <c r="B455"/>
  <c r="J455" s="1"/>
  <c r="AP455" s="1"/>
  <c r="AM454"/>
  <c r="AM458" s="1"/>
  <c r="AL454"/>
  <c r="AL458" s="1"/>
  <c r="AK454"/>
  <c r="AK458" s="1"/>
  <c r="AJ454"/>
  <c r="AJ458" s="1"/>
  <c r="AI454"/>
  <c r="AI458" s="1"/>
  <c r="AH454"/>
  <c r="AH458" s="1"/>
  <c r="AG454"/>
  <c r="AG458" s="1"/>
  <c r="AF454"/>
  <c r="AF458" s="1"/>
  <c r="AC454"/>
  <c r="AC458" s="1"/>
  <c r="AB454"/>
  <c r="AB458" s="1"/>
  <c r="AA454"/>
  <c r="AA458" s="1"/>
  <c r="Z454"/>
  <c r="Z458" s="1"/>
  <c r="Y454"/>
  <c r="Y458" s="1"/>
  <c r="X454"/>
  <c r="X458" s="1"/>
  <c r="W454"/>
  <c r="W458" s="1"/>
  <c r="V454"/>
  <c r="V458" s="1"/>
  <c r="S454"/>
  <c r="S458" s="1"/>
  <c r="R454"/>
  <c r="R458" s="1"/>
  <c r="Q454"/>
  <c r="Q458" s="1"/>
  <c r="P454"/>
  <c r="P458" s="1"/>
  <c r="O454"/>
  <c r="O458" s="1"/>
  <c r="N454"/>
  <c r="N458" s="1"/>
  <c r="M454"/>
  <c r="M458" s="1"/>
  <c r="L454"/>
  <c r="L458" s="1"/>
  <c r="I454"/>
  <c r="I458" s="1"/>
  <c r="H454"/>
  <c r="H458" s="1"/>
  <c r="G454"/>
  <c r="G458" s="1"/>
  <c r="F454"/>
  <c r="F458" s="1"/>
  <c r="E454"/>
  <c r="E458" s="1"/>
  <c r="D454"/>
  <c r="D458" s="1"/>
  <c r="C454"/>
  <c r="C458" s="1"/>
  <c r="B454"/>
  <c r="B458" s="1"/>
  <c r="AM452"/>
  <c r="AL452"/>
  <c r="AK452"/>
  <c r="AJ452"/>
  <c r="AI452"/>
  <c r="AH452"/>
  <c r="AG452"/>
  <c r="AF452"/>
  <c r="AN452" s="1"/>
  <c r="AC452"/>
  <c r="AB452"/>
  <c r="AA452"/>
  <c r="Z452"/>
  <c r="Y452"/>
  <c r="X452"/>
  <c r="W452"/>
  <c r="V452"/>
  <c r="AD452" s="1"/>
  <c r="S452"/>
  <c r="R452"/>
  <c r="Q452"/>
  <c r="P452"/>
  <c r="O452"/>
  <c r="N452"/>
  <c r="M452"/>
  <c r="L452"/>
  <c r="T452" s="1"/>
  <c r="I452"/>
  <c r="H452"/>
  <c r="G452"/>
  <c r="F452"/>
  <c r="E452"/>
  <c r="D452"/>
  <c r="C452"/>
  <c r="B452"/>
  <c r="J452" s="1"/>
  <c r="AP452" s="1"/>
  <c r="AM451"/>
  <c r="AL451"/>
  <c r="AK451"/>
  <c r="AJ451"/>
  <c r="AI451"/>
  <c r="AH451"/>
  <c r="AG451"/>
  <c r="AF451"/>
  <c r="AN451" s="1"/>
  <c r="AC451"/>
  <c r="AB451"/>
  <c r="AA451"/>
  <c r="Z451"/>
  <c r="Y451"/>
  <c r="X451"/>
  <c r="W451"/>
  <c r="V451"/>
  <c r="AD451" s="1"/>
  <c r="S451"/>
  <c r="R451"/>
  <c r="Q451"/>
  <c r="P451"/>
  <c r="O451"/>
  <c r="N451"/>
  <c r="M451"/>
  <c r="L451"/>
  <c r="T451" s="1"/>
  <c r="I451"/>
  <c r="H451"/>
  <c r="G451"/>
  <c r="F451"/>
  <c r="E451"/>
  <c r="D451"/>
  <c r="C451"/>
  <c r="B451"/>
  <c r="J451" s="1"/>
  <c r="AP451" s="1"/>
  <c r="AM450"/>
  <c r="AL450"/>
  <c r="AK450"/>
  <c r="AJ450"/>
  <c r="AI450"/>
  <c r="AH450"/>
  <c r="AG450"/>
  <c r="AF450"/>
  <c r="AN450" s="1"/>
  <c r="AC450"/>
  <c r="AB450"/>
  <c r="AA450"/>
  <c r="Z450"/>
  <c r="Y450"/>
  <c r="X450"/>
  <c r="W450"/>
  <c r="V450"/>
  <c r="AD450" s="1"/>
  <c r="S450"/>
  <c r="R450"/>
  <c r="Q450"/>
  <c r="P450"/>
  <c r="O450"/>
  <c r="N450"/>
  <c r="M450"/>
  <c r="L450"/>
  <c r="T450" s="1"/>
  <c r="I450"/>
  <c r="H450"/>
  <c r="G450"/>
  <c r="F450"/>
  <c r="E450"/>
  <c r="D450"/>
  <c r="C450"/>
  <c r="B450"/>
  <c r="J450" s="1"/>
  <c r="AP450" s="1"/>
  <c r="AM449"/>
  <c r="AM453" s="1"/>
  <c r="AL449"/>
  <c r="AL453" s="1"/>
  <c r="AK449"/>
  <c r="AK453" s="1"/>
  <c r="AJ449"/>
  <c r="AJ453" s="1"/>
  <c r="AI449"/>
  <c r="AI453" s="1"/>
  <c r="AH449"/>
  <c r="AH453" s="1"/>
  <c r="AG449"/>
  <c r="AG453" s="1"/>
  <c r="AF449"/>
  <c r="AF453" s="1"/>
  <c r="AC449"/>
  <c r="AC453" s="1"/>
  <c r="AB449"/>
  <c r="AB453" s="1"/>
  <c r="AA449"/>
  <c r="AA453" s="1"/>
  <c r="Z449"/>
  <c r="Z453" s="1"/>
  <c r="Y449"/>
  <c r="Y453" s="1"/>
  <c r="X449"/>
  <c r="X453" s="1"/>
  <c r="W449"/>
  <c r="W453" s="1"/>
  <c r="V449"/>
  <c r="V453" s="1"/>
  <c r="S449"/>
  <c r="S453" s="1"/>
  <c r="R449"/>
  <c r="R453" s="1"/>
  <c r="Q449"/>
  <c r="Q453" s="1"/>
  <c r="P449"/>
  <c r="P453" s="1"/>
  <c r="O449"/>
  <c r="O453" s="1"/>
  <c r="N449"/>
  <c r="N453" s="1"/>
  <c r="M449"/>
  <c r="M453" s="1"/>
  <c r="L449"/>
  <c r="L453" s="1"/>
  <c r="I449"/>
  <c r="I453" s="1"/>
  <c r="H449"/>
  <c r="H453" s="1"/>
  <c r="G449"/>
  <c r="G453" s="1"/>
  <c r="F449"/>
  <c r="F453" s="1"/>
  <c r="E449"/>
  <c r="E453" s="1"/>
  <c r="D449"/>
  <c r="D453" s="1"/>
  <c r="C449"/>
  <c r="C453" s="1"/>
  <c r="B449"/>
  <c r="B453" s="1"/>
  <c r="AM447"/>
  <c r="AL447"/>
  <c r="AK447"/>
  <c r="AJ447"/>
  <c r="AI447"/>
  <c r="AH447"/>
  <c r="AG447"/>
  <c r="AF447"/>
  <c r="AN447" s="1"/>
  <c r="AC447"/>
  <c r="AB447"/>
  <c r="AA447"/>
  <c r="Z447"/>
  <c r="Y447"/>
  <c r="X447"/>
  <c r="W447"/>
  <c r="V447"/>
  <c r="AD447" s="1"/>
  <c r="S447"/>
  <c r="R447"/>
  <c r="Q447"/>
  <c r="P447"/>
  <c r="O447"/>
  <c r="N447"/>
  <c r="M447"/>
  <c r="L447"/>
  <c r="T447" s="1"/>
  <c r="I447"/>
  <c r="H447"/>
  <c r="G447"/>
  <c r="F447"/>
  <c r="E447"/>
  <c r="D447"/>
  <c r="C447"/>
  <c r="B447"/>
  <c r="J447" s="1"/>
  <c r="AP447" s="1"/>
  <c r="AM446"/>
  <c r="AL446"/>
  <c r="AK446"/>
  <c r="AJ446"/>
  <c r="AI446"/>
  <c r="AH446"/>
  <c r="AG446"/>
  <c r="AF446"/>
  <c r="AN446" s="1"/>
  <c r="AC446"/>
  <c r="AB446"/>
  <c r="AA446"/>
  <c r="Z446"/>
  <c r="Y446"/>
  <c r="X446"/>
  <c r="W446"/>
  <c r="V446"/>
  <c r="AD446" s="1"/>
  <c r="S446"/>
  <c r="R446"/>
  <c r="Q446"/>
  <c r="P446"/>
  <c r="O446"/>
  <c r="N446"/>
  <c r="M446"/>
  <c r="L446"/>
  <c r="T446" s="1"/>
  <c r="I446"/>
  <c r="H446"/>
  <c r="G446"/>
  <c r="F446"/>
  <c r="E446"/>
  <c r="D446"/>
  <c r="C446"/>
  <c r="B446"/>
  <c r="J446" s="1"/>
  <c r="AP446" s="1"/>
  <c r="AM445"/>
  <c r="AL445"/>
  <c r="AK445"/>
  <c r="AJ445"/>
  <c r="AI445"/>
  <c r="AH445"/>
  <c r="AG445"/>
  <c r="AF445"/>
  <c r="AN445" s="1"/>
  <c r="AC445"/>
  <c r="AB445"/>
  <c r="AA445"/>
  <c r="Z445"/>
  <c r="Y445"/>
  <c r="X445"/>
  <c r="W445"/>
  <c r="V445"/>
  <c r="AD445" s="1"/>
  <c r="S445"/>
  <c r="R445"/>
  <c r="Q445"/>
  <c r="P445"/>
  <c r="O445"/>
  <c r="N445"/>
  <c r="M445"/>
  <c r="L445"/>
  <c r="T445" s="1"/>
  <c r="I445"/>
  <c r="H445"/>
  <c r="G445"/>
  <c r="F445"/>
  <c r="E445"/>
  <c r="D445"/>
  <c r="C445"/>
  <c r="B445"/>
  <c r="J445" s="1"/>
  <c r="AP445" s="1"/>
  <c r="AM444"/>
  <c r="AM448" s="1"/>
  <c r="AL444"/>
  <c r="AL448" s="1"/>
  <c r="AK444"/>
  <c r="AK448" s="1"/>
  <c r="AJ444"/>
  <c r="AJ448" s="1"/>
  <c r="AI444"/>
  <c r="AI448" s="1"/>
  <c r="AH444"/>
  <c r="AH448" s="1"/>
  <c r="AG444"/>
  <c r="AG448" s="1"/>
  <c r="AF444"/>
  <c r="AF448" s="1"/>
  <c r="AC444"/>
  <c r="AC448" s="1"/>
  <c r="AB444"/>
  <c r="AB448" s="1"/>
  <c r="AA444"/>
  <c r="AA448" s="1"/>
  <c r="Z444"/>
  <c r="Z448" s="1"/>
  <c r="Y444"/>
  <c r="Y448" s="1"/>
  <c r="X444"/>
  <c r="X448" s="1"/>
  <c r="W444"/>
  <c r="W448" s="1"/>
  <c r="V444"/>
  <c r="V448" s="1"/>
  <c r="S444"/>
  <c r="S448" s="1"/>
  <c r="R444"/>
  <c r="R448" s="1"/>
  <c r="Q444"/>
  <c r="Q448" s="1"/>
  <c r="P444"/>
  <c r="P448" s="1"/>
  <c r="O444"/>
  <c r="O448" s="1"/>
  <c r="N444"/>
  <c r="N448" s="1"/>
  <c r="M444"/>
  <c r="M448" s="1"/>
  <c r="L444"/>
  <c r="L448" s="1"/>
  <c r="I444"/>
  <c r="I448" s="1"/>
  <c r="H444"/>
  <c r="H448" s="1"/>
  <c r="G444"/>
  <c r="G448" s="1"/>
  <c r="F444"/>
  <c r="F448" s="1"/>
  <c r="E444"/>
  <c r="E448" s="1"/>
  <c r="D444"/>
  <c r="D448" s="1"/>
  <c r="C444"/>
  <c r="C448" s="1"/>
  <c r="B444"/>
  <c r="B448" s="1"/>
  <c r="AM442"/>
  <c r="AL442"/>
  <c r="AK442"/>
  <c r="AJ442"/>
  <c r="AI442"/>
  <c r="AH442"/>
  <c r="AG442"/>
  <c r="AF442"/>
  <c r="AN442" s="1"/>
  <c r="AC442"/>
  <c r="AB442"/>
  <c r="AA442"/>
  <c r="Z442"/>
  <c r="Y442"/>
  <c r="X442"/>
  <c r="W442"/>
  <c r="V442"/>
  <c r="AD442" s="1"/>
  <c r="S442"/>
  <c r="R442"/>
  <c r="Q442"/>
  <c r="P442"/>
  <c r="O442"/>
  <c r="N442"/>
  <c r="M442"/>
  <c r="L442"/>
  <c r="T442" s="1"/>
  <c r="I442"/>
  <c r="H442"/>
  <c r="G442"/>
  <c r="F442"/>
  <c r="E442"/>
  <c r="D442"/>
  <c r="C442"/>
  <c r="B442"/>
  <c r="J442" s="1"/>
  <c r="AP442" s="1"/>
  <c r="AM441"/>
  <c r="AL441"/>
  <c r="AK441"/>
  <c r="AJ441"/>
  <c r="AI441"/>
  <c r="AH441"/>
  <c r="AG441"/>
  <c r="AF441"/>
  <c r="AN441" s="1"/>
  <c r="AC441"/>
  <c r="AB441"/>
  <c r="AA441"/>
  <c r="Z441"/>
  <c r="Y441"/>
  <c r="X441"/>
  <c r="W441"/>
  <c r="V441"/>
  <c r="AD441" s="1"/>
  <c r="S441"/>
  <c r="R441"/>
  <c r="Q441"/>
  <c r="P441"/>
  <c r="O441"/>
  <c r="N441"/>
  <c r="M441"/>
  <c r="L441"/>
  <c r="T441" s="1"/>
  <c r="I441"/>
  <c r="H441"/>
  <c r="G441"/>
  <c r="F441"/>
  <c r="E441"/>
  <c r="D441"/>
  <c r="C441"/>
  <c r="B441"/>
  <c r="J441" s="1"/>
  <c r="AP441" s="1"/>
  <c r="AM440"/>
  <c r="AL440"/>
  <c r="AK440"/>
  <c r="AJ440"/>
  <c r="AI440"/>
  <c r="AH440"/>
  <c r="AG440"/>
  <c r="AF440"/>
  <c r="AN440" s="1"/>
  <c r="AC440"/>
  <c r="AB440"/>
  <c r="AA440"/>
  <c r="Z440"/>
  <c r="Y440"/>
  <c r="X440"/>
  <c r="W440"/>
  <c r="V440"/>
  <c r="AD440" s="1"/>
  <c r="S440"/>
  <c r="R440"/>
  <c r="Q440"/>
  <c r="P440"/>
  <c r="O440"/>
  <c r="N440"/>
  <c r="M440"/>
  <c r="L440"/>
  <c r="T440" s="1"/>
  <c r="I440"/>
  <c r="H440"/>
  <c r="G440"/>
  <c r="F440"/>
  <c r="E440"/>
  <c r="D440"/>
  <c r="C440"/>
  <c r="B440"/>
  <c r="J440" s="1"/>
  <c r="AP440" s="1"/>
  <c r="AM439"/>
  <c r="AM443" s="1"/>
  <c r="AL439"/>
  <c r="AL443" s="1"/>
  <c r="AK439"/>
  <c r="AK443" s="1"/>
  <c r="AJ439"/>
  <c r="AJ443" s="1"/>
  <c r="AI439"/>
  <c r="AI443" s="1"/>
  <c r="AH439"/>
  <c r="AH443" s="1"/>
  <c r="AG439"/>
  <c r="AG443" s="1"/>
  <c r="AF439"/>
  <c r="AF443" s="1"/>
  <c r="AC439"/>
  <c r="AC443" s="1"/>
  <c r="AB439"/>
  <c r="AB443" s="1"/>
  <c r="AA439"/>
  <c r="AA443" s="1"/>
  <c r="Z439"/>
  <c r="Z443" s="1"/>
  <c r="Y439"/>
  <c r="Y443" s="1"/>
  <c r="X439"/>
  <c r="X443" s="1"/>
  <c r="W439"/>
  <c r="W443" s="1"/>
  <c r="V439"/>
  <c r="V443" s="1"/>
  <c r="S439"/>
  <c r="S443" s="1"/>
  <c r="R439"/>
  <c r="R443" s="1"/>
  <c r="Q439"/>
  <c r="Q443" s="1"/>
  <c r="P439"/>
  <c r="P443" s="1"/>
  <c r="O439"/>
  <c r="O443" s="1"/>
  <c r="N439"/>
  <c r="N443" s="1"/>
  <c r="M439"/>
  <c r="M443" s="1"/>
  <c r="L439"/>
  <c r="L443" s="1"/>
  <c r="I439"/>
  <c r="I443" s="1"/>
  <c r="H439"/>
  <c r="H443" s="1"/>
  <c r="G439"/>
  <c r="G443" s="1"/>
  <c r="F439"/>
  <c r="F443" s="1"/>
  <c r="E439"/>
  <c r="E443" s="1"/>
  <c r="D439"/>
  <c r="D443" s="1"/>
  <c r="C439"/>
  <c r="C443" s="1"/>
  <c r="B439"/>
  <c r="B443" s="1"/>
  <c r="AM437"/>
  <c r="AL437"/>
  <c r="AK437"/>
  <c r="AJ437"/>
  <c r="AI437"/>
  <c r="AH437"/>
  <c r="AG437"/>
  <c r="AF437"/>
  <c r="AN437" s="1"/>
  <c r="AC437"/>
  <c r="AB437"/>
  <c r="AA437"/>
  <c r="Z437"/>
  <c r="Y437"/>
  <c r="X437"/>
  <c r="W437"/>
  <c r="V437"/>
  <c r="AD437" s="1"/>
  <c r="S437"/>
  <c r="R437"/>
  <c r="Q437"/>
  <c r="P437"/>
  <c r="O437"/>
  <c r="N437"/>
  <c r="M437"/>
  <c r="L437"/>
  <c r="T437" s="1"/>
  <c r="I437"/>
  <c r="H437"/>
  <c r="G437"/>
  <c r="F437"/>
  <c r="E437"/>
  <c r="D437"/>
  <c r="C437"/>
  <c r="B437"/>
  <c r="J437" s="1"/>
  <c r="AP437" s="1"/>
  <c r="AM436"/>
  <c r="AL436"/>
  <c r="AK436"/>
  <c r="AJ436"/>
  <c r="AI436"/>
  <c r="AH436"/>
  <c r="AG436"/>
  <c r="AF436"/>
  <c r="AN436" s="1"/>
  <c r="AC436"/>
  <c r="AB436"/>
  <c r="AA436"/>
  <c r="Z436"/>
  <c r="Y436"/>
  <c r="X436"/>
  <c r="W436"/>
  <c r="V436"/>
  <c r="AD436" s="1"/>
  <c r="S436"/>
  <c r="R436"/>
  <c r="Q436"/>
  <c r="P436"/>
  <c r="O436"/>
  <c r="N436"/>
  <c r="M436"/>
  <c r="L436"/>
  <c r="T436" s="1"/>
  <c r="I436"/>
  <c r="H436"/>
  <c r="G436"/>
  <c r="F436"/>
  <c r="E436"/>
  <c r="D436"/>
  <c r="C436"/>
  <c r="B436"/>
  <c r="J436" s="1"/>
  <c r="AP436" s="1"/>
  <c r="AM435"/>
  <c r="AL435"/>
  <c r="AK435"/>
  <c r="AJ435"/>
  <c r="AI435"/>
  <c r="AH435"/>
  <c r="AG435"/>
  <c r="AF435"/>
  <c r="AN435" s="1"/>
  <c r="AC435"/>
  <c r="AB435"/>
  <c r="AA435"/>
  <c r="Z435"/>
  <c r="Y435"/>
  <c r="X435"/>
  <c r="W435"/>
  <c r="V435"/>
  <c r="AD435" s="1"/>
  <c r="S435"/>
  <c r="R435"/>
  <c r="Q435"/>
  <c r="P435"/>
  <c r="O435"/>
  <c r="N435"/>
  <c r="M435"/>
  <c r="L435"/>
  <c r="T435" s="1"/>
  <c r="I435"/>
  <c r="H435"/>
  <c r="G435"/>
  <c r="F435"/>
  <c r="E435"/>
  <c r="D435"/>
  <c r="C435"/>
  <c r="B435"/>
  <c r="J435" s="1"/>
  <c r="AP435" s="1"/>
  <c r="AM434"/>
  <c r="AM438" s="1"/>
  <c r="AL434"/>
  <c r="AL438" s="1"/>
  <c r="AK434"/>
  <c r="AK438" s="1"/>
  <c r="AJ434"/>
  <c r="AJ438" s="1"/>
  <c r="AI434"/>
  <c r="AI438" s="1"/>
  <c r="AH434"/>
  <c r="AH438" s="1"/>
  <c r="AG434"/>
  <c r="AG438" s="1"/>
  <c r="AF434"/>
  <c r="AF438" s="1"/>
  <c r="AC434"/>
  <c r="AC438" s="1"/>
  <c r="AB434"/>
  <c r="AB438" s="1"/>
  <c r="AA434"/>
  <c r="AA438" s="1"/>
  <c r="Z434"/>
  <c r="Z438" s="1"/>
  <c r="Y434"/>
  <c r="Y438" s="1"/>
  <c r="X434"/>
  <c r="X438" s="1"/>
  <c r="W434"/>
  <c r="W438" s="1"/>
  <c r="V434"/>
  <c r="V438" s="1"/>
  <c r="S434"/>
  <c r="S438" s="1"/>
  <c r="R434"/>
  <c r="R438" s="1"/>
  <c r="Q434"/>
  <c r="Q438" s="1"/>
  <c r="P434"/>
  <c r="P438" s="1"/>
  <c r="O434"/>
  <c r="O438" s="1"/>
  <c r="N434"/>
  <c r="N438" s="1"/>
  <c r="M434"/>
  <c r="M438" s="1"/>
  <c r="L434"/>
  <c r="L438" s="1"/>
  <c r="I434"/>
  <c r="I438" s="1"/>
  <c r="H434"/>
  <c r="H438" s="1"/>
  <c r="G434"/>
  <c r="G438" s="1"/>
  <c r="F434"/>
  <c r="F438" s="1"/>
  <c r="E434"/>
  <c r="E438" s="1"/>
  <c r="D434"/>
  <c r="D438" s="1"/>
  <c r="C434"/>
  <c r="C438" s="1"/>
  <c r="B434"/>
  <c r="B438" s="1"/>
  <c r="AM432"/>
  <c r="AL432"/>
  <c r="AK432"/>
  <c r="AJ432"/>
  <c r="AI432"/>
  <c r="AH432"/>
  <c r="AG432"/>
  <c r="AF432"/>
  <c r="AN432" s="1"/>
  <c r="AC432"/>
  <c r="AB432"/>
  <c r="AA432"/>
  <c r="Z432"/>
  <c r="Y432"/>
  <c r="X432"/>
  <c r="W432"/>
  <c r="V432"/>
  <c r="AD432" s="1"/>
  <c r="S432"/>
  <c r="R432"/>
  <c r="Q432"/>
  <c r="P432"/>
  <c r="O432"/>
  <c r="N432"/>
  <c r="M432"/>
  <c r="L432"/>
  <c r="T432" s="1"/>
  <c r="I432"/>
  <c r="H432"/>
  <c r="G432"/>
  <c r="F432"/>
  <c r="E432"/>
  <c r="D432"/>
  <c r="C432"/>
  <c r="B432"/>
  <c r="J432" s="1"/>
  <c r="AP432" s="1"/>
  <c r="AM431"/>
  <c r="AL431"/>
  <c r="AK431"/>
  <c r="AJ431"/>
  <c r="AI431"/>
  <c r="AH431"/>
  <c r="AG431"/>
  <c r="AF431"/>
  <c r="AN431" s="1"/>
  <c r="AC431"/>
  <c r="AB431"/>
  <c r="AA431"/>
  <c r="Z431"/>
  <c r="Y431"/>
  <c r="X431"/>
  <c r="W431"/>
  <c r="V431"/>
  <c r="AD431" s="1"/>
  <c r="S431"/>
  <c r="R431"/>
  <c r="Q431"/>
  <c r="P431"/>
  <c r="O431"/>
  <c r="N431"/>
  <c r="M431"/>
  <c r="L431"/>
  <c r="T431" s="1"/>
  <c r="I431"/>
  <c r="H431"/>
  <c r="G431"/>
  <c r="F431"/>
  <c r="E431"/>
  <c r="D431"/>
  <c r="C431"/>
  <c r="B431"/>
  <c r="J431" s="1"/>
  <c r="AP431" s="1"/>
  <c r="AM430"/>
  <c r="AL430"/>
  <c r="AK430"/>
  <c r="AJ430"/>
  <c r="AI430"/>
  <c r="AH430"/>
  <c r="AG430"/>
  <c r="AF430"/>
  <c r="AN430" s="1"/>
  <c r="AC430"/>
  <c r="AB430"/>
  <c r="AA430"/>
  <c r="Z430"/>
  <c r="Y430"/>
  <c r="X430"/>
  <c r="W430"/>
  <c r="V430"/>
  <c r="AD430" s="1"/>
  <c r="S430"/>
  <c r="R430"/>
  <c r="Q430"/>
  <c r="P430"/>
  <c r="O430"/>
  <c r="N430"/>
  <c r="M430"/>
  <c r="L430"/>
  <c r="T430" s="1"/>
  <c r="I430"/>
  <c r="H430"/>
  <c r="G430"/>
  <c r="F430"/>
  <c r="E430"/>
  <c r="D430"/>
  <c r="C430"/>
  <c r="B430"/>
  <c r="J430" s="1"/>
  <c r="AP430" s="1"/>
  <c r="AM429"/>
  <c r="AM433" s="1"/>
  <c r="AL429"/>
  <c r="AL433" s="1"/>
  <c r="AK429"/>
  <c r="AK433" s="1"/>
  <c r="AJ429"/>
  <c r="AJ433" s="1"/>
  <c r="AI429"/>
  <c r="AI433" s="1"/>
  <c r="AH429"/>
  <c r="AH433" s="1"/>
  <c r="AG429"/>
  <c r="AG433" s="1"/>
  <c r="AF429"/>
  <c r="AF433" s="1"/>
  <c r="AC429"/>
  <c r="AC433" s="1"/>
  <c r="AB429"/>
  <c r="AB433" s="1"/>
  <c r="AA429"/>
  <c r="AA433" s="1"/>
  <c r="Z429"/>
  <c r="Z433" s="1"/>
  <c r="Y429"/>
  <c r="Y433" s="1"/>
  <c r="X429"/>
  <c r="X433" s="1"/>
  <c r="W429"/>
  <c r="W433" s="1"/>
  <c r="V429"/>
  <c r="V433" s="1"/>
  <c r="S429"/>
  <c r="S433" s="1"/>
  <c r="R429"/>
  <c r="R433" s="1"/>
  <c r="Q429"/>
  <c r="Q433" s="1"/>
  <c r="P429"/>
  <c r="P433" s="1"/>
  <c r="O429"/>
  <c r="O433" s="1"/>
  <c r="N429"/>
  <c r="N433" s="1"/>
  <c r="M429"/>
  <c r="M433" s="1"/>
  <c r="L429"/>
  <c r="L433" s="1"/>
  <c r="I429"/>
  <c r="I433" s="1"/>
  <c r="H429"/>
  <c r="H433" s="1"/>
  <c r="G429"/>
  <c r="G433" s="1"/>
  <c r="F429"/>
  <c r="F433" s="1"/>
  <c r="E429"/>
  <c r="E433" s="1"/>
  <c r="D429"/>
  <c r="D433" s="1"/>
  <c r="C429"/>
  <c r="C433" s="1"/>
  <c r="B429"/>
  <c r="B433" s="1"/>
  <c r="AM427"/>
  <c r="AL427"/>
  <c r="AK427"/>
  <c r="AJ427"/>
  <c r="AI427"/>
  <c r="AH427"/>
  <c r="AG427"/>
  <c r="AF427"/>
  <c r="AH426"/>
  <c r="AC427"/>
  <c r="AB427"/>
  <c r="AA427"/>
  <c r="Z427"/>
  <c r="Y427"/>
  <c r="X427"/>
  <c r="W427"/>
  <c r="V427"/>
  <c r="X426"/>
  <c r="S427"/>
  <c r="R427"/>
  <c r="Q427"/>
  <c r="P427"/>
  <c r="O427"/>
  <c r="N427"/>
  <c r="M427"/>
  <c r="L427"/>
  <c r="N426"/>
  <c r="I427"/>
  <c r="H427"/>
  <c r="G427"/>
  <c r="F427"/>
  <c r="E427"/>
  <c r="D427"/>
  <c r="C427"/>
  <c r="B427"/>
  <c r="D426"/>
  <c r="AM420"/>
  <c r="AL420"/>
  <c r="AK420"/>
  <c r="AJ420"/>
  <c r="AI420"/>
  <c r="AH420"/>
  <c r="AG420"/>
  <c r="AF420"/>
  <c r="AN420" s="1"/>
  <c r="AC420"/>
  <c r="AB420"/>
  <c r="AA420"/>
  <c r="Z420"/>
  <c r="Y420"/>
  <c r="X420"/>
  <c r="W420"/>
  <c r="V420"/>
  <c r="AD420" s="1"/>
  <c r="S420"/>
  <c r="R420"/>
  <c r="Q420"/>
  <c r="P420"/>
  <c r="O420"/>
  <c r="N420"/>
  <c r="M420"/>
  <c r="L420"/>
  <c r="T420" s="1"/>
  <c r="I420"/>
  <c r="H420"/>
  <c r="G420"/>
  <c r="F420"/>
  <c r="E420"/>
  <c r="D420"/>
  <c r="C420"/>
  <c r="B420"/>
  <c r="J420" s="1"/>
  <c r="AP420" s="1"/>
  <c r="AM419"/>
  <c r="AL419"/>
  <c r="AK419"/>
  <c r="AJ419"/>
  <c r="AI419"/>
  <c r="AH419"/>
  <c r="AG419"/>
  <c r="AF419"/>
  <c r="AN419" s="1"/>
  <c r="AC419"/>
  <c r="AB419"/>
  <c r="AA419"/>
  <c r="Z419"/>
  <c r="Y419"/>
  <c r="X419"/>
  <c r="W419"/>
  <c r="V419"/>
  <c r="AD419" s="1"/>
  <c r="S419"/>
  <c r="R419"/>
  <c r="Q419"/>
  <c r="P419"/>
  <c r="O419"/>
  <c r="N419"/>
  <c r="M419"/>
  <c r="L419"/>
  <c r="T419" s="1"/>
  <c r="I419"/>
  <c r="H419"/>
  <c r="G419"/>
  <c r="F419"/>
  <c r="E419"/>
  <c r="D419"/>
  <c r="C419"/>
  <c r="B419"/>
  <c r="J419" s="1"/>
  <c r="AP419" s="1"/>
  <c r="AM418"/>
  <c r="AL418"/>
  <c r="AK418"/>
  <c r="AJ418"/>
  <c r="AI418"/>
  <c r="AH418"/>
  <c r="AG418"/>
  <c r="AF418"/>
  <c r="AN418" s="1"/>
  <c r="AC418"/>
  <c r="AB418"/>
  <c r="AA418"/>
  <c r="Z418"/>
  <c r="Y418"/>
  <c r="X418"/>
  <c r="W418"/>
  <c r="V418"/>
  <c r="AD418" s="1"/>
  <c r="S418"/>
  <c r="R418"/>
  <c r="Q418"/>
  <c r="P418"/>
  <c r="O418"/>
  <c r="N418"/>
  <c r="M418"/>
  <c r="L418"/>
  <c r="T418" s="1"/>
  <c r="I418"/>
  <c r="H418"/>
  <c r="G418"/>
  <c r="F418"/>
  <c r="E418"/>
  <c r="D418"/>
  <c r="C418"/>
  <c r="B418"/>
  <c r="J418" s="1"/>
  <c r="AP418" s="1"/>
  <c r="AM417"/>
  <c r="AM421" s="1"/>
  <c r="AL417"/>
  <c r="AL421" s="1"/>
  <c r="AK417"/>
  <c r="AK421" s="1"/>
  <c r="AJ417"/>
  <c r="AJ421" s="1"/>
  <c r="AI417"/>
  <c r="AI421" s="1"/>
  <c r="AH417"/>
  <c r="AH421" s="1"/>
  <c r="AG417"/>
  <c r="AG421" s="1"/>
  <c r="AF417"/>
  <c r="AF421" s="1"/>
  <c r="AC417"/>
  <c r="AC421" s="1"/>
  <c r="AB417"/>
  <c r="AB421" s="1"/>
  <c r="AA417"/>
  <c r="AA421" s="1"/>
  <c r="Z417"/>
  <c r="Z421" s="1"/>
  <c r="Y417"/>
  <c r="Y421" s="1"/>
  <c r="X417"/>
  <c r="X421" s="1"/>
  <c r="W417"/>
  <c r="W421" s="1"/>
  <c r="V417"/>
  <c r="V421" s="1"/>
  <c r="S417"/>
  <c r="S421" s="1"/>
  <c r="R417"/>
  <c r="R421" s="1"/>
  <c r="Q417"/>
  <c r="Q421" s="1"/>
  <c r="P417"/>
  <c r="P421" s="1"/>
  <c r="O417"/>
  <c r="O421" s="1"/>
  <c r="N417"/>
  <c r="N421" s="1"/>
  <c r="M417"/>
  <c r="M421" s="1"/>
  <c r="L417"/>
  <c r="L421" s="1"/>
  <c r="I417"/>
  <c r="I421" s="1"/>
  <c r="H417"/>
  <c r="H421" s="1"/>
  <c r="G417"/>
  <c r="G421" s="1"/>
  <c r="F417"/>
  <c r="F421" s="1"/>
  <c r="E417"/>
  <c r="E421" s="1"/>
  <c r="D417"/>
  <c r="D421" s="1"/>
  <c r="C417"/>
  <c r="C421" s="1"/>
  <c r="B417"/>
  <c r="B421" s="1"/>
  <c r="AM415"/>
  <c r="AL415"/>
  <c r="AK415"/>
  <c r="AJ415"/>
  <c r="AI415"/>
  <c r="AH415"/>
  <c r="AG415"/>
  <c r="AF415"/>
  <c r="AN415" s="1"/>
  <c r="AC415"/>
  <c r="AB415"/>
  <c r="AA415"/>
  <c r="Z415"/>
  <c r="Y415"/>
  <c r="X415"/>
  <c r="W415"/>
  <c r="V415"/>
  <c r="AD415" s="1"/>
  <c r="S415"/>
  <c r="R415"/>
  <c r="Q415"/>
  <c r="P415"/>
  <c r="O415"/>
  <c r="N415"/>
  <c r="M415"/>
  <c r="L415"/>
  <c r="T415" s="1"/>
  <c r="I415"/>
  <c r="H415"/>
  <c r="G415"/>
  <c r="F415"/>
  <c r="E415"/>
  <c r="D415"/>
  <c r="C415"/>
  <c r="B415"/>
  <c r="J415" s="1"/>
  <c r="AP415" s="1"/>
  <c r="AM414"/>
  <c r="AL414"/>
  <c r="AK414"/>
  <c r="AJ414"/>
  <c r="AI414"/>
  <c r="AH414"/>
  <c r="AG414"/>
  <c r="AF414"/>
  <c r="AN414" s="1"/>
  <c r="AC414"/>
  <c r="AB414"/>
  <c r="AA414"/>
  <c r="Z414"/>
  <c r="Y414"/>
  <c r="X414"/>
  <c r="W414"/>
  <c r="V414"/>
  <c r="AD414" s="1"/>
  <c r="S414"/>
  <c r="R414"/>
  <c r="Q414"/>
  <c r="P414"/>
  <c r="O414"/>
  <c r="N414"/>
  <c r="M414"/>
  <c r="L414"/>
  <c r="T414" s="1"/>
  <c r="I414"/>
  <c r="H414"/>
  <c r="G414"/>
  <c r="F414"/>
  <c r="E414"/>
  <c r="D414"/>
  <c r="C414"/>
  <c r="B414"/>
  <c r="J414" s="1"/>
  <c r="AP414" s="1"/>
  <c r="AM413"/>
  <c r="AL413"/>
  <c r="AK413"/>
  <c r="AJ413"/>
  <c r="AI413"/>
  <c r="AH413"/>
  <c r="AG413"/>
  <c r="AF413"/>
  <c r="AN413" s="1"/>
  <c r="AC413"/>
  <c r="AB413"/>
  <c r="AA413"/>
  <c r="Z413"/>
  <c r="Y413"/>
  <c r="X413"/>
  <c r="W413"/>
  <c r="V413"/>
  <c r="AD413" s="1"/>
  <c r="S413"/>
  <c r="R413"/>
  <c r="Q413"/>
  <c r="P413"/>
  <c r="O413"/>
  <c r="N413"/>
  <c r="M413"/>
  <c r="L413"/>
  <c r="T413" s="1"/>
  <c r="I413"/>
  <c r="H413"/>
  <c r="G413"/>
  <c r="F413"/>
  <c r="E413"/>
  <c r="D413"/>
  <c r="C413"/>
  <c r="B413"/>
  <c r="J413" s="1"/>
  <c r="AP413" s="1"/>
  <c r="AM412"/>
  <c r="AM416" s="1"/>
  <c r="AL412"/>
  <c r="AL416" s="1"/>
  <c r="AK412"/>
  <c r="AK416" s="1"/>
  <c r="AJ412"/>
  <c r="AJ416" s="1"/>
  <c r="AI412"/>
  <c r="AI416" s="1"/>
  <c r="AH412"/>
  <c r="AH416" s="1"/>
  <c r="AG412"/>
  <c r="AG416" s="1"/>
  <c r="AF412"/>
  <c r="AF416" s="1"/>
  <c r="AC412"/>
  <c r="AC416" s="1"/>
  <c r="AB412"/>
  <c r="AB416" s="1"/>
  <c r="AA412"/>
  <c r="AA416" s="1"/>
  <c r="Z412"/>
  <c r="Z416" s="1"/>
  <c r="Y412"/>
  <c r="Y416" s="1"/>
  <c r="X412"/>
  <c r="X416" s="1"/>
  <c r="W412"/>
  <c r="W416" s="1"/>
  <c r="V412"/>
  <c r="V416" s="1"/>
  <c r="S412"/>
  <c r="S416" s="1"/>
  <c r="R412"/>
  <c r="R416" s="1"/>
  <c r="Q412"/>
  <c r="Q416" s="1"/>
  <c r="P412"/>
  <c r="P416" s="1"/>
  <c r="O412"/>
  <c r="O416" s="1"/>
  <c r="N412"/>
  <c r="N416" s="1"/>
  <c r="M412"/>
  <c r="M416" s="1"/>
  <c r="L412"/>
  <c r="L416" s="1"/>
  <c r="I412"/>
  <c r="I416" s="1"/>
  <c r="H412"/>
  <c r="H416" s="1"/>
  <c r="G412"/>
  <c r="G416" s="1"/>
  <c r="F412"/>
  <c r="F416" s="1"/>
  <c r="E412"/>
  <c r="E416" s="1"/>
  <c r="D412"/>
  <c r="D416" s="1"/>
  <c r="C412"/>
  <c r="C416" s="1"/>
  <c r="B412"/>
  <c r="B416" s="1"/>
  <c r="AM410"/>
  <c r="AL410"/>
  <c r="AK410"/>
  <c r="AJ410"/>
  <c r="AI410"/>
  <c r="AH410"/>
  <c r="AG410"/>
  <c r="AF410"/>
  <c r="AN410" s="1"/>
  <c r="AC410"/>
  <c r="AB410"/>
  <c r="AA410"/>
  <c r="Z410"/>
  <c r="Y410"/>
  <c r="X410"/>
  <c r="W410"/>
  <c r="V410"/>
  <c r="AD410" s="1"/>
  <c r="S410"/>
  <c r="R410"/>
  <c r="Q410"/>
  <c r="P410"/>
  <c r="O410"/>
  <c r="N410"/>
  <c r="M410"/>
  <c r="L410"/>
  <c r="T410" s="1"/>
  <c r="I410"/>
  <c r="H410"/>
  <c r="G410"/>
  <c r="F410"/>
  <c r="E410"/>
  <c r="D410"/>
  <c r="C410"/>
  <c r="B410"/>
  <c r="J410" s="1"/>
  <c r="AP410" s="1"/>
  <c r="AM409"/>
  <c r="AL409"/>
  <c r="AK409"/>
  <c r="AJ409"/>
  <c r="AI409"/>
  <c r="AH409"/>
  <c r="AG409"/>
  <c r="AF409"/>
  <c r="AN409" s="1"/>
  <c r="AC409"/>
  <c r="AB409"/>
  <c r="AA409"/>
  <c r="Z409"/>
  <c r="Y409"/>
  <c r="X409"/>
  <c r="W409"/>
  <c r="V409"/>
  <c r="AD409" s="1"/>
  <c r="S409"/>
  <c r="R409"/>
  <c r="Q409"/>
  <c r="P409"/>
  <c r="O409"/>
  <c r="N409"/>
  <c r="M409"/>
  <c r="L409"/>
  <c r="T409" s="1"/>
  <c r="I409"/>
  <c r="H409"/>
  <c r="G409"/>
  <c r="F409"/>
  <c r="E409"/>
  <c r="D409"/>
  <c r="C409"/>
  <c r="B409"/>
  <c r="J409" s="1"/>
  <c r="AP409" s="1"/>
  <c r="AM408"/>
  <c r="AL408"/>
  <c r="AK408"/>
  <c r="AJ408"/>
  <c r="AI408"/>
  <c r="AH408"/>
  <c r="AG408"/>
  <c r="AF408"/>
  <c r="AN408" s="1"/>
  <c r="AC408"/>
  <c r="AB408"/>
  <c r="AA408"/>
  <c r="Z408"/>
  <c r="Y408"/>
  <c r="X408"/>
  <c r="W408"/>
  <c r="V408"/>
  <c r="AD408" s="1"/>
  <c r="S408"/>
  <c r="R408"/>
  <c r="Q408"/>
  <c r="P408"/>
  <c r="O408"/>
  <c r="N408"/>
  <c r="M408"/>
  <c r="L408"/>
  <c r="T408" s="1"/>
  <c r="I408"/>
  <c r="H408"/>
  <c r="G408"/>
  <c r="F408"/>
  <c r="E408"/>
  <c r="D408"/>
  <c r="C408"/>
  <c r="B408"/>
  <c r="J408" s="1"/>
  <c r="AP408" s="1"/>
  <c r="AM407"/>
  <c r="AM411" s="1"/>
  <c r="AL407"/>
  <c r="AL411" s="1"/>
  <c r="AK407"/>
  <c r="AK411" s="1"/>
  <c r="AJ407"/>
  <c r="AJ411" s="1"/>
  <c r="AI407"/>
  <c r="AI411" s="1"/>
  <c r="AH407"/>
  <c r="AH411" s="1"/>
  <c r="AG407"/>
  <c r="AG411" s="1"/>
  <c r="AF407"/>
  <c r="AF411" s="1"/>
  <c r="AC407"/>
  <c r="AC411" s="1"/>
  <c r="AB407"/>
  <c r="AB411" s="1"/>
  <c r="AA407"/>
  <c r="AA411" s="1"/>
  <c r="Z407"/>
  <c r="Z411" s="1"/>
  <c r="Y407"/>
  <c r="Y411" s="1"/>
  <c r="X407"/>
  <c r="X411" s="1"/>
  <c r="W407"/>
  <c r="W411" s="1"/>
  <c r="V407"/>
  <c r="V411" s="1"/>
  <c r="S407"/>
  <c r="S411" s="1"/>
  <c r="R407"/>
  <c r="R411" s="1"/>
  <c r="Q407"/>
  <c r="Q411" s="1"/>
  <c r="P407"/>
  <c r="P411" s="1"/>
  <c r="O407"/>
  <c r="O411" s="1"/>
  <c r="N407"/>
  <c r="N411" s="1"/>
  <c r="M407"/>
  <c r="M411" s="1"/>
  <c r="L407"/>
  <c r="L411" s="1"/>
  <c r="I407"/>
  <c r="I411" s="1"/>
  <c r="H407"/>
  <c r="H411" s="1"/>
  <c r="G407"/>
  <c r="G411" s="1"/>
  <c r="F407"/>
  <c r="F411" s="1"/>
  <c r="E407"/>
  <c r="E411" s="1"/>
  <c r="D407"/>
  <c r="D411" s="1"/>
  <c r="C407"/>
  <c r="C411" s="1"/>
  <c r="B407"/>
  <c r="B411" s="1"/>
  <c r="AM405"/>
  <c r="AL405"/>
  <c r="AK405"/>
  <c r="AJ405"/>
  <c r="AI405"/>
  <c r="AH405"/>
  <c r="AG405"/>
  <c r="AF405"/>
  <c r="AN405" s="1"/>
  <c r="AC405"/>
  <c r="AB405"/>
  <c r="AA405"/>
  <c r="Z405"/>
  <c r="Y405"/>
  <c r="X405"/>
  <c r="W405"/>
  <c r="V405"/>
  <c r="AD405" s="1"/>
  <c r="S405"/>
  <c r="R405"/>
  <c r="Q405"/>
  <c r="P405"/>
  <c r="O405"/>
  <c r="N405"/>
  <c r="M405"/>
  <c r="L405"/>
  <c r="T405" s="1"/>
  <c r="I405"/>
  <c r="H405"/>
  <c r="G405"/>
  <c r="F405"/>
  <c r="E405"/>
  <c r="D405"/>
  <c r="C405"/>
  <c r="B405"/>
  <c r="J405" s="1"/>
  <c r="AP405" s="1"/>
  <c r="AM404"/>
  <c r="AL404"/>
  <c r="AK404"/>
  <c r="AJ404"/>
  <c r="AI404"/>
  <c r="AH404"/>
  <c r="AG404"/>
  <c r="AF404"/>
  <c r="AN404" s="1"/>
  <c r="AC404"/>
  <c r="AB404"/>
  <c r="AA404"/>
  <c r="Z404"/>
  <c r="Y404"/>
  <c r="X404"/>
  <c r="W404"/>
  <c r="V404"/>
  <c r="AD404" s="1"/>
  <c r="S404"/>
  <c r="R404"/>
  <c r="Q404"/>
  <c r="P404"/>
  <c r="O404"/>
  <c r="N404"/>
  <c r="M404"/>
  <c r="L404"/>
  <c r="T404" s="1"/>
  <c r="I404"/>
  <c r="H404"/>
  <c r="G404"/>
  <c r="F404"/>
  <c r="E404"/>
  <c r="D404"/>
  <c r="C404"/>
  <c r="B404"/>
  <c r="J404" s="1"/>
  <c r="AP404" s="1"/>
  <c r="AM403"/>
  <c r="AL403"/>
  <c r="AK403"/>
  <c r="AJ403"/>
  <c r="AI403"/>
  <c r="AH403"/>
  <c r="AG403"/>
  <c r="AF403"/>
  <c r="AN403" s="1"/>
  <c r="AC403"/>
  <c r="AB403"/>
  <c r="AA403"/>
  <c r="Z403"/>
  <c r="Y403"/>
  <c r="X403"/>
  <c r="W403"/>
  <c r="V403"/>
  <c r="AD403" s="1"/>
  <c r="S403"/>
  <c r="R403"/>
  <c r="Q403"/>
  <c r="P403"/>
  <c r="O403"/>
  <c r="N403"/>
  <c r="M403"/>
  <c r="L403"/>
  <c r="T403" s="1"/>
  <c r="I403"/>
  <c r="H403"/>
  <c r="G403"/>
  <c r="F403"/>
  <c r="E403"/>
  <c r="D403"/>
  <c r="C403"/>
  <c r="B403"/>
  <c r="J403" s="1"/>
  <c r="AP403" s="1"/>
  <c r="AM402"/>
  <c r="AM406" s="1"/>
  <c r="AL402"/>
  <c r="AL406" s="1"/>
  <c r="AK402"/>
  <c r="AK406" s="1"/>
  <c r="AJ402"/>
  <c r="AJ406" s="1"/>
  <c r="AI402"/>
  <c r="AI406" s="1"/>
  <c r="AH402"/>
  <c r="AH406" s="1"/>
  <c r="AG402"/>
  <c r="AG406" s="1"/>
  <c r="AF402"/>
  <c r="AF406" s="1"/>
  <c r="AC402"/>
  <c r="AC406" s="1"/>
  <c r="AB402"/>
  <c r="AB406" s="1"/>
  <c r="AA402"/>
  <c r="AA406" s="1"/>
  <c r="Z402"/>
  <c r="Z406" s="1"/>
  <c r="Y402"/>
  <c r="Y406" s="1"/>
  <c r="X402"/>
  <c r="X406" s="1"/>
  <c r="W402"/>
  <c r="W406" s="1"/>
  <c r="V402"/>
  <c r="V406" s="1"/>
  <c r="S402"/>
  <c r="S406" s="1"/>
  <c r="R402"/>
  <c r="R406" s="1"/>
  <c r="Q402"/>
  <c r="Q406" s="1"/>
  <c r="P402"/>
  <c r="P406" s="1"/>
  <c r="O402"/>
  <c r="O406" s="1"/>
  <c r="N402"/>
  <c r="N406" s="1"/>
  <c r="M402"/>
  <c r="M406" s="1"/>
  <c r="L402"/>
  <c r="L406" s="1"/>
  <c r="I402"/>
  <c r="I406" s="1"/>
  <c r="H402"/>
  <c r="H406" s="1"/>
  <c r="G402"/>
  <c r="G406" s="1"/>
  <c r="F402"/>
  <c r="F406" s="1"/>
  <c r="E402"/>
  <c r="E406" s="1"/>
  <c r="D402"/>
  <c r="D406" s="1"/>
  <c r="C402"/>
  <c r="C406" s="1"/>
  <c r="B402"/>
  <c r="B406" s="1"/>
  <c r="AM400"/>
  <c r="AL400"/>
  <c r="AK400"/>
  <c r="AJ400"/>
  <c r="AI400"/>
  <c r="AH400"/>
  <c r="AG400"/>
  <c r="AF400"/>
  <c r="AN400" s="1"/>
  <c r="AC400"/>
  <c r="AB400"/>
  <c r="AA400"/>
  <c r="Z400"/>
  <c r="Y400"/>
  <c r="X400"/>
  <c r="W400"/>
  <c r="V400"/>
  <c r="AD400" s="1"/>
  <c r="S400"/>
  <c r="R400"/>
  <c r="Q400"/>
  <c r="P400"/>
  <c r="O400"/>
  <c r="N400"/>
  <c r="M400"/>
  <c r="L400"/>
  <c r="T400" s="1"/>
  <c r="I400"/>
  <c r="H400"/>
  <c r="G400"/>
  <c r="F400"/>
  <c r="E400"/>
  <c r="D400"/>
  <c r="C400"/>
  <c r="B400"/>
  <c r="J400" s="1"/>
  <c r="AP400" s="1"/>
  <c r="AM399"/>
  <c r="AL399"/>
  <c r="AK399"/>
  <c r="AJ399"/>
  <c r="AI399"/>
  <c r="AH399"/>
  <c r="AG399"/>
  <c r="AF399"/>
  <c r="AN399" s="1"/>
  <c r="AC399"/>
  <c r="AB399"/>
  <c r="AA399"/>
  <c r="Z399"/>
  <c r="Y399"/>
  <c r="X399"/>
  <c r="W399"/>
  <c r="V399"/>
  <c r="AD399" s="1"/>
  <c r="S399"/>
  <c r="R399"/>
  <c r="Q399"/>
  <c r="P399"/>
  <c r="O399"/>
  <c r="N399"/>
  <c r="M399"/>
  <c r="L399"/>
  <c r="T399" s="1"/>
  <c r="I399"/>
  <c r="H399"/>
  <c r="G399"/>
  <c r="F399"/>
  <c r="E399"/>
  <c r="D399"/>
  <c r="C399"/>
  <c r="B399"/>
  <c r="J399" s="1"/>
  <c r="AP399" s="1"/>
  <c r="AM398"/>
  <c r="AL398"/>
  <c r="AK398"/>
  <c r="AJ398"/>
  <c r="AI398"/>
  <c r="AH398"/>
  <c r="AG398"/>
  <c r="AF398"/>
  <c r="AN398" s="1"/>
  <c r="AC398"/>
  <c r="AB398"/>
  <c r="AA398"/>
  <c r="Z398"/>
  <c r="Y398"/>
  <c r="X398"/>
  <c r="W398"/>
  <c r="V398"/>
  <c r="AD398" s="1"/>
  <c r="S398"/>
  <c r="R398"/>
  <c r="Q398"/>
  <c r="P398"/>
  <c r="O398"/>
  <c r="N398"/>
  <c r="M398"/>
  <c r="L398"/>
  <c r="T398" s="1"/>
  <c r="I398"/>
  <c r="H398"/>
  <c r="G398"/>
  <c r="F398"/>
  <c r="E398"/>
  <c r="D398"/>
  <c r="C398"/>
  <c r="B398"/>
  <c r="J398" s="1"/>
  <c r="AP398" s="1"/>
  <c r="AM397"/>
  <c r="AM401" s="1"/>
  <c r="AL397"/>
  <c r="AL401" s="1"/>
  <c r="AK397"/>
  <c r="AK401" s="1"/>
  <c r="AJ397"/>
  <c r="AJ401" s="1"/>
  <c r="AI397"/>
  <c r="AI401" s="1"/>
  <c r="AH397"/>
  <c r="AH401" s="1"/>
  <c r="AG397"/>
  <c r="AG401" s="1"/>
  <c r="AF397"/>
  <c r="AF401" s="1"/>
  <c r="AC397"/>
  <c r="AC401" s="1"/>
  <c r="AB397"/>
  <c r="AB401" s="1"/>
  <c r="AA397"/>
  <c r="AA401" s="1"/>
  <c r="Z397"/>
  <c r="Z401" s="1"/>
  <c r="Y397"/>
  <c r="Y401" s="1"/>
  <c r="X397"/>
  <c r="X401" s="1"/>
  <c r="W397"/>
  <c r="W401" s="1"/>
  <c r="V397"/>
  <c r="S397"/>
  <c r="S401" s="1"/>
  <c r="R397"/>
  <c r="R401" s="1"/>
  <c r="Q397"/>
  <c r="Q401" s="1"/>
  <c r="P397"/>
  <c r="P401" s="1"/>
  <c r="O397"/>
  <c r="O401" s="1"/>
  <c r="N397"/>
  <c r="N401" s="1"/>
  <c r="M397"/>
  <c r="M401" s="1"/>
  <c r="L397"/>
  <c r="L401" s="1"/>
  <c r="I397"/>
  <c r="I401" s="1"/>
  <c r="H397"/>
  <c r="H401" s="1"/>
  <c r="G397"/>
  <c r="G401" s="1"/>
  <c r="F397"/>
  <c r="F401" s="1"/>
  <c r="E397"/>
  <c r="E401" s="1"/>
  <c r="D397"/>
  <c r="D401" s="1"/>
  <c r="C397"/>
  <c r="C401" s="1"/>
  <c r="B397"/>
  <c r="B401" s="1"/>
  <c r="AM395"/>
  <c r="AL395"/>
  <c r="AK395"/>
  <c r="AJ395"/>
  <c r="AI395"/>
  <c r="AH395"/>
  <c r="AG395"/>
  <c r="AF395"/>
  <c r="AN395" s="1"/>
  <c r="AC395"/>
  <c r="AB395"/>
  <c r="AA395"/>
  <c r="Z395"/>
  <c r="Y395"/>
  <c r="X395"/>
  <c r="W395"/>
  <c r="V395"/>
  <c r="AD395" s="1"/>
  <c r="S395"/>
  <c r="R395"/>
  <c r="Q395"/>
  <c r="P395"/>
  <c r="O395"/>
  <c r="N395"/>
  <c r="M395"/>
  <c r="L395"/>
  <c r="T395" s="1"/>
  <c r="I395"/>
  <c r="H395"/>
  <c r="G395"/>
  <c r="F395"/>
  <c r="E395"/>
  <c r="D395"/>
  <c r="C395"/>
  <c r="B395"/>
  <c r="J395" s="1"/>
  <c r="AP395" s="1"/>
  <c r="AM394"/>
  <c r="AL394"/>
  <c r="AK394"/>
  <c r="AJ394"/>
  <c r="AI394"/>
  <c r="AH394"/>
  <c r="AG394"/>
  <c r="AF394"/>
  <c r="AN394" s="1"/>
  <c r="AC394"/>
  <c r="AB394"/>
  <c r="AA394"/>
  <c r="Z394"/>
  <c r="Y394"/>
  <c r="X394"/>
  <c r="W394"/>
  <c r="V394"/>
  <c r="AD394" s="1"/>
  <c r="S394"/>
  <c r="R394"/>
  <c r="Q394"/>
  <c r="P394"/>
  <c r="O394"/>
  <c r="N394"/>
  <c r="M394"/>
  <c r="L394"/>
  <c r="T394" s="1"/>
  <c r="I394"/>
  <c r="H394"/>
  <c r="G394"/>
  <c r="F394"/>
  <c r="E394"/>
  <c r="D394"/>
  <c r="C394"/>
  <c r="B394"/>
  <c r="J394" s="1"/>
  <c r="AP394" s="1"/>
  <c r="AM393"/>
  <c r="AL393"/>
  <c r="AK393"/>
  <c r="AJ393"/>
  <c r="AI393"/>
  <c r="AH393"/>
  <c r="AG393"/>
  <c r="AF393"/>
  <c r="AN393" s="1"/>
  <c r="AC393"/>
  <c r="AB393"/>
  <c r="AA393"/>
  <c r="Z393"/>
  <c r="Y393"/>
  <c r="X393"/>
  <c r="W393"/>
  <c r="V393"/>
  <c r="AD393" s="1"/>
  <c r="S393"/>
  <c r="R393"/>
  <c r="Q393"/>
  <c r="P393"/>
  <c r="O393"/>
  <c r="N393"/>
  <c r="M393"/>
  <c r="L393"/>
  <c r="T393" s="1"/>
  <c r="I393"/>
  <c r="H393"/>
  <c r="G393"/>
  <c r="F393"/>
  <c r="E393"/>
  <c r="D393"/>
  <c r="C393"/>
  <c r="B393"/>
  <c r="J393" s="1"/>
  <c r="AP393" s="1"/>
  <c r="AM392"/>
  <c r="AM396" s="1"/>
  <c r="AL392"/>
  <c r="AL396" s="1"/>
  <c r="AK392"/>
  <c r="AK396" s="1"/>
  <c r="AJ392"/>
  <c r="AJ396" s="1"/>
  <c r="AI392"/>
  <c r="AI396" s="1"/>
  <c r="AH392"/>
  <c r="AH396" s="1"/>
  <c r="AG392"/>
  <c r="AG396" s="1"/>
  <c r="AF392"/>
  <c r="AF396" s="1"/>
  <c r="AC392"/>
  <c r="AC396" s="1"/>
  <c r="AB392"/>
  <c r="AB396" s="1"/>
  <c r="AA392"/>
  <c r="AA396" s="1"/>
  <c r="Z392"/>
  <c r="Z396" s="1"/>
  <c r="Y392"/>
  <c r="Y396" s="1"/>
  <c r="X392"/>
  <c r="X396" s="1"/>
  <c r="W392"/>
  <c r="W396" s="1"/>
  <c r="V392"/>
  <c r="V396" s="1"/>
  <c r="S392"/>
  <c r="S396" s="1"/>
  <c r="R392"/>
  <c r="R396" s="1"/>
  <c r="Q392"/>
  <c r="Q396" s="1"/>
  <c r="P392"/>
  <c r="P396" s="1"/>
  <c r="O392"/>
  <c r="O396" s="1"/>
  <c r="N392"/>
  <c r="N396" s="1"/>
  <c r="M392"/>
  <c r="M396" s="1"/>
  <c r="L392"/>
  <c r="L396" s="1"/>
  <c r="I392"/>
  <c r="I396" s="1"/>
  <c r="H392"/>
  <c r="H396" s="1"/>
  <c r="G392"/>
  <c r="G396" s="1"/>
  <c r="F392"/>
  <c r="F396" s="1"/>
  <c r="E392"/>
  <c r="E396" s="1"/>
  <c r="D392"/>
  <c r="D396" s="1"/>
  <c r="C392"/>
  <c r="C396" s="1"/>
  <c r="B392"/>
  <c r="B396" s="1"/>
  <c r="AM390"/>
  <c r="AL390"/>
  <c r="AK390"/>
  <c r="AJ390"/>
  <c r="AI390"/>
  <c r="AH390"/>
  <c r="AG390"/>
  <c r="AF390"/>
  <c r="AH389"/>
  <c r="AC390"/>
  <c r="AB390"/>
  <c r="AA390"/>
  <c r="Z390"/>
  <c r="Y390"/>
  <c r="X390"/>
  <c r="W390"/>
  <c r="V390"/>
  <c r="X389"/>
  <c r="S390"/>
  <c r="R390"/>
  <c r="Q390"/>
  <c r="P390"/>
  <c r="O390"/>
  <c r="N390"/>
  <c r="M390"/>
  <c r="L390"/>
  <c r="N389"/>
  <c r="I390"/>
  <c r="H390"/>
  <c r="G390"/>
  <c r="F390"/>
  <c r="E390"/>
  <c r="D390"/>
  <c r="C390"/>
  <c r="B390"/>
  <c r="D389"/>
  <c r="AM381"/>
  <c r="AL381"/>
  <c r="AK381"/>
  <c r="AJ381"/>
  <c r="AI381"/>
  <c r="AH381"/>
  <c r="AG381"/>
  <c r="AF381"/>
  <c r="AN381" s="1"/>
  <c r="AC381"/>
  <c r="AB381"/>
  <c r="AA381"/>
  <c r="Z381"/>
  <c r="Y381"/>
  <c r="X381"/>
  <c r="W381"/>
  <c r="V381"/>
  <c r="AD381" s="1"/>
  <c r="S381"/>
  <c r="R381"/>
  <c r="Q381"/>
  <c r="P381"/>
  <c r="O381"/>
  <c r="N381"/>
  <c r="M381"/>
  <c r="L381"/>
  <c r="T381" s="1"/>
  <c r="I381"/>
  <c r="H381"/>
  <c r="G381"/>
  <c r="F381"/>
  <c r="E381"/>
  <c r="D381"/>
  <c r="C381"/>
  <c r="B381"/>
  <c r="J381" s="1"/>
  <c r="AP381" s="1"/>
  <c r="AM380"/>
  <c r="AL380"/>
  <c r="AK380"/>
  <c r="AJ380"/>
  <c r="AI380"/>
  <c r="AH380"/>
  <c r="AG380"/>
  <c r="AF380"/>
  <c r="AN380" s="1"/>
  <c r="AC380"/>
  <c r="AB380"/>
  <c r="AA380"/>
  <c r="Z380"/>
  <c r="Y380"/>
  <c r="X380"/>
  <c r="W380"/>
  <c r="V380"/>
  <c r="AD380" s="1"/>
  <c r="S380"/>
  <c r="R380"/>
  <c r="Q380"/>
  <c r="P380"/>
  <c r="O380"/>
  <c r="N380"/>
  <c r="M380"/>
  <c r="L380"/>
  <c r="T380" s="1"/>
  <c r="I380"/>
  <c r="H380"/>
  <c r="G380"/>
  <c r="F380"/>
  <c r="E380"/>
  <c r="D380"/>
  <c r="C380"/>
  <c r="B380"/>
  <c r="J380" s="1"/>
  <c r="AP380" s="1"/>
  <c r="AM379"/>
  <c r="AL379"/>
  <c r="AK379"/>
  <c r="AJ379"/>
  <c r="AI379"/>
  <c r="AH379"/>
  <c r="AG379"/>
  <c r="AF379"/>
  <c r="AN379" s="1"/>
  <c r="AC379"/>
  <c r="AB379"/>
  <c r="AA379"/>
  <c r="Z379"/>
  <c r="Y379"/>
  <c r="X379"/>
  <c r="W379"/>
  <c r="V379"/>
  <c r="AD379" s="1"/>
  <c r="S379"/>
  <c r="R379"/>
  <c r="Q379"/>
  <c r="P379"/>
  <c r="O379"/>
  <c r="N379"/>
  <c r="M379"/>
  <c r="L379"/>
  <c r="T379" s="1"/>
  <c r="I379"/>
  <c r="H379"/>
  <c r="G379"/>
  <c r="F379"/>
  <c r="E379"/>
  <c r="D379"/>
  <c r="C379"/>
  <c r="B379"/>
  <c r="J379" s="1"/>
  <c r="AP379" s="1"/>
  <c r="AM378"/>
  <c r="AM382" s="1"/>
  <c r="AL378"/>
  <c r="AL382" s="1"/>
  <c r="AK378"/>
  <c r="AK382" s="1"/>
  <c r="AJ378"/>
  <c r="AJ382" s="1"/>
  <c r="AI378"/>
  <c r="AI382" s="1"/>
  <c r="AH378"/>
  <c r="AH382" s="1"/>
  <c r="AG378"/>
  <c r="AG382" s="1"/>
  <c r="AF378"/>
  <c r="AF382" s="1"/>
  <c r="AC378"/>
  <c r="AC382" s="1"/>
  <c r="AB378"/>
  <c r="AB382" s="1"/>
  <c r="AA378"/>
  <c r="AA382" s="1"/>
  <c r="Z378"/>
  <c r="Z382" s="1"/>
  <c r="Y378"/>
  <c r="Y382" s="1"/>
  <c r="X378"/>
  <c r="X382" s="1"/>
  <c r="W378"/>
  <c r="W382" s="1"/>
  <c r="V378"/>
  <c r="V382" s="1"/>
  <c r="S378"/>
  <c r="S382" s="1"/>
  <c r="R378"/>
  <c r="R382" s="1"/>
  <c r="Q378"/>
  <c r="Q382" s="1"/>
  <c r="P378"/>
  <c r="P382" s="1"/>
  <c r="O378"/>
  <c r="O382" s="1"/>
  <c r="N378"/>
  <c r="N382" s="1"/>
  <c r="M378"/>
  <c r="M382" s="1"/>
  <c r="L378"/>
  <c r="L382" s="1"/>
  <c r="I378"/>
  <c r="I382" s="1"/>
  <c r="H378"/>
  <c r="H382" s="1"/>
  <c r="G378"/>
  <c r="G382" s="1"/>
  <c r="F378"/>
  <c r="F382" s="1"/>
  <c r="E378"/>
  <c r="E382" s="1"/>
  <c r="D378"/>
  <c r="D382" s="1"/>
  <c r="C378"/>
  <c r="C382" s="1"/>
  <c r="B378"/>
  <c r="B382" s="1"/>
  <c r="AM376"/>
  <c r="AL376"/>
  <c r="AK376"/>
  <c r="AJ376"/>
  <c r="AI376"/>
  <c r="AH376"/>
  <c r="AG376"/>
  <c r="AF376"/>
  <c r="AN376" s="1"/>
  <c r="AC376"/>
  <c r="AB376"/>
  <c r="AA376"/>
  <c r="Z376"/>
  <c r="Y376"/>
  <c r="X376"/>
  <c r="W376"/>
  <c r="V376"/>
  <c r="AD376" s="1"/>
  <c r="S376"/>
  <c r="R376"/>
  <c r="Q376"/>
  <c r="P376"/>
  <c r="O376"/>
  <c r="N376"/>
  <c r="M376"/>
  <c r="L376"/>
  <c r="T376" s="1"/>
  <c r="I376"/>
  <c r="H376"/>
  <c r="G376"/>
  <c r="F376"/>
  <c r="E376"/>
  <c r="D376"/>
  <c r="C376"/>
  <c r="B376"/>
  <c r="J376" s="1"/>
  <c r="AP376" s="1"/>
  <c r="AM375"/>
  <c r="AL375"/>
  <c r="AK375"/>
  <c r="AJ375"/>
  <c r="AI375"/>
  <c r="AH375"/>
  <c r="AG375"/>
  <c r="AF375"/>
  <c r="AN375" s="1"/>
  <c r="AC375"/>
  <c r="AB375"/>
  <c r="AA375"/>
  <c r="Z375"/>
  <c r="Y375"/>
  <c r="X375"/>
  <c r="W375"/>
  <c r="V375"/>
  <c r="AD375" s="1"/>
  <c r="S375"/>
  <c r="R375"/>
  <c r="Q375"/>
  <c r="P375"/>
  <c r="O375"/>
  <c r="N375"/>
  <c r="M375"/>
  <c r="L375"/>
  <c r="T375" s="1"/>
  <c r="I375"/>
  <c r="H375"/>
  <c r="G375"/>
  <c r="F375"/>
  <c r="E375"/>
  <c r="D375"/>
  <c r="C375"/>
  <c r="B375"/>
  <c r="J375" s="1"/>
  <c r="AP375" s="1"/>
  <c r="AM374"/>
  <c r="AL374"/>
  <c r="AK374"/>
  <c r="AJ374"/>
  <c r="AI374"/>
  <c r="AH374"/>
  <c r="AG374"/>
  <c r="AF374"/>
  <c r="AN374" s="1"/>
  <c r="AC374"/>
  <c r="AB374"/>
  <c r="AA374"/>
  <c r="Z374"/>
  <c r="Y374"/>
  <c r="X374"/>
  <c r="W374"/>
  <c r="V374"/>
  <c r="AD374" s="1"/>
  <c r="S374"/>
  <c r="R374"/>
  <c r="Q374"/>
  <c r="P374"/>
  <c r="O374"/>
  <c r="N374"/>
  <c r="M374"/>
  <c r="L374"/>
  <c r="T374" s="1"/>
  <c r="I374"/>
  <c r="H374"/>
  <c r="G374"/>
  <c r="F374"/>
  <c r="E374"/>
  <c r="D374"/>
  <c r="C374"/>
  <c r="B374"/>
  <c r="J374" s="1"/>
  <c r="AP374" s="1"/>
  <c r="AM373"/>
  <c r="AM377" s="1"/>
  <c r="AL373"/>
  <c r="AL377" s="1"/>
  <c r="AK373"/>
  <c r="AK377" s="1"/>
  <c r="AJ373"/>
  <c r="AJ377" s="1"/>
  <c r="AI373"/>
  <c r="AI377" s="1"/>
  <c r="AH373"/>
  <c r="AH377" s="1"/>
  <c r="AG373"/>
  <c r="AG377" s="1"/>
  <c r="AF373"/>
  <c r="AF377" s="1"/>
  <c r="AC373"/>
  <c r="AC377" s="1"/>
  <c r="AB373"/>
  <c r="AB377" s="1"/>
  <c r="AA373"/>
  <c r="AA377" s="1"/>
  <c r="Z373"/>
  <c r="Z377" s="1"/>
  <c r="Y373"/>
  <c r="Y377" s="1"/>
  <c r="X373"/>
  <c r="X377" s="1"/>
  <c r="W373"/>
  <c r="W377" s="1"/>
  <c r="V373"/>
  <c r="V377" s="1"/>
  <c r="S373"/>
  <c r="S377" s="1"/>
  <c r="R373"/>
  <c r="R377" s="1"/>
  <c r="Q373"/>
  <c r="Q377" s="1"/>
  <c r="P373"/>
  <c r="P377" s="1"/>
  <c r="O373"/>
  <c r="O377" s="1"/>
  <c r="N373"/>
  <c r="N377" s="1"/>
  <c r="M373"/>
  <c r="M377" s="1"/>
  <c r="L373"/>
  <c r="L377" s="1"/>
  <c r="I373"/>
  <c r="I377" s="1"/>
  <c r="H373"/>
  <c r="H377" s="1"/>
  <c r="G373"/>
  <c r="G377" s="1"/>
  <c r="F373"/>
  <c r="F377" s="1"/>
  <c r="E373"/>
  <c r="E377" s="1"/>
  <c r="D373"/>
  <c r="D377" s="1"/>
  <c r="C373"/>
  <c r="C377" s="1"/>
  <c r="B373"/>
  <c r="B377" s="1"/>
  <c r="AM371"/>
  <c r="AL371"/>
  <c r="AK371"/>
  <c r="AJ371"/>
  <c r="AI371"/>
  <c r="AH371"/>
  <c r="AG371"/>
  <c r="AF371"/>
  <c r="AN371" s="1"/>
  <c r="AC371"/>
  <c r="AB371"/>
  <c r="AA371"/>
  <c r="Z371"/>
  <c r="Y371"/>
  <c r="X371"/>
  <c r="W371"/>
  <c r="V371"/>
  <c r="AD371" s="1"/>
  <c r="S371"/>
  <c r="R371"/>
  <c r="Q371"/>
  <c r="P371"/>
  <c r="O371"/>
  <c r="N371"/>
  <c r="M371"/>
  <c r="L371"/>
  <c r="T371" s="1"/>
  <c r="I371"/>
  <c r="H371"/>
  <c r="G371"/>
  <c r="F371"/>
  <c r="E371"/>
  <c r="D371"/>
  <c r="C371"/>
  <c r="B371"/>
  <c r="J371" s="1"/>
  <c r="AP371" s="1"/>
  <c r="AM370"/>
  <c r="AL370"/>
  <c r="AK370"/>
  <c r="AJ370"/>
  <c r="AI370"/>
  <c r="AH370"/>
  <c r="AG370"/>
  <c r="AF370"/>
  <c r="AN370" s="1"/>
  <c r="AC370"/>
  <c r="AB370"/>
  <c r="AA370"/>
  <c r="Z370"/>
  <c r="Y370"/>
  <c r="X370"/>
  <c r="W370"/>
  <c r="V370"/>
  <c r="AD370" s="1"/>
  <c r="S370"/>
  <c r="R370"/>
  <c r="Q370"/>
  <c r="P370"/>
  <c r="O370"/>
  <c r="N370"/>
  <c r="M370"/>
  <c r="L370"/>
  <c r="T370" s="1"/>
  <c r="I370"/>
  <c r="H370"/>
  <c r="G370"/>
  <c r="F370"/>
  <c r="E370"/>
  <c r="D370"/>
  <c r="C370"/>
  <c r="B370"/>
  <c r="J370" s="1"/>
  <c r="AP370" s="1"/>
  <c r="AM369"/>
  <c r="AL369"/>
  <c r="AK369"/>
  <c r="AJ369"/>
  <c r="AI369"/>
  <c r="AH369"/>
  <c r="AG369"/>
  <c r="AF369"/>
  <c r="AN369" s="1"/>
  <c r="AC369"/>
  <c r="AB369"/>
  <c r="AA369"/>
  <c r="Z369"/>
  <c r="Y369"/>
  <c r="X369"/>
  <c r="W369"/>
  <c r="V369"/>
  <c r="AD369" s="1"/>
  <c r="S369"/>
  <c r="R369"/>
  <c r="Q369"/>
  <c r="P369"/>
  <c r="O369"/>
  <c r="N369"/>
  <c r="M369"/>
  <c r="L369"/>
  <c r="T369" s="1"/>
  <c r="I369"/>
  <c r="H369"/>
  <c r="G369"/>
  <c r="F369"/>
  <c r="E369"/>
  <c r="D369"/>
  <c r="C369"/>
  <c r="B369"/>
  <c r="J369" s="1"/>
  <c r="AP369" s="1"/>
  <c r="AM368"/>
  <c r="AM372" s="1"/>
  <c r="AL368"/>
  <c r="AL372" s="1"/>
  <c r="AK368"/>
  <c r="AK372" s="1"/>
  <c r="AJ368"/>
  <c r="AJ372" s="1"/>
  <c r="AI368"/>
  <c r="AI372" s="1"/>
  <c r="AH368"/>
  <c r="AH372" s="1"/>
  <c r="AG368"/>
  <c r="AG372" s="1"/>
  <c r="AF368"/>
  <c r="AF372" s="1"/>
  <c r="AC368"/>
  <c r="AC372" s="1"/>
  <c r="AB368"/>
  <c r="AB372" s="1"/>
  <c r="AA368"/>
  <c r="AA372" s="1"/>
  <c r="Z368"/>
  <c r="Z372" s="1"/>
  <c r="Y368"/>
  <c r="Y372" s="1"/>
  <c r="X368"/>
  <c r="X372" s="1"/>
  <c r="W368"/>
  <c r="W372" s="1"/>
  <c r="V368"/>
  <c r="V372" s="1"/>
  <c r="S368"/>
  <c r="S372" s="1"/>
  <c r="R368"/>
  <c r="R372" s="1"/>
  <c r="Q368"/>
  <c r="Q372" s="1"/>
  <c r="P368"/>
  <c r="P372" s="1"/>
  <c r="O368"/>
  <c r="O372" s="1"/>
  <c r="N368"/>
  <c r="N372" s="1"/>
  <c r="M368"/>
  <c r="M372" s="1"/>
  <c r="L368"/>
  <c r="L372" s="1"/>
  <c r="I368"/>
  <c r="I372" s="1"/>
  <c r="H368"/>
  <c r="H372" s="1"/>
  <c r="G368"/>
  <c r="G372" s="1"/>
  <c r="F368"/>
  <c r="F372" s="1"/>
  <c r="E368"/>
  <c r="E372" s="1"/>
  <c r="D368"/>
  <c r="D372" s="1"/>
  <c r="C368"/>
  <c r="C372" s="1"/>
  <c r="B368"/>
  <c r="B372" s="1"/>
  <c r="AM366"/>
  <c r="AL366"/>
  <c r="AK366"/>
  <c r="AJ366"/>
  <c r="AI366"/>
  <c r="AH366"/>
  <c r="AG366"/>
  <c r="AF366"/>
  <c r="AN366" s="1"/>
  <c r="AC366"/>
  <c r="AB366"/>
  <c r="AA366"/>
  <c r="Z366"/>
  <c r="Y366"/>
  <c r="X366"/>
  <c r="W366"/>
  <c r="V366"/>
  <c r="AD366" s="1"/>
  <c r="S366"/>
  <c r="R366"/>
  <c r="Q366"/>
  <c r="P366"/>
  <c r="O366"/>
  <c r="N366"/>
  <c r="M366"/>
  <c r="L366"/>
  <c r="T366" s="1"/>
  <c r="I366"/>
  <c r="H366"/>
  <c r="G366"/>
  <c r="F366"/>
  <c r="E366"/>
  <c r="D366"/>
  <c r="C366"/>
  <c r="B366"/>
  <c r="J366" s="1"/>
  <c r="AP366" s="1"/>
  <c r="AM365"/>
  <c r="AL365"/>
  <c r="AK365"/>
  <c r="AJ365"/>
  <c r="AI365"/>
  <c r="AH365"/>
  <c r="AG365"/>
  <c r="AF365"/>
  <c r="AN365" s="1"/>
  <c r="AC365"/>
  <c r="AB365"/>
  <c r="AA365"/>
  <c r="Z365"/>
  <c r="Y365"/>
  <c r="X365"/>
  <c r="W365"/>
  <c r="V365"/>
  <c r="AD365" s="1"/>
  <c r="S365"/>
  <c r="R365"/>
  <c r="Q365"/>
  <c r="P365"/>
  <c r="O365"/>
  <c r="N365"/>
  <c r="M365"/>
  <c r="L365"/>
  <c r="T365" s="1"/>
  <c r="I365"/>
  <c r="H365"/>
  <c r="G365"/>
  <c r="F365"/>
  <c r="E365"/>
  <c r="D365"/>
  <c r="C365"/>
  <c r="B365"/>
  <c r="J365" s="1"/>
  <c r="AP365" s="1"/>
  <c r="AM364"/>
  <c r="AL364"/>
  <c r="AK364"/>
  <c r="AJ364"/>
  <c r="AI364"/>
  <c r="AH364"/>
  <c r="AG364"/>
  <c r="AF364"/>
  <c r="AN364" s="1"/>
  <c r="AC364"/>
  <c r="AB364"/>
  <c r="AA364"/>
  <c r="Z364"/>
  <c r="Y364"/>
  <c r="X364"/>
  <c r="W364"/>
  <c r="V364"/>
  <c r="AD364" s="1"/>
  <c r="S364"/>
  <c r="R364"/>
  <c r="Q364"/>
  <c r="P364"/>
  <c r="O364"/>
  <c r="N364"/>
  <c r="M364"/>
  <c r="L364"/>
  <c r="T364" s="1"/>
  <c r="I364"/>
  <c r="H364"/>
  <c r="G364"/>
  <c r="F364"/>
  <c r="E364"/>
  <c r="D364"/>
  <c r="C364"/>
  <c r="B364"/>
  <c r="J364" s="1"/>
  <c r="AP364" s="1"/>
  <c r="AM363"/>
  <c r="AM367" s="1"/>
  <c r="AL363"/>
  <c r="AL367" s="1"/>
  <c r="AK363"/>
  <c r="AK367" s="1"/>
  <c r="AJ363"/>
  <c r="AJ367" s="1"/>
  <c r="AI363"/>
  <c r="AI367" s="1"/>
  <c r="AH363"/>
  <c r="AH367" s="1"/>
  <c r="AG363"/>
  <c r="AG367" s="1"/>
  <c r="AF363"/>
  <c r="AF367" s="1"/>
  <c r="AC363"/>
  <c r="AC367" s="1"/>
  <c r="AB363"/>
  <c r="AB367" s="1"/>
  <c r="AA363"/>
  <c r="AA367" s="1"/>
  <c r="Z363"/>
  <c r="Z367" s="1"/>
  <c r="Y363"/>
  <c r="Y367" s="1"/>
  <c r="X363"/>
  <c r="X367" s="1"/>
  <c r="W363"/>
  <c r="W367" s="1"/>
  <c r="V363"/>
  <c r="V367" s="1"/>
  <c r="S363"/>
  <c r="S367" s="1"/>
  <c r="R363"/>
  <c r="R367" s="1"/>
  <c r="Q363"/>
  <c r="Q367" s="1"/>
  <c r="P363"/>
  <c r="P367" s="1"/>
  <c r="O363"/>
  <c r="O367" s="1"/>
  <c r="N363"/>
  <c r="N367" s="1"/>
  <c r="M363"/>
  <c r="M367" s="1"/>
  <c r="L363"/>
  <c r="L367" s="1"/>
  <c r="I363"/>
  <c r="I367" s="1"/>
  <c r="H363"/>
  <c r="H367" s="1"/>
  <c r="G363"/>
  <c r="G367" s="1"/>
  <c r="F363"/>
  <c r="F367" s="1"/>
  <c r="E363"/>
  <c r="E367" s="1"/>
  <c r="D363"/>
  <c r="D367" s="1"/>
  <c r="C363"/>
  <c r="C367" s="1"/>
  <c r="B363"/>
  <c r="B367" s="1"/>
  <c r="AM361"/>
  <c r="AL361"/>
  <c r="AK361"/>
  <c r="AJ361"/>
  <c r="AI361"/>
  <c r="AH361"/>
  <c r="AG361"/>
  <c r="AF361"/>
  <c r="AN361" s="1"/>
  <c r="AC361"/>
  <c r="AB361"/>
  <c r="AA361"/>
  <c r="Z361"/>
  <c r="Y361"/>
  <c r="X361"/>
  <c r="W361"/>
  <c r="V361"/>
  <c r="AD361" s="1"/>
  <c r="S361"/>
  <c r="R361"/>
  <c r="Q361"/>
  <c r="P361"/>
  <c r="O361"/>
  <c r="N361"/>
  <c r="M361"/>
  <c r="L361"/>
  <c r="T361" s="1"/>
  <c r="I361"/>
  <c r="H361"/>
  <c r="G361"/>
  <c r="F361"/>
  <c r="E361"/>
  <c r="D361"/>
  <c r="C361"/>
  <c r="B361"/>
  <c r="J361" s="1"/>
  <c r="AP361" s="1"/>
  <c r="AM360"/>
  <c r="AL360"/>
  <c r="AK360"/>
  <c r="AJ360"/>
  <c r="AI360"/>
  <c r="AH360"/>
  <c r="AG360"/>
  <c r="AF360"/>
  <c r="AN360" s="1"/>
  <c r="AC360"/>
  <c r="AB360"/>
  <c r="AA360"/>
  <c r="Z360"/>
  <c r="Y360"/>
  <c r="X360"/>
  <c r="W360"/>
  <c r="V360"/>
  <c r="AD360" s="1"/>
  <c r="S360"/>
  <c r="R360"/>
  <c r="Q360"/>
  <c r="P360"/>
  <c r="O360"/>
  <c r="N360"/>
  <c r="M360"/>
  <c r="L360"/>
  <c r="T360" s="1"/>
  <c r="I360"/>
  <c r="H360"/>
  <c r="G360"/>
  <c r="F360"/>
  <c r="E360"/>
  <c r="D360"/>
  <c r="C360"/>
  <c r="B360"/>
  <c r="J360" s="1"/>
  <c r="AP360" s="1"/>
  <c r="AM359"/>
  <c r="AL359"/>
  <c r="AK359"/>
  <c r="AJ359"/>
  <c r="AI359"/>
  <c r="AH359"/>
  <c r="AG359"/>
  <c r="AF359"/>
  <c r="AN359" s="1"/>
  <c r="AC359"/>
  <c r="AB359"/>
  <c r="AA359"/>
  <c r="Z359"/>
  <c r="Y359"/>
  <c r="X359"/>
  <c r="W359"/>
  <c r="V359"/>
  <c r="AD359" s="1"/>
  <c r="S359"/>
  <c r="R359"/>
  <c r="Q359"/>
  <c r="P359"/>
  <c r="O359"/>
  <c r="N359"/>
  <c r="M359"/>
  <c r="L359"/>
  <c r="T359" s="1"/>
  <c r="I359"/>
  <c r="H359"/>
  <c r="G359"/>
  <c r="F359"/>
  <c r="E359"/>
  <c r="D359"/>
  <c r="C359"/>
  <c r="B359"/>
  <c r="J359" s="1"/>
  <c r="AP359" s="1"/>
  <c r="AM358"/>
  <c r="AM362" s="1"/>
  <c r="AL358"/>
  <c r="AL362" s="1"/>
  <c r="AK358"/>
  <c r="AK362" s="1"/>
  <c r="AJ358"/>
  <c r="AJ362" s="1"/>
  <c r="AI358"/>
  <c r="AI362" s="1"/>
  <c r="AH358"/>
  <c r="AH362" s="1"/>
  <c r="AG358"/>
  <c r="AG362" s="1"/>
  <c r="AF358"/>
  <c r="AF362" s="1"/>
  <c r="AC358"/>
  <c r="AC362" s="1"/>
  <c r="AB358"/>
  <c r="AB362" s="1"/>
  <c r="AA358"/>
  <c r="AA362" s="1"/>
  <c r="Z358"/>
  <c r="Z362" s="1"/>
  <c r="Y358"/>
  <c r="Y362" s="1"/>
  <c r="X358"/>
  <c r="X362" s="1"/>
  <c r="W358"/>
  <c r="W362" s="1"/>
  <c r="V358"/>
  <c r="V362" s="1"/>
  <c r="S358"/>
  <c r="S362" s="1"/>
  <c r="R358"/>
  <c r="R362" s="1"/>
  <c r="Q358"/>
  <c r="Q362" s="1"/>
  <c r="P358"/>
  <c r="P362" s="1"/>
  <c r="O358"/>
  <c r="O362" s="1"/>
  <c r="N358"/>
  <c r="N362" s="1"/>
  <c r="M358"/>
  <c r="M362" s="1"/>
  <c r="L358"/>
  <c r="L362" s="1"/>
  <c r="I358"/>
  <c r="I362" s="1"/>
  <c r="H358"/>
  <c r="H362" s="1"/>
  <c r="G358"/>
  <c r="G362" s="1"/>
  <c r="F358"/>
  <c r="F362" s="1"/>
  <c r="E358"/>
  <c r="E362" s="1"/>
  <c r="D358"/>
  <c r="D362" s="1"/>
  <c r="C358"/>
  <c r="C362" s="1"/>
  <c r="B358"/>
  <c r="B362" s="1"/>
  <c r="AM356"/>
  <c r="AL356"/>
  <c r="AK356"/>
  <c r="AJ356"/>
  <c r="AI356"/>
  <c r="AH356"/>
  <c r="AG356"/>
  <c r="AF356"/>
  <c r="AN356" s="1"/>
  <c r="AC356"/>
  <c r="AB356"/>
  <c r="AA356"/>
  <c r="Z356"/>
  <c r="Y356"/>
  <c r="X356"/>
  <c r="W356"/>
  <c r="V356"/>
  <c r="AD356" s="1"/>
  <c r="S356"/>
  <c r="R356"/>
  <c r="Q356"/>
  <c r="P356"/>
  <c r="O356"/>
  <c r="N356"/>
  <c r="M356"/>
  <c r="L356"/>
  <c r="T356" s="1"/>
  <c r="I356"/>
  <c r="H356"/>
  <c r="G356"/>
  <c r="F356"/>
  <c r="E356"/>
  <c r="D356"/>
  <c r="C356"/>
  <c r="B356"/>
  <c r="J356" s="1"/>
  <c r="AP356" s="1"/>
  <c r="AM355"/>
  <c r="AL355"/>
  <c r="AK355"/>
  <c r="AJ355"/>
  <c r="AI355"/>
  <c r="AH355"/>
  <c r="AG355"/>
  <c r="AF355"/>
  <c r="AN355" s="1"/>
  <c r="AC355"/>
  <c r="AB355"/>
  <c r="AA355"/>
  <c r="Z355"/>
  <c r="Y355"/>
  <c r="X355"/>
  <c r="W355"/>
  <c r="V355"/>
  <c r="AD355" s="1"/>
  <c r="S355"/>
  <c r="R355"/>
  <c r="Q355"/>
  <c r="P355"/>
  <c r="O355"/>
  <c r="N355"/>
  <c r="M355"/>
  <c r="L355"/>
  <c r="T355" s="1"/>
  <c r="I355"/>
  <c r="H355"/>
  <c r="G355"/>
  <c r="F355"/>
  <c r="E355"/>
  <c r="D355"/>
  <c r="C355"/>
  <c r="B355"/>
  <c r="J355" s="1"/>
  <c r="AP355" s="1"/>
  <c r="AM354"/>
  <c r="AL354"/>
  <c r="AK354"/>
  <c r="AJ354"/>
  <c r="AI354"/>
  <c r="AH354"/>
  <c r="AG354"/>
  <c r="AF354"/>
  <c r="AN354" s="1"/>
  <c r="AC354"/>
  <c r="AB354"/>
  <c r="AA354"/>
  <c r="Z354"/>
  <c r="Y354"/>
  <c r="X354"/>
  <c r="W354"/>
  <c r="V354"/>
  <c r="AD354" s="1"/>
  <c r="S354"/>
  <c r="R354"/>
  <c r="Q354"/>
  <c r="P354"/>
  <c r="O354"/>
  <c r="N354"/>
  <c r="M354"/>
  <c r="L354"/>
  <c r="T354" s="1"/>
  <c r="I354"/>
  <c r="H354"/>
  <c r="G354"/>
  <c r="F354"/>
  <c r="E354"/>
  <c r="D354"/>
  <c r="C354"/>
  <c r="B354"/>
  <c r="J354" s="1"/>
  <c r="AP354" s="1"/>
  <c r="AM353"/>
  <c r="AM357" s="1"/>
  <c r="AL353"/>
  <c r="AL357" s="1"/>
  <c r="AK353"/>
  <c r="AK357" s="1"/>
  <c r="AJ353"/>
  <c r="AJ357" s="1"/>
  <c r="AI353"/>
  <c r="AI357" s="1"/>
  <c r="AH353"/>
  <c r="AH357" s="1"/>
  <c r="AG353"/>
  <c r="AG357" s="1"/>
  <c r="AF353"/>
  <c r="AF357" s="1"/>
  <c r="AC353"/>
  <c r="AC357" s="1"/>
  <c r="AB353"/>
  <c r="AB357" s="1"/>
  <c r="AA353"/>
  <c r="AA357" s="1"/>
  <c r="Z353"/>
  <c r="Z357" s="1"/>
  <c r="Y353"/>
  <c r="Y357" s="1"/>
  <c r="X353"/>
  <c r="X357" s="1"/>
  <c r="W353"/>
  <c r="W357" s="1"/>
  <c r="V353"/>
  <c r="V357" s="1"/>
  <c r="S353"/>
  <c r="S357" s="1"/>
  <c r="R353"/>
  <c r="R357" s="1"/>
  <c r="Q353"/>
  <c r="Q357" s="1"/>
  <c r="P353"/>
  <c r="P357" s="1"/>
  <c r="O353"/>
  <c r="O357" s="1"/>
  <c r="N353"/>
  <c r="N357" s="1"/>
  <c r="M353"/>
  <c r="M357" s="1"/>
  <c r="L353"/>
  <c r="L357" s="1"/>
  <c r="I353"/>
  <c r="I357" s="1"/>
  <c r="H353"/>
  <c r="H357" s="1"/>
  <c r="G353"/>
  <c r="G357" s="1"/>
  <c r="F353"/>
  <c r="F357" s="1"/>
  <c r="E353"/>
  <c r="E357" s="1"/>
  <c r="D353"/>
  <c r="D357" s="1"/>
  <c r="C353"/>
  <c r="C357" s="1"/>
  <c r="B353"/>
  <c r="B357" s="1"/>
  <c r="AM351"/>
  <c r="AL351"/>
  <c r="AK351"/>
  <c r="AJ351"/>
  <c r="AI351"/>
  <c r="AH351"/>
  <c r="AG351"/>
  <c r="AF351"/>
  <c r="AH350"/>
  <c r="AC351"/>
  <c r="AB351"/>
  <c r="AA351"/>
  <c r="Z351"/>
  <c r="Y351"/>
  <c r="X351"/>
  <c r="W351"/>
  <c r="V351"/>
  <c r="X350"/>
  <c r="S351"/>
  <c r="R351"/>
  <c r="Q351"/>
  <c r="P351"/>
  <c r="O351"/>
  <c r="N351"/>
  <c r="M351"/>
  <c r="L351"/>
  <c r="N350"/>
  <c r="I351"/>
  <c r="H351"/>
  <c r="G351"/>
  <c r="F351"/>
  <c r="E351"/>
  <c r="D351"/>
  <c r="C351"/>
  <c r="B351"/>
  <c r="D350"/>
  <c r="AM344"/>
  <c r="AL344"/>
  <c r="AK344"/>
  <c r="AJ344"/>
  <c r="AI344"/>
  <c r="AH344"/>
  <c r="AG344"/>
  <c r="AF344"/>
  <c r="AN344" s="1"/>
  <c r="AC344"/>
  <c r="AB344"/>
  <c r="AA344"/>
  <c r="Z344"/>
  <c r="Y344"/>
  <c r="X344"/>
  <c r="W344"/>
  <c r="V344"/>
  <c r="AD344" s="1"/>
  <c r="S344"/>
  <c r="R344"/>
  <c r="Q344"/>
  <c r="P344"/>
  <c r="O344"/>
  <c r="N344"/>
  <c r="M344"/>
  <c r="L344"/>
  <c r="T344" s="1"/>
  <c r="I344"/>
  <c r="H344"/>
  <c r="G344"/>
  <c r="F344"/>
  <c r="E344"/>
  <c r="D344"/>
  <c r="C344"/>
  <c r="B344"/>
  <c r="J344" s="1"/>
  <c r="AP344" s="1"/>
  <c r="AM343"/>
  <c r="AL343"/>
  <c r="AK343"/>
  <c r="AJ343"/>
  <c r="AI343"/>
  <c r="AH343"/>
  <c r="AG343"/>
  <c r="AF343"/>
  <c r="AN343" s="1"/>
  <c r="AC343"/>
  <c r="AB343"/>
  <c r="AA343"/>
  <c r="Z343"/>
  <c r="Y343"/>
  <c r="X343"/>
  <c r="W343"/>
  <c r="V343"/>
  <c r="AD343" s="1"/>
  <c r="S343"/>
  <c r="R343"/>
  <c r="Q343"/>
  <c r="P343"/>
  <c r="O343"/>
  <c r="N343"/>
  <c r="M343"/>
  <c r="L343"/>
  <c r="T343" s="1"/>
  <c r="I343"/>
  <c r="H343"/>
  <c r="G343"/>
  <c r="F343"/>
  <c r="E343"/>
  <c r="D343"/>
  <c r="C343"/>
  <c r="B343"/>
  <c r="J343" s="1"/>
  <c r="AP343" s="1"/>
  <c r="AM342"/>
  <c r="AL342"/>
  <c r="AK342"/>
  <c r="AJ342"/>
  <c r="AI342"/>
  <c r="AH342"/>
  <c r="AG342"/>
  <c r="AF342"/>
  <c r="AN342" s="1"/>
  <c r="AC342"/>
  <c r="AB342"/>
  <c r="AA342"/>
  <c r="Z342"/>
  <c r="Y342"/>
  <c r="X342"/>
  <c r="W342"/>
  <c r="V342"/>
  <c r="AD342" s="1"/>
  <c r="S342"/>
  <c r="R342"/>
  <c r="Q342"/>
  <c r="P342"/>
  <c r="O342"/>
  <c r="N342"/>
  <c r="M342"/>
  <c r="L342"/>
  <c r="T342" s="1"/>
  <c r="I342"/>
  <c r="H342"/>
  <c r="G342"/>
  <c r="F342"/>
  <c r="E342"/>
  <c r="D342"/>
  <c r="C342"/>
  <c r="B342"/>
  <c r="J342" s="1"/>
  <c r="AP342" s="1"/>
  <c r="AM341"/>
  <c r="AM345" s="1"/>
  <c r="AL341"/>
  <c r="AL345" s="1"/>
  <c r="AK341"/>
  <c r="AK345" s="1"/>
  <c r="AJ341"/>
  <c r="AJ345" s="1"/>
  <c r="AI341"/>
  <c r="AI345" s="1"/>
  <c r="AH341"/>
  <c r="AH345" s="1"/>
  <c r="AG341"/>
  <c r="AG345" s="1"/>
  <c r="AF341"/>
  <c r="AF345" s="1"/>
  <c r="AC341"/>
  <c r="AC345" s="1"/>
  <c r="AB341"/>
  <c r="AB345" s="1"/>
  <c r="AA341"/>
  <c r="AA345" s="1"/>
  <c r="Z341"/>
  <c r="Z345" s="1"/>
  <c r="Y341"/>
  <c r="Y345" s="1"/>
  <c r="X341"/>
  <c r="X345" s="1"/>
  <c r="W341"/>
  <c r="W345" s="1"/>
  <c r="V341"/>
  <c r="V345" s="1"/>
  <c r="S341"/>
  <c r="S345" s="1"/>
  <c r="R341"/>
  <c r="R345" s="1"/>
  <c r="Q341"/>
  <c r="Q345" s="1"/>
  <c r="P341"/>
  <c r="P345" s="1"/>
  <c r="O341"/>
  <c r="O345" s="1"/>
  <c r="N341"/>
  <c r="N345" s="1"/>
  <c r="M341"/>
  <c r="M345" s="1"/>
  <c r="L341"/>
  <c r="L345" s="1"/>
  <c r="I341"/>
  <c r="I345" s="1"/>
  <c r="H341"/>
  <c r="H345" s="1"/>
  <c r="G341"/>
  <c r="G345" s="1"/>
  <c r="F341"/>
  <c r="F345" s="1"/>
  <c r="E341"/>
  <c r="E345" s="1"/>
  <c r="D341"/>
  <c r="D345" s="1"/>
  <c r="C341"/>
  <c r="C345" s="1"/>
  <c r="B341"/>
  <c r="B345" s="1"/>
  <c r="AM339"/>
  <c r="AL339"/>
  <c r="AK339"/>
  <c r="AJ339"/>
  <c r="AI339"/>
  <c r="AH339"/>
  <c r="AG339"/>
  <c r="AF339"/>
  <c r="AN339" s="1"/>
  <c r="AC339"/>
  <c r="AB339"/>
  <c r="AA339"/>
  <c r="Z339"/>
  <c r="Y339"/>
  <c r="X339"/>
  <c r="W339"/>
  <c r="V339"/>
  <c r="AD339" s="1"/>
  <c r="S339"/>
  <c r="R339"/>
  <c r="Q339"/>
  <c r="P339"/>
  <c r="O339"/>
  <c r="N339"/>
  <c r="M339"/>
  <c r="L339"/>
  <c r="T339" s="1"/>
  <c r="I339"/>
  <c r="H339"/>
  <c r="G339"/>
  <c r="F339"/>
  <c r="E339"/>
  <c r="D339"/>
  <c r="C339"/>
  <c r="B339"/>
  <c r="J339" s="1"/>
  <c r="AP339" s="1"/>
  <c r="AM338"/>
  <c r="AL338"/>
  <c r="AK338"/>
  <c r="AJ338"/>
  <c r="AI338"/>
  <c r="AH338"/>
  <c r="AG338"/>
  <c r="AF338"/>
  <c r="AN338" s="1"/>
  <c r="AC338"/>
  <c r="AB338"/>
  <c r="AA338"/>
  <c r="Z338"/>
  <c r="Y338"/>
  <c r="X338"/>
  <c r="W338"/>
  <c r="V338"/>
  <c r="AD338" s="1"/>
  <c r="S338"/>
  <c r="R338"/>
  <c r="Q338"/>
  <c r="P338"/>
  <c r="O338"/>
  <c r="N338"/>
  <c r="M338"/>
  <c r="L338"/>
  <c r="T338" s="1"/>
  <c r="I338"/>
  <c r="H338"/>
  <c r="G338"/>
  <c r="F338"/>
  <c r="E338"/>
  <c r="D338"/>
  <c r="C338"/>
  <c r="B338"/>
  <c r="J338" s="1"/>
  <c r="AP338" s="1"/>
  <c r="AM337"/>
  <c r="AL337"/>
  <c r="AK337"/>
  <c r="AJ337"/>
  <c r="AI337"/>
  <c r="AH337"/>
  <c r="AG337"/>
  <c r="AF337"/>
  <c r="AN337" s="1"/>
  <c r="AC337"/>
  <c r="AB337"/>
  <c r="AA337"/>
  <c r="Z337"/>
  <c r="Y337"/>
  <c r="X337"/>
  <c r="W337"/>
  <c r="V337"/>
  <c r="AD337" s="1"/>
  <c r="S337"/>
  <c r="R337"/>
  <c r="Q337"/>
  <c r="P337"/>
  <c r="O337"/>
  <c r="N337"/>
  <c r="M337"/>
  <c r="L337"/>
  <c r="T337" s="1"/>
  <c r="I337"/>
  <c r="H337"/>
  <c r="G337"/>
  <c r="F337"/>
  <c r="E337"/>
  <c r="D337"/>
  <c r="C337"/>
  <c r="B337"/>
  <c r="J337" s="1"/>
  <c r="AP337" s="1"/>
  <c r="AM336"/>
  <c r="AM340" s="1"/>
  <c r="AL336"/>
  <c r="AL340" s="1"/>
  <c r="AK336"/>
  <c r="AK340" s="1"/>
  <c r="AJ336"/>
  <c r="AJ340" s="1"/>
  <c r="AI336"/>
  <c r="AI340" s="1"/>
  <c r="AH336"/>
  <c r="AH340" s="1"/>
  <c r="AG336"/>
  <c r="AG340" s="1"/>
  <c r="AF336"/>
  <c r="AF340" s="1"/>
  <c r="AC336"/>
  <c r="AC340" s="1"/>
  <c r="AB336"/>
  <c r="AB340" s="1"/>
  <c r="AA336"/>
  <c r="AA340" s="1"/>
  <c r="Z336"/>
  <c r="Z340" s="1"/>
  <c r="Y336"/>
  <c r="Y340" s="1"/>
  <c r="X336"/>
  <c r="X340" s="1"/>
  <c r="W336"/>
  <c r="W340" s="1"/>
  <c r="V336"/>
  <c r="V340" s="1"/>
  <c r="S336"/>
  <c r="S340" s="1"/>
  <c r="R336"/>
  <c r="R340" s="1"/>
  <c r="Q336"/>
  <c r="Q340" s="1"/>
  <c r="P336"/>
  <c r="P340" s="1"/>
  <c r="O336"/>
  <c r="O340" s="1"/>
  <c r="N336"/>
  <c r="N340" s="1"/>
  <c r="M336"/>
  <c r="M340" s="1"/>
  <c r="L336"/>
  <c r="L340" s="1"/>
  <c r="I336"/>
  <c r="I340" s="1"/>
  <c r="H336"/>
  <c r="H340" s="1"/>
  <c r="G336"/>
  <c r="G340" s="1"/>
  <c r="F336"/>
  <c r="F340" s="1"/>
  <c r="E336"/>
  <c r="E340" s="1"/>
  <c r="D336"/>
  <c r="D340" s="1"/>
  <c r="C336"/>
  <c r="C340" s="1"/>
  <c r="B336"/>
  <c r="B340" s="1"/>
  <c r="AM334"/>
  <c r="AL334"/>
  <c r="AK334"/>
  <c r="AJ334"/>
  <c r="AI334"/>
  <c r="AH334"/>
  <c r="AG334"/>
  <c r="AF334"/>
  <c r="AN334" s="1"/>
  <c r="AC334"/>
  <c r="AB334"/>
  <c r="AA334"/>
  <c r="Z334"/>
  <c r="Y334"/>
  <c r="X334"/>
  <c r="W334"/>
  <c r="V334"/>
  <c r="AD334" s="1"/>
  <c r="S334"/>
  <c r="R334"/>
  <c r="Q334"/>
  <c r="P334"/>
  <c r="O334"/>
  <c r="N334"/>
  <c r="M334"/>
  <c r="L334"/>
  <c r="T334" s="1"/>
  <c r="I334"/>
  <c r="H334"/>
  <c r="G334"/>
  <c r="F334"/>
  <c r="E334"/>
  <c r="D334"/>
  <c r="C334"/>
  <c r="B334"/>
  <c r="J334" s="1"/>
  <c r="AP334" s="1"/>
  <c r="AM333"/>
  <c r="AL333"/>
  <c r="AK333"/>
  <c r="AJ333"/>
  <c r="AI333"/>
  <c r="AH333"/>
  <c r="AG333"/>
  <c r="AF333"/>
  <c r="AN333" s="1"/>
  <c r="AC333"/>
  <c r="AB333"/>
  <c r="AA333"/>
  <c r="Z333"/>
  <c r="Y333"/>
  <c r="X333"/>
  <c r="W333"/>
  <c r="V333"/>
  <c r="AD333" s="1"/>
  <c r="S333"/>
  <c r="R333"/>
  <c r="Q333"/>
  <c r="P333"/>
  <c r="O333"/>
  <c r="N333"/>
  <c r="M333"/>
  <c r="L333"/>
  <c r="T333" s="1"/>
  <c r="I333"/>
  <c r="H333"/>
  <c r="G333"/>
  <c r="F333"/>
  <c r="E333"/>
  <c r="D333"/>
  <c r="C333"/>
  <c r="B333"/>
  <c r="J333" s="1"/>
  <c r="AP333" s="1"/>
  <c r="AM332"/>
  <c r="AL332"/>
  <c r="AK332"/>
  <c r="AJ332"/>
  <c r="AI332"/>
  <c r="AH332"/>
  <c r="AG332"/>
  <c r="AF332"/>
  <c r="AN332" s="1"/>
  <c r="AC332"/>
  <c r="AB332"/>
  <c r="AA332"/>
  <c r="Z332"/>
  <c r="Y332"/>
  <c r="X332"/>
  <c r="W332"/>
  <c r="V332"/>
  <c r="AD332" s="1"/>
  <c r="S332"/>
  <c r="R332"/>
  <c r="Q332"/>
  <c r="P332"/>
  <c r="O332"/>
  <c r="N332"/>
  <c r="M332"/>
  <c r="L332"/>
  <c r="T332" s="1"/>
  <c r="I332"/>
  <c r="H332"/>
  <c r="G332"/>
  <c r="F332"/>
  <c r="E332"/>
  <c r="D332"/>
  <c r="C332"/>
  <c r="B332"/>
  <c r="J332" s="1"/>
  <c r="AP332" s="1"/>
  <c r="AM331"/>
  <c r="AM335" s="1"/>
  <c r="AL331"/>
  <c r="AL335" s="1"/>
  <c r="AK331"/>
  <c r="AK335" s="1"/>
  <c r="AJ331"/>
  <c r="AJ335" s="1"/>
  <c r="AI331"/>
  <c r="AI335" s="1"/>
  <c r="AH331"/>
  <c r="AH335" s="1"/>
  <c r="AG331"/>
  <c r="AG335" s="1"/>
  <c r="AF331"/>
  <c r="AF335" s="1"/>
  <c r="AC331"/>
  <c r="AC335" s="1"/>
  <c r="AB331"/>
  <c r="AB335" s="1"/>
  <c r="AA331"/>
  <c r="AA335" s="1"/>
  <c r="Z331"/>
  <c r="Z335" s="1"/>
  <c r="Y331"/>
  <c r="Y335" s="1"/>
  <c r="X331"/>
  <c r="X335" s="1"/>
  <c r="W331"/>
  <c r="W335" s="1"/>
  <c r="V331"/>
  <c r="V335" s="1"/>
  <c r="S331"/>
  <c r="S335" s="1"/>
  <c r="R331"/>
  <c r="R335" s="1"/>
  <c r="Q331"/>
  <c r="Q335" s="1"/>
  <c r="P331"/>
  <c r="P335" s="1"/>
  <c r="O331"/>
  <c r="O335" s="1"/>
  <c r="N331"/>
  <c r="N335" s="1"/>
  <c r="M331"/>
  <c r="M335" s="1"/>
  <c r="L331"/>
  <c r="L335" s="1"/>
  <c r="I331"/>
  <c r="I335" s="1"/>
  <c r="H331"/>
  <c r="H335" s="1"/>
  <c r="G331"/>
  <c r="G335" s="1"/>
  <c r="F331"/>
  <c r="F335" s="1"/>
  <c r="E331"/>
  <c r="E335" s="1"/>
  <c r="D331"/>
  <c r="D335" s="1"/>
  <c r="C331"/>
  <c r="C335" s="1"/>
  <c r="B331"/>
  <c r="B335" s="1"/>
  <c r="AM329"/>
  <c r="AL329"/>
  <c r="AK329"/>
  <c r="AJ329"/>
  <c r="AI329"/>
  <c r="AH329"/>
  <c r="AG329"/>
  <c r="AF329"/>
  <c r="AN329" s="1"/>
  <c r="AC329"/>
  <c r="AB329"/>
  <c r="AA329"/>
  <c r="Z329"/>
  <c r="Y329"/>
  <c r="X329"/>
  <c r="W329"/>
  <c r="V329"/>
  <c r="AD329" s="1"/>
  <c r="S329"/>
  <c r="R329"/>
  <c r="Q329"/>
  <c r="P329"/>
  <c r="O329"/>
  <c r="N329"/>
  <c r="M329"/>
  <c r="L329"/>
  <c r="T329" s="1"/>
  <c r="I329"/>
  <c r="H329"/>
  <c r="G329"/>
  <c r="F329"/>
  <c r="E329"/>
  <c r="D329"/>
  <c r="C329"/>
  <c r="B329"/>
  <c r="J329" s="1"/>
  <c r="AP329" s="1"/>
  <c r="AM328"/>
  <c r="AL328"/>
  <c r="AK328"/>
  <c r="AJ328"/>
  <c r="AI328"/>
  <c r="AH328"/>
  <c r="AG328"/>
  <c r="AF328"/>
  <c r="AN328" s="1"/>
  <c r="AC328"/>
  <c r="AB328"/>
  <c r="AA328"/>
  <c r="Z328"/>
  <c r="Y328"/>
  <c r="X328"/>
  <c r="W328"/>
  <c r="V328"/>
  <c r="AD328" s="1"/>
  <c r="S328"/>
  <c r="R328"/>
  <c r="Q328"/>
  <c r="P328"/>
  <c r="O328"/>
  <c r="N328"/>
  <c r="M328"/>
  <c r="L328"/>
  <c r="T328" s="1"/>
  <c r="I328"/>
  <c r="H328"/>
  <c r="G328"/>
  <c r="F328"/>
  <c r="E328"/>
  <c r="D328"/>
  <c r="C328"/>
  <c r="B328"/>
  <c r="J328" s="1"/>
  <c r="AP328" s="1"/>
  <c r="AM327"/>
  <c r="AL327"/>
  <c r="AK327"/>
  <c r="AJ327"/>
  <c r="AI327"/>
  <c r="AH327"/>
  <c r="AG327"/>
  <c r="AF327"/>
  <c r="AN327" s="1"/>
  <c r="AC327"/>
  <c r="AB327"/>
  <c r="AA327"/>
  <c r="Z327"/>
  <c r="Y327"/>
  <c r="X327"/>
  <c r="W327"/>
  <c r="V327"/>
  <c r="AD327" s="1"/>
  <c r="S327"/>
  <c r="R327"/>
  <c r="Q327"/>
  <c r="P327"/>
  <c r="O327"/>
  <c r="N327"/>
  <c r="M327"/>
  <c r="L327"/>
  <c r="T327" s="1"/>
  <c r="I327"/>
  <c r="H327"/>
  <c r="G327"/>
  <c r="F327"/>
  <c r="E327"/>
  <c r="D327"/>
  <c r="C327"/>
  <c r="B327"/>
  <c r="J327" s="1"/>
  <c r="AP327" s="1"/>
  <c r="AM326"/>
  <c r="AM330" s="1"/>
  <c r="AL326"/>
  <c r="AL330" s="1"/>
  <c r="AK326"/>
  <c r="AK330" s="1"/>
  <c r="AJ326"/>
  <c r="AJ330" s="1"/>
  <c r="AI326"/>
  <c r="AI330" s="1"/>
  <c r="AH326"/>
  <c r="AH330" s="1"/>
  <c r="AG326"/>
  <c r="AG330" s="1"/>
  <c r="AF326"/>
  <c r="AF330" s="1"/>
  <c r="AC326"/>
  <c r="AC330" s="1"/>
  <c r="AB326"/>
  <c r="AB330" s="1"/>
  <c r="AA326"/>
  <c r="AA330" s="1"/>
  <c r="Z326"/>
  <c r="Z330" s="1"/>
  <c r="Y326"/>
  <c r="Y330" s="1"/>
  <c r="X326"/>
  <c r="X330" s="1"/>
  <c r="W326"/>
  <c r="W330" s="1"/>
  <c r="V326"/>
  <c r="V330" s="1"/>
  <c r="S326"/>
  <c r="S330" s="1"/>
  <c r="R326"/>
  <c r="R330" s="1"/>
  <c r="Q326"/>
  <c r="Q330" s="1"/>
  <c r="P326"/>
  <c r="P330" s="1"/>
  <c r="O326"/>
  <c r="O330" s="1"/>
  <c r="N326"/>
  <c r="N330" s="1"/>
  <c r="M326"/>
  <c r="M330" s="1"/>
  <c r="L326"/>
  <c r="L330" s="1"/>
  <c r="I326"/>
  <c r="I330" s="1"/>
  <c r="H326"/>
  <c r="H330" s="1"/>
  <c r="G326"/>
  <c r="G330" s="1"/>
  <c r="F326"/>
  <c r="F330" s="1"/>
  <c r="E326"/>
  <c r="E330" s="1"/>
  <c r="D326"/>
  <c r="D330" s="1"/>
  <c r="C326"/>
  <c r="C330" s="1"/>
  <c r="B326"/>
  <c r="B330" s="1"/>
  <c r="AM324"/>
  <c r="AL324"/>
  <c r="AK324"/>
  <c r="AJ324"/>
  <c r="AI324"/>
  <c r="AH324"/>
  <c r="AG324"/>
  <c r="AF324"/>
  <c r="AN324" s="1"/>
  <c r="AC324"/>
  <c r="AB324"/>
  <c r="AA324"/>
  <c r="Z324"/>
  <c r="Y324"/>
  <c r="X324"/>
  <c r="W324"/>
  <c r="V324"/>
  <c r="AD324" s="1"/>
  <c r="S324"/>
  <c r="R324"/>
  <c r="Q324"/>
  <c r="P324"/>
  <c r="O324"/>
  <c r="N324"/>
  <c r="M324"/>
  <c r="L324"/>
  <c r="T324" s="1"/>
  <c r="I324"/>
  <c r="H324"/>
  <c r="G324"/>
  <c r="F324"/>
  <c r="E324"/>
  <c r="D324"/>
  <c r="C324"/>
  <c r="B324"/>
  <c r="J324" s="1"/>
  <c r="AP324" s="1"/>
  <c r="AM323"/>
  <c r="AL323"/>
  <c r="AK323"/>
  <c r="AJ323"/>
  <c r="AI323"/>
  <c r="AH323"/>
  <c r="AG323"/>
  <c r="AF323"/>
  <c r="AN323" s="1"/>
  <c r="AC323"/>
  <c r="AB323"/>
  <c r="AA323"/>
  <c r="Z323"/>
  <c r="Y323"/>
  <c r="X323"/>
  <c r="W323"/>
  <c r="V323"/>
  <c r="AD323" s="1"/>
  <c r="S323"/>
  <c r="R323"/>
  <c r="Q323"/>
  <c r="P323"/>
  <c r="O323"/>
  <c r="N323"/>
  <c r="M323"/>
  <c r="L323"/>
  <c r="T323" s="1"/>
  <c r="I323"/>
  <c r="H323"/>
  <c r="G323"/>
  <c r="F323"/>
  <c r="E323"/>
  <c r="D323"/>
  <c r="C323"/>
  <c r="B323"/>
  <c r="J323" s="1"/>
  <c r="AP323" s="1"/>
  <c r="AM322"/>
  <c r="AL322"/>
  <c r="AK322"/>
  <c r="AJ322"/>
  <c r="AI322"/>
  <c r="AH322"/>
  <c r="AG322"/>
  <c r="AF322"/>
  <c r="AN322" s="1"/>
  <c r="AC322"/>
  <c r="AB322"/>
  <c r="AA322"/>
  <c r="Z322"/>
  <c r="Y322"/>
  <c r="X322"/>
  <c r="W322"/>
  <c r="V322"/>
  <c r="AD322" s="1"/>
  <c r="S322"/>
  <c r="R322"/>
  <c r="Q322"/>
  <c r="P322"/>
  <c r="O322"/>
  <c r="N322"/>
  <c r="M322"/>
  <c r="L322"/>
  <c r="T322" s="1"/>
  <c r="I322"/>
  <c r="H322"/>
  <c r="G322"/>
  <c r="F322"/>
  <c r="E322"/>
  <c r="D322"/>
  <c r="C322"/>
  <c r="B322"/>
  <c r="J322" s="1"/>
  <c r="AP322" s="1"/>
  <c r="AM321"/>
  <c r="AM325" s="1"/>
  <c r="AL321"/>
  <c r="AL325" s="1"/>
  <c r="AK321"/>
  <c r="AK325" s="1"/>
  <c r="AJ321"/>
  <c r="AJ325" s="1"/>
  <c r="AI321"/>
  <c r="AI325" s="1"/>
  <c r="AH321"/>
  <c r="AH325" s="1"/>
  <c r="AG321"/>
  <c r="AG325" s="1"/>
  <c r="AF321"/>
  <c r="AF325" s="1"/>
  <c r="AC321"/>
  <c r="AC325" s="1"/>
  <c r="AB321"/>
  <c r="AB325" s="1"/>
  <c r="AA321"/>
  <c r="AA325" s="1"/>
  <c r="Z321"/>
  <c r="Z325" s="1"/>
  <c r="Y321"/>
  <c r="Y325" s="1"/>
  <c r="X321"/>
  <c r="X325" s="1"/>
  <c r="W321"/>
  <c r="W325" s="1"/>
  <c r="V321"/>
  <c r="V325" s="1"/>
  <c r="S321"/>
  <c r="S325" s="1"/>
  <c r="R321"/>
  <c r="R325" s="1"/>
  <c r="Q321"/>
  <c r="Q325" s="1"/>
  <c r="P321"/>
  <c r="P325" s="1"/>
  <c r="O321"/>
  <c r="O325" s="1"/>
  <c r="N321"/>
  <c r="N325" s="1"/>
  <c r="M321"/>
  <c r="M325" s="1"/>
  <c r="L321"/>
  <c r="L325" s="1"/>
  <c r="I321"/>
  <c r="I325" s="1"/>
  <c r="H321"/>
  <c r="H325" s="1"/>
  <c r="G321"/>
  <c r="G325" s="1"/>
  <c r="F321"/>
  <c r="F325" s="1"/>
  <c r="E321"/>
  <c r="E325" s="1"/>
  <c r="D321"/>
  <c r="D325" s="1"/>
  <c r="C321"/>
  <c r="C325" s="1"/>
  <c r="B321"/>
  <c r="B325" s="1"/>
  <c r="AM319"/>
  <c r="AL319"/>
  <c r="AK319"/>
  <c r="AJ319"/>
  <c r="AI319"/>
  <c r="AH319"/>
  <c r="AG319"/>
  <c r="AF319"/>
  <c r="AN319" s="1"/>
  <c r="AC319"/>
  <c r="AB319"/>
  <c r="AA319"/>
  <c r="Z319"/>
  <c r="Y319"/>
  <c r="X319"/>
  <c r="W319"/>
  <c r="V319"/>
  <c r="AD319" s="1"/>
  <c r="S319"/>
  <c r="R319"/>
  <c r="Q319"/>
  <c r="P319"/>
  <c r="O319"/>
  <c r="N319"/>
  <c r="M319"/>
  <c r="L319"/>
  <c r="T319" s="1"/>
  <c r="I319"/>
  <c r="H319"/>
  <c r="G319"/>
  <c r="F319"/>
  <c r="E319"/>
  <c r="D319"/>
  <c r="C319"/>
  <c r="B319"/>
  <c r="J319" s="1"/>
  <c r="AP319" s="1"/>
  <c r="AM318"/>
  <c r="AL318"/>
  <c r="AK318"/>
  <c r="AJ318"/>
  <c r="AI318"/>
  <c r="AH318"/>
  <c r="AG318"/>
  <c r="AF318"/>
  <c r="AN318" s="1"/>
  <c r="AC318"/>
  <c r="AB318"/>
  <c r="AA318"/>
  <c r="Z318"/>
  <c r="Y318"/>
  <c r="X318"/>
  <c r="W318"/>
  <c r="V318"/>
  <c r="AD318" s="1"/>
  <c r="S318"/>
  <c r="R318"/>
  <c r="Q318"/>
  <c r="P318"/>
  <c r="O318"/>
  <c r="N318"/>
  <c r="M318"/>
  <c r="L318"/>
  <c r="T318" s="1"/>
  <c r="I318"/>
  <c r="H318"/>
  <c r="G318"/>
  <c r="F318"/>
  <c r="E318"/>
  <c r="D318"/>
  <c r="C318"/>
  <c r="B318"/>
  <c r="J318" s="1"/>
  <c r="AP318" s="1"/>
  <c r="AM317"/>
  <c r="AL317"/>
  <c r="AK317"/>
  <c r="AJ317"/>
  <c r="AI317"/>
  <c r="AH317"/>
  <c r="AG317"/>
  <c r="AF317"/>
  <c r="AN317" s="1"/>
  <c r="AC317"/>
  <c r="AB317"/>
  <c r="AA317"/>
  <c r="Z317"/>
  <c r="Y317"/>
  <c r="X317"/>
  <c r="W317"/>
  <c r="V317"/>
  <c r="AD317" s="1"/>
  <c r="S317"/>
  <c r="R317"/>
  <c r="Q317"/>
  <c r="P317"/>
  <c r="O317"/>
  <c r="N317"/>
  <c r="M317"/>
  <c r="L317"/>
  <c r="T317" s="1"/>
  <c r="I317"/>
  <c r="H317"/>
  <c r="G317"/>
  <c r="F317"/>
  <c r="E317"/>
  <c r="D317"/>
  <c r="C317"/>
  <c r="B317"/>
  <c r="J317" s="1"/>
  <c r="AP317" s="1"/>
  <c r="AM316"/>
  <c r="AM320" s="1"/>
  <c r="AL316"/>
  <c r="AL320" s="1"/>
  <c r="AK316"/>
  <c r="AK320" s="1"/>
  <c r="AJ316"/>
  <c r="AJ320" s="1"/>
  <c r="AI316"/>
  <c r="AI320" s="1"/>
  <c r="AH316"/>
  <c r="AH320" s="1"/>
  <c r="AG316"/>
  <c r="AG320" s="1"/>
  <c r="AF316"/>
  <c r="AF320" s="1"/>
  <c r="AC316"/>
  <c r="AC320" s="1"/>
  <c r="AB316"/>
  <c r="AB320" s="1"/>
  <c r="AA316"/>
  <c r="AA320" s="1"/>
  <c r="Z316"/>
  <c r="Z320" s="1"/>
  <c r="Y316"/>
  <c r="Y320" s="1"/>
  <c r="X316"/>
  <c r="X320" s="1"/>
  <c r="W316"/>
  <c r="W320" s="1"/>
  <c r="V316"/>
  <c r="V320" s="1"/>
  <c r="S316"/>
  <c r="S320" s="1"/>
  <c r="R316"/>
  <c r="R320" s="1"/>
  <c r="Q316"/>
  <c r="Q320" s="1"/>
  <c r="P316"/>
  <c r="P320" s="1"/>
  <c r="O316"/>
  <c r="O320" s="1"/>
  <c r="N316"/>
  <c r="N320" s="1"/>
  <c r="M316"/>
  <c r="M320" s="1"/>
  <c r="L316"/>
  <c r="L320" s="1"/>
  <c r="I316"/>
  <c r="I320" s="1"/>
  <c r="H316"/>
  <c r="H320" s="1"/>
  <c r="G316"/>
  <c r="G320" s="1"/>
  <c r="F316"/>
  <c r="F320" s="1"/>
  <c r="E316"/>
  <c r="E320" s="1"/>
  <c r="D316"/>
  <c r="D320" s="1"/>
  <c r="C316"/>
  <c r="C320" s="1"/>
  <c r="B316"/>
  <c r="B320" s="1"/>
  <c r="AM314"/>
  <c r="AL314"/>
  <c r="AK314"/>
  <c r="AJ314"/>
  <c r="AI314"/>
  <c r="AH314"/>
  <c r="AG314"/>
  <c r="AF314"/>
  <c r="AH313"/>
  <c r="AC314"/>
  <c r="AB314"/>
  <c r="AA314"/>
  <c r="Z314"/>
  <c r="Y314"/>
  <c r="X314"/>
  <c r="W314"/>
  <c r="V314"/>
  <c r="X313"/>
  <c r="S314"/>
  <c r="R314"/>
  <c r="Q314"/>
  <c r="P314"/>
  <c r="O314"/>
  <c r="N314"/>
  <c r="M314"/>
  <c r="L314"/>
  <c r="N313"/>
  <c r="I314"/>
  <c r="H314"/>
  <c r="G314"/>
  <c r="F314"/>
  <c r="E314"/>
  <c r="D314"/>
  <c r="C314"/>
  <c r="B314"/>
  <c r="D313"/>
  <c r="AM308"/>
  <c r="AL308"/>
  <c r="AK308"/>
  <c r="AJ308"/>
  <c r="AI308"/>
  <c r="AH308"/>
  <c r="AG308"/>
  <c r="AF308"/>
  <c r="AC308"/>
  <c r="AB308"/>
  <c r="AA308"/>
  <c r="Z308"/>
  <c r="Y308"/>
  <c r="X308"/>
  <c r="W308"/>
  <c r="V308"/>
  <c r="S308"/>
  <c r="R308"/>
  <c r="Q308"/>
  <c r="P308"/>
  <c r="O308"/>
  <c r="N308"/>
  <c r="M308"/>
  <c r="L308"/>
  <c r="I308"/>
  <c r="H308"/>
  <c r="G308"/>
  <c r="F308"/>
  <c r="E308"/>
  <c r="D308"/>
  <c r="C308"/>
  <c r="B308"/>
  <c r="AP305"/>
  <c r="AP304"/>
  <c r="AP303"/>
  <c r="AP300"/>
  <c r="AP299"/>
  <c r="AP298"/>
  <c r="AP295"/>
  <c r="AP294"/>
  <c r="AP293"/>
  <c r="AP290"/>
  <c r="AP289"/>
  <c r="AP288"/>
  <c r="AP285"/>
  <c r="AP284"/>
  <c r="AP283"/>
  <c r="AP280"/>
  <c r="AP279"/>
  <c r="AP278"/>
  <c r="AM275"/>
  <c r="AL275"/>
  <c r="AK275"/>
  <c r="AJ275"/>
  <c r="AI275"/>
  <c r="AH275"/>
  <c r="AG275"/>
  <c r="AF275"/>
  <c r="AH274"/>
  <c r="AC275"/>
  <c r="AB275"/>
  <c r="AA275"/>
  <c r="Z275"/>
  <c r="Y275"/>
  <c r="X275"/>
  <c r="W275"/>
  <c r="V275"/>
  <c r="X274"/>
  <c r="S275"/>
  <c r="R275"/>
  <c r="Q275"/>
  <c r="P275"/>
  <c r="O275"/>
  <c r="N275"/>
  <c r="M275"/>
  <c r="L275"/>
  <c r="N274"/>
  <c r="I275"/>
  <c r="H275"/>
  <c r="G275"/>
  <c r="F275"/>
  <c r="E275"/>
  <c r="D275"/>
  <c r="C275"/>
  <c r="B275"/>
  <c r="D274"/>
  <c r="B273"/>
  <c r="AC271"/>
  <c r="AC310" s="1"/>
  <c r="AB271"/>
  <c r="AB310" s="1"/>
  <c r="AA271"/>
  <c r="AA310" s="1"/>
  <c r="Z271"/>
  <c r="Z310" s="1"/>
  <c r="Y271"/>
  <c r="Y310" s="1"/>
  <c r="X271"/>
  <c r="X310" s="1"/>
  <c r="W271"/>
  <c r="W310" s="1"/>
  <c r="V271"/>
  <c r="V310" s="1"/>
  <c r="S271"/>
  <c r="S310" s="1"/>
  <c r="R271"/>
  <c r="R310" s="1"/>
  <c r="Q271"/>
  <c r="Q310" s="1"/>
  <c r="P271"/>
  <c r="P310" s="1"/>
  <c r="O271"/>
  <c r="O310" s="1"/>
  <c r="N271"/>
  <c r="N310" s="1"/>
  <c r="M271"/>
  <c r="M310" s="1"/>
  <c r="L271"/>
  <c r="L310" s="1"/>
  <c r="I271"/>
  <c r="I310" s="1"/>
  <c r="H271"/>
  <c r="H310" s="1"/>
  <c r="G271"/>
  <c r="G310" s="1"/>
  <c r="F271"/>
  <c r="F310" s="1"/>
  <c r="E271"/>
  <c r="E310" s="1"/>
  <c r="D271"/>
  <c r="D310" s="1"/>
  <c r="C271"/>
  <c r="C310" s="1"/>
  <c r="B271"/>
  <c r="B310" s="1"/>
  <c r="AP268"/>
  <c r="AP267"/>
  <c r="AP266"/>
  <c r="AP263"/>
  <c r="AP262"/>
  <c r="AP261"/>
  <c r="AP258"/>
  <c r="AP257"/>
  <c r="AP256"/>
  <c r="AP253"/>
  <c r="AP252"/>
  <c r="AP251"/>
  <c r="AP248"/>
  <c r="AP247"/>
  <c r="AP246"/>
  <c r="AP243"/>
  <c r="AP242"/>
  <c r="AP241"/>
  <c r="AM238"/>
  <c r="AL238"/>
  <c r="AK238"/>
  <c r="AJ238"/>
  <c r="AI238"/>
  <c r="AH238"/>
  <c r="AG238"/>
  <c r="AF238"/>
  <c r="AH237"/>
  <c r="AC238"/>
  <c r="AB238"/>
  <c r="AA238"/>
  <c r="Z238"/>
  <c r="Y238"/>
  <c r="X238"/>
  <c r="W238"/>
  <c r="V238"/>
  <c r="X237"/>
  <c r="S238"/>
  <c r="R238"/>
  <c r="Q238"/>
  <c r="P238"/>
  <c r="O238"/>
  <c r="N238"/>
  <c r="M238"/>
  <c r="L238"/>
  <c r="N237"/>
  <c r="I238"/>
  <c r="H238"/>
  <c r="G238"/>
  <c r="F238"/>
  <c r="E238"/>
  <c r="D238"/>
  <c r="C238"/>
  <c r="B238"/>
  <c r="D237"/>
  <c r="B236"/>
  <c r="AM232"/>
  <c r="AL232"/>
  <c r="AK232"/>
  <c r="AJ232"/>
  <c r="AI232"/>
  <c r="AH232"/>
  <c r="AG232"/>
  <c r="AF232"/>
  <c r="AC232"/>
  <c r="AB232"/>
  <c r="AA232"/>
  <c r="Z232"/>
  <c r="Y232"/>
  <c r="X232"/>
  <c r="W232"/>
  <c r="V232"/>
  <c r="S232"/>
  <c r="R232"/>
  <c r="Q232"/>
  <c r="P232"/>
  <c r="O232"/>
  <c r="N232"/>
  <c r="M232"/>
  <c r="L232"/>
  <c r="I232"/>
  <c r="H232"/>
  <c r="G232"/>
  <c r="F232"/>
  <c r="E232"/>
  <c r="D232"/>
  <c r="C232"/>
  <c r="B232"/>
  <c r="AP229"/>
  <c r="AP228"/>
  <c r="AP227"/>
  <c r="AP224"/>
  <c r="AP223"/>
  <c r="AP222"/>
  <c r="AP219"/>
  <c r="AP218"/>
  <c r="AP217"/>
  <c r="AP214"/>
  <c r="AP213"/>
  <c r="AP212"/>
  <c r="AP209"/>
  <c r="AP208"/>
  <c r="AP207"/>
  <c r="AP204"/>
  <c r="AP203"/>
  <c r="AP202"/>
  <c r="AM199"/>
  <c r="AL199"/>
  <c r="AK199"/>
  <c r="AJ199"/>
  <c r="AI199"/>
  <c r="AH199"/>
  <c r="AG199"/>
  <c r="AF199"/>
  <c r="AH198"/>
  <c r="AC199"/>
  <c r="AB199"/>
  <c r="AA199"/>
  <c r="Z199"/>
  <c r="Y199"/>
  <c r="X199"/>
  <c r="W199"/>
  <c r="V199"/>
  <c r="X198"/>
  <c r="S199"/>
  <c r="R199"/>
  <c r="Q199"/>
  <c r="P199"/>
  <c r="O199"/>
  <c r="N199"/>
  <c r="M199"/>
  <c r="L199"/>
  <c r="N198"/>
  <c r="I199"/>
  <c r="H199"/>
  <c r="G199"/>
  <c r="F199"/>
  <c r="E199"/>
  <c r="D199"/>
  <c r="C199"/>
  <c r="B199"/>
  <c r="D198"/>
  <c r="B197"/>
  <c r="AM195"/>
  <c r="AM234" s="1"/>
  <c r="AL195"/>
  <c r="AL234" s="1"/>
  <c r="AK195"/>
  <c r="AK234" s="1"/>
  <c r="AJ195"/>
  <c r="AJ234" s="1"/>
  <c r="AI195"/>
  <c r="AI234" s="1"/>
  <c r="AH195"/>
  <c r="AH234" s="1"/>
  <c r="AG195"/>
  <c r="AG234" s="1"/>
  <c r="AF195"/>
  <c r="AF234" s="1"/>
  <c r="AC195"/>
  <c r="AC234" s="1"/>
  <c r="AB195"/>
  <c r="AB234" s="1"/>
  <c r="AA195"/>
  <c r="AA234" s="1"/>
  <c r="Z195"/>
  <c r="Z234" s="1"/>
  <c r="Y195"/>
  <c r="Y234" s="1"/>
  <c r="X195"/>
  <c r="X234" s="1"/>
  <c r="W195"/>
  <c r="W234" s="1"/>
  <c r="V195"/>
  <c r="V234" s="1"/>
  <c r="S195"/>
  <c r="S234" s="1"/>
  <c r="R195"/>
  <c r="R234" s="1"/>
  <c r="Q195"/>
  <c r="Q234" s="1"/>
  <c r="P195"/>
  <c r="P234" s="1"/>
  <c r="O195"/>
  <c r="O234" s="1"/>
  <c r="N195"/>
  <c r="N234" s="1"/>
  <c r="M195"/>
  <c r="M234" s="1"/>
  <c r="L195"/>
  <c r="L234" s="1"/>
  <c r="I195"/>
  <c r="I234" s="1"/>
  <c r="H195"/>
  <c r="H234" s="1"/>
  <c r="G195"/>
  <c r="G234" s="1"/>
  <c r="F195"/>
  <c r="F234" s="1"/>
  <c r="E195"/>
  <c r="E234" s="1"/>
  <c r="D195"/>
  <c r="D234" s="1"/>
  <c r="C195"/>
  <c r="C234" s="1"/>
  <c r="B195"/>
  <c r="B234" s="1"/>
  <c r="AP192"/>
  <c r="AP191"/>
  <c r="AP190"/>
  <c r="AP187"/>
  <c r="AP186"/>
  <c r="AP185"/>
  <c r="AP182"/>
  <c r="AP181"/>
  <c r="AP180"/>
  <c r="AP177"/>
  <c r="AP176"/>
  <c r="AP175"/>
  <c r="AP172"/>
  <c r="AP171"/>
  <c r="AP170"/>
  <c r="AP167"/>
  <c r="AP166"/>
  <c r="AP165"/>
  <c r="AM162"/>
  <c r="AL162"/>
  <c r="AK162"/>
  <c r="AJ162"/>
  <c r="AI162"/>
  <c r="AH162"/>
  <c r="AG162"/>
  <c r="AF162"/>
  <c r="AH161"/>
  <c r="AC162"/>
  <c r="AB162"/>
  <c r="AA162"/>
  <c r="Z162"/>
  <c r="Y162"/>
  <c r="X162"/>
  <c r="W162"/>
  <c r="V162"/>
  <c r="X161"/>
  <c r="S162"/>
  <c r="R162"/>
  <c r="Q162"/>
  <c r="P162"/>
  <c r="O162"/>
  <c r="N162"/>
  <c r="M162"/>
  <c r="L162"/>
  <c r="N161"/>
  <c r="I162"/>
  <c r="H162"/>
  <c r="G162"/>
  <c r="F162"/>
  <c r="E162"/>
  <c r="D162"/>
  <c r="C162"/>
  <c r="B162"/>
  <c r="D161"/>
  <c r="B160"/>
  <c r="AM156"/>
  <c r="AL156"/>
  <c r="AK156"/>
  <c r="AJ156"/>
  <c r="AI156"/>
  <c r="AH156"/>
  <c r="AG156"/>
  <c r="AF156"/>
  <c r="AC156"/>
  <c r="AB156"/>
  <c r="AA156"/>
  <c r="Z156"/>
  <c r="Y156"/>
  <c r="X156"/>
  <c r="W156"/>
  <c r="V156"/>
  <c r="S156"/>
  <c r="R156"/>
  <c r="Q156"/>
  <c r="P156"/>
  <c r="O156"/>
  <c r="N156"/>
  <c r="M156"/>
  <c r="L156"/>
  <c r="I156"/>
  <c r="H156"/>
  <c r="G156"/>
  <c r="F156"/>
  <c r="E156"/>
  <c r="D156"/>
  <c r="C156"/>
  <c r="B156"/>
  <c r="AP153"/>
  <c r="AP152"/>
  <c r="AP151"/>
  <c r="AP148"/>
  <c r="AP147"/>
  <c r="AP146"/>
  <c r="AP143"/>
  <c r="AP142"/>
  <c r="AP141"/>
  <c r="AP138"/>
  <c r="AP137"/>
  <c r="AP136"/>
  <c r="AP133"/>
  <c r="AP132"/>
  <c r="AP131"/>
  <c r="AP128"/>
  <c r="AP127"/>
  <c r="AP126"/>
  <c r="AM123"/>
  <c r="AL123"/>
  <c r="AK123"/>
  <c r="AJ123"/>
  <c r="AI123"/>
  <c r="AH123"/>
  <c r="AG123"/>
  <c r="AF123"/>
  <c r="AH122"/>
  <c r="AC123"/>
  <c r="AB123"/>
  <c r="AA123"/>
  <c r="Z123"/>
  <c r="Y123"/>
  <c r="X123"/>
  <c r="W123"/>
  <c r="V123"/>
  <c r="X122"/>
  <c r="S123"/>
  <c r="R123"/>
  <c r="Q123"/>
  <c r="P123"/>
  <c r="O123"/>
  <c r="N123"/>
  <c r="M123"/>
  <c r="L123"/>
  <c r="N122"/>
  <c r="I123"/>
  <c r="H123"/>
  <c r="G123"/>
  <c r="F123"/>
  <c r="E123"/>
  <c r="D123"/>
  <c r="C123"/>
  <c r="B123"/>
  <c r="D122"/>
  <c r="B121"/>
  <c r="AM119"/>
  <c r="AM158" s="1"/>
  <c r="AL119"/>
  <c r="AL158" s="1"/>
  <c r="AK119"/>
  <c r="AK158" s="1"/>
  <c r="AJ119"/>
  <c r="AJ158" s="1"/>
  <c r="AI119"/>
  <c r="AI158" s="1"/>
  <c r="AH119"/>
  <c r="AH158" s="1"/>
  <c r="AG119"/>
  <c r="AG158" s="1"/>
  <c r="AF119"/>
  <c r="AF158" s="1"/>
  <c r="AC119"/>
  <c r="AC158" s="1"/>
  <c r="AB119"/>
  <c r="AB158" s="1"/>
  <c r="AA119"/>
  <c r="AA158" s="1"/>
  <c r="Z119"/>
  <c r="Z158" s="1"/>
  <c r="Y119"/>
  <c r="Y158" s="1"/>
  <c r="X119"/>
  <c r="X158" s="1"/>
  <c r="W119"/>
  <c r="W158" s="1"/>
  <c r="V119"/>
  <c r="V158" s="1"/>
  <c r="S119"/>
  <c r="S158" s="1"/>
  <c r="R119"/>
  <c r="R158" s="1"/>
  <c r="Q119"/>
  <c r="Q158" s="1"/>
  <c r="P119"/>
  <c r="P158" s="1"/>
  <c r="O119"/>
  <c r="O158" s="1"/>
  <c r="N119"/>
  <c r="N158" s="1"/>
  <c r="M119"/>
  <c r="M158" s="1"/>
  <c r="L119"/>
  <c r="L158" s="1"/>
  <c r="I119"/>
  <c r="I158" s="1"/>
  <c r="H119"/>
  <c r="H158" s="1"/>
  <c r="G119"/>
  <c r="G158" s="1"/>
  <c r="F119"/>
  <c r="F158" s="1"/>
  <c r="E119"/>
  <c r="E158" s="1"/>
  <c r="D119"/>
  <c r="D158" s="1"/>
  <c r="C119"/>
  <c r="C158" s="1"/>
  <c r="B119"/>
  <c r="B158" s="1"/>
  <c r="AP116"/>
  <c r="AP115"/>
  <c r="AP114"/>
  <c r="AP111"/>
  <c r="AP110"/>
  <c r="AP109"/>
  <c r="AP106"/>
  <c r="AP105"/>
  <c r="AP104"/>
  <c r="AP101"/>
  <c r="AP100"/>
  <c r="AP99"/>
  <c r="AP96"/>
  <c r="AP95"/>
  <c r="AP94"/>
  <c r="AP91"/>
  <c r="AP90"/>
  <c r="AP89"/>
  <c r="AM86"/>
  <c r="AL86"/>
  <c r="AK86"/>
  <c r="AJ86"/>
  <c r="AI86"/>
  <c r="AH86"/>
  <c r="AG86"/>
  <c r="AF86"/>
  <c r="AH85"/>
  <c r="AC86"/>
  <c r="AB86"/>
  <c r="AA86"/>
  <c r="Z86"/>
  <c r="Y86"/>
  <c r="X86"/>
  <c r="W86"/>
  <c r="V86"/>
  <c r="X85"/>
  <c r="S86"/>
  <c r="R86"/>
  <c r="Q86"/>
  <c r="P86"/>
  <c r="O86"/>
  <c r="N86"/>
  <c r="M86"/>
  <c r="L86"/>
  <c r="N85"/>
  <c r="I86"/>
  <c r="H86"/>
  <c r="G86"/>
  <c r="F86"/>
  <c r="E86"/>
  <c r="D86"/>
  <c r="C86"/>
  <c r="B86"/>
  <c r="D85"/>
  <c r="B84"/>
  <c r="AM80"/>
  <c r="AL80"/>
  <c r="AK80"/>
  <c r="AJ80"/>
  <c r="AI80"/>
  <c r="AH80"/>
  <c r="AG80"/>
  <c r="AF80"/>
  <c r="AC80"/>
  <c r="AB80"/>
  <c r="AA80"/>
  <c r="Z80"/>
  <c r="Y80"/>
  <c r="X80"/>
  <c r="W80"/>
  <c r="V80"/>
  <c r="S80"/>
  <c r="R80"/>
  <c r="Q80"/>
  <c r="P80"/>
  <c r="O80"/>
  <c r="N80"/>
  <c r="M80"/>
  <c r="L80"/>
  <c r="I80"/>
  <c r="H80"/>
  <c r="G80"/>
  <c r="F80"/>
  <c r="E80"/>
  <c r="D80"/>
  <c r="C80"/>
  <c r="B80"/>
  <c r="AP77"/>
  <c r="AP76"/>
  <c r="AP75"/>
  <c r="AP72"/>
  <c r="AP71"/>
  <c r="AP70"/>
  <c r="AP67"/>
  <c r="AP66"/>
  <c r="AP65"/>
  <c r="AP62"/>
  <c r="AP61"/>
  <c r="AP60"/>
  <c r="AP57"/>
  <c r="AP56"/>
  <c r="AP55"/>
  <c r="AP52"/>
  <c r="AP51"/>
  <c r="AP50"/>
  <c r="AM47"/>
  <c r="AL47"/>
  <c r="AK47"/>
  <c r="AJ47"/>
  <c r="AI47"/>
  <c r="AH47"/>
  <c r="AG47"/>
  <c r="AF47"/>
  <c r="AH46"/>
  <c r="AC47"/>
  <c r="AB47"/>
  <c r="AA47"/>
  <c r="Z47"/>
  <c r="Y47"/>
  <c r="X47"/>
  <c r="W47"/>
  <c r="V47"/>
  <c r="X46"/>
  <c r="S47"/>
  <c r="R47"/>
  <c r="Q47"/>
  <c r="P47"/>
  <c r="O47"/>
  <c r="N47"/>
  <c r="M47"/>
  <c r="L47"/>
  <c r="N46"/>
  <c r="I47"/>
  <c r="H47"/>
  <c r="G47"/>
  <c r="F47"/>
  <c r="E47"/>
  <c r="D47"/>
  <c r="C47"/>
  <c r="B47"/>
  <c r="D46"/>
  <c r="B45"/>
  <c r="AM43"/>
  <c r="AM82" s="1"/>
  <c r="AL43"/>
  <c r="AL82" s="1"/>
  <c r="AK43"/>
  <c r="AK82" s="1"/>
  <c r="AJ43"/>
  <c r="AJ82" s="1"/>
  <c r="AI43"/>
  <c r="AI82" s="1"/>
  <c r="AH43"/>
  <c r="AH82" s="1"/>
  <c r="AG43"/>
  <c r="AG82" s="1"/>
  <c r="AF43"/>
  <c r="AF82" s="1"/>
  <c r="AC43"/>
  <c r="AC82" s="1"/>
  <c r="AB43"/>
  <c r="AB82" s="1"/>
  <c r="AA43"/>
  <c r="AA82" s="1"/>
  <c r="Z43"/>
  <c r="Z82" s="1"/>
  <c r="Y43"/>
  <c r="Y82" s="1"/>
  <c r="X43"/>
  <c r="X82" s="1"/>
  <c r="W43"/>
  <c r="W82" s="1"/>
  <c r="V43"/>
  <c r="V82" s="1"/>
  <c r="S43"/>
  <c r="S82" s="1"/>
  <c r="R43"/>
  <c r="R82" s="1"/>
  <c r="Q43"/>
  <c r="Q82" s="1"/>
  <c r="P43"/>
  <c r="P82" s="1"/>
  <c r="O43"/>
  <c r="O82" s="1"/>
  <c r="N43"/>
  <c r="N82" s="1"/>
  <c r="M43"/>
  <c r="M82" s="1"/>
  <c r="L43"/>
  <c r="L82" s="1"/>
  <c r="I43"/>
  <c r="I82" s="1"/>
  <c r="H43"/>
  <c r="H82" s="1"/>
  <c r="G43"/>
  <c r="G82" s="1"/>
  <c r="F43"/>
  <c r="F82" s="1"/>
  <c r="E43"/>
  <c r="E82" s="1"/>
  <c r="D43"/>
  <c r="D82" s="1"/>
  <c r="C43"/>
  <c r="C82" s="1"/>
  <c r="B43"/>
  <c r="B82" s="1"/>
  <c r="AP40"/>
  <c r="AP39"/>
  <c r="AP38"/>
  <c r="AP35"/>
  <c r="AP34"/>
  <c r="AP33"/>
  <c r="AP30"/>
  <c r="AP29"/>
  <c r="AP28"/>
  <c r="AP25"/>
  <c r="AP24"/>
  <c r="AP23"/>
  <c r="AP20"/>
  <c r="AP19"/>
  <c r="AP18"/>
  <c r="AP15"/>
  <c r="AP14"/>
  <c r="AP13"/>
  <c r="AM10"/>
  <c r="AL10"/>
  <c r="AK10"/>
  <c r="AJ10"/>
  <c r="AI10"/>
  <c r="AH10"/>
  <c r="AG10"/>
  <c r="AF10"/>
  <c r="AC10"/>
  <c r="AB10"/>
  <c r="AA10"/>
  <c r="Z10"/>
  <c r="Y10"/>
  <c r="X10"/>
  <c r="W10"/>
  <c r="V10"/>
  <c r="S10"/>
  <c r="R10"/>
  <c r="Q10"/>
  <c r="P10"/>
  <c r="O10"/>
  <c r="N10"/>
  <c r="M10"/>
  <c r="L10"/>
  <c r="B8"/>
  <c r="N5"/>
  <c r="N2"/>
  <c r="I5" i="6"/>
  <c r="C5"/>
  <c r="I4"/>
  <c r="C4"/>
  <c r="J43" i="7" l="1"/>
  <c r="T43"/>
  <c r="AD43"/>
  <c r="AN43"/>
  <c r="J80"/>
  <c r="T80"/>
  <c r="AD80"/>
  <c r="AN80"/>
  <c r="J119"/>
  <c r="T119"/>
  <c r="AD119"/>
  <c r="AN119"/>
  <c r="J156"/>
  <c r="T156"/>
  <c r="AD156"/>
  <c r="AN156"/>
  <c r="J195"/>
  <c r="T195"/>
  <c r="AD195"/>
  <c r="AN195"/>
  <c r="J232"/>
  <c r="T232"/>
  <c r="AD232"/>
  <c r="AN232"/>
  <c r="J271"/>
  <c r="T271"/>
  <c r="AD271"/>
  <c r="AN271"/>
  <c r="AP12"/>
  <c r="AP16" s="1"/>
  <c r="AP17"/>
  <c r="AP21" s="1"/>
  <c r="AP22"/>
  <c r="AP26" s="1"/>
  <c r="AP27"/>
  <c r="AP31" s="1"/>
  <c r="AP32"/>
  <c r="AP36" s="1"/>
  <c r="AP37"/>
  <c r="AP41" s="1"/>
  <c r="AP43" s="1"/>
  <c r="AP49"/>
  <c r="AP53" s="1"/>
  <c r="AP54"/>
  <c r="AP58" s="1"/>
  <c r="AP59"/>
  <c r="AP63" s="1"/>
  <c r="AP64"/>
  <c r="AP68" s="1"/>
  <c r="AP69"/>
  <c r="AP73" s="1"/>
  <c r="AP74"/>
  <c r="AP78" s="1"/>
  <c r="AP80" s="1"/>
  <c r="AP88"/>
  <c r="AP92" s="1"/>
  <c r="AP93"/>
  <c r="AP97" s="1"/>
  <c r="AP98"/>
  <c r="AP102" s="1"/>
  <c r="AP103"/>
  <c r="AP107" s="1"/>
  <c r="AP108"/>
  <c r="AP112" s="1"/>
  <c r="AP113"/>
  <c r="AP117" s="1"/>
  <c r="AP119" s="1"/>
  <c r="AP125"/>
  <c r="AP129" s="1"/>
  <c r="AP130"/>
  <c r="AP134" s="1"/>
  <c r="AP135"/>
  <c r="AP139" s="1"/>
  <c r="AP140"/>
  <c r="AP144" s="1"/>
  <c r="AP145"/>
  <c r="AP149" s="1"/>
  <c r="AP150"/>
  <c r="AP154" s="1"/>
  <c r="AP156" s="1"/>
  <c r="AP164"/>
  <c r="AP168" s="1"/>
  <c r="AP169"/>
  <c r="AP173" s="1"/>
  <c r="AP174"/>
  <c r="AP178" s="1"/>
  <c r="AP179"/>
  <c r="AP183" s="1"/>
  <c r="AP184"/>
  <c r="AP188" s="1"/>
  <c r="AP189"/>
  <c r="AP193" s="1"/>
  <c r="AP195" s="1"/>
  <c r="AP201"/>
  <c r="AP205" s="1"/>
  <c r="AP206"/>
  <c r="AP210" s="1"/>
  <c r="AP211"/>
  <c r="AP215" s="1"/>
  <c r="AP216"/>
  <c r="AP220" s="1"/>
  <c r="AP221"/>
  <c r="AP225" s="1"/>
  <c r="AP226"/>
  <c r="AP230" s="1"/>
  <c r="AP232" s="1"/>
  <c r="AP240"/>
  <c r="AP244" s="1"/>
  <c r="AP245"/>
  <c r="AP249" s="1"/>
  <c r="AP250"/>
  <c r="AP254" s="1"/>
  <c r="AP255"/>
  <c r="AP259" s="1"/>
  <c r="AP260"/>
  <c r="AP264" s="1"/>
  <c r="AP265"/>
  <c r="AP269" s="1"/>
  <c r="AP271" s="1"/>
  <c r="AF271"/>
  <c r="AF310" s="1"/>
  <c r="AG271"/>
  <c r="AG310" s="1"/>
  <c r="AH271"/>
  <c r="AH310" s="1"/>
  <c r="AI271"/>
  <c r="AI310" s="1"/>
  <c r="AJ271"/>
  <c r="AJ310" s="1"/>
  <c r="AK271"/>
  <c r="AK310" s="1"/>
  <c r="AL271"/>
  <c r="AL310" s="1"/>
  <c r="AM271"/>
  <c r="AM310" s="1"/>
  <c r="J308"/>
  <c r="T308"/>
  <c r="AD308"/>
  <c r="AN308"/>
  <c r="B347"/>
  <c r="C347"/>
  <c r="D347"/>
  <c r="E347"/>
  <c r="F347"/>
  <c r="G347"/>
  <c r="H347"/>
  <c r="I347"/>
  <c r="L347"/>
  <c r="M347"/>
  <c r="N347"/>
  <c r="O347"/>
  <c r="P347"/>
  <c r="Q347"/>
  <c r="R347"/>
  <c r="S347"/>
  <c r="V347"/>
  <c r="W347"/>
  <c r="X347"/>
  <c r="Y347"/>
  <c r="Z347"/>
  <c r="AA347"/>
  <c r="AB347"/>
  <c r="AC347"/>
  <c r="AF347"/>
  <c r="AG347"/>
  <c r="AH347"/>
  <c r="AI347"/>
  <c r="AJ347"/>
  <c r="AK347"/>
  <c r="AL347"/>
  <c r="AM347"/>
  <c r="B384"/>
  <c r="C384"/>
  <c r="D384"/>
  <c r="E384"/>
  <c r="F384"/>
  <c r="G384"/>
  <c r="H384"/>
  <c r="I384"/>
  <c r="L384"/>
  <c r="M384"/>
  <c r="N384"/>
  <c r="O384"/>
  <c r="P384"/>
  <c r="Q384"/>
  <c r="R384"/>
  <c r="S384"/>
  <c r="V384"/>
  <c r="W384"/>
  <c r="X384"/>
  <c r="Y384"/>
  <c r="Z384"/>
  <c r="AA384"/>
  <c r="AB384"/>
  <c r="AC384"/>
  <c r="AF384"/>
  <c r="AG384"/>
  <c r="AH384"/>
  <c r="AI384"/>
  <c r="AJ384"/>
  <c r="AK384"/>
  <c r="AL384"/>
  <c r="AM384"/>
  <c r="V401"/>
  <c r="AD397"/>
  <c r="AD401" s="1"/>
  <c r="AP277"/>
  <c r="AP281" s="1"/>
  <c r="AP282"/>
  <c r="AP286" s="1"/>
  <c r="AP287"/>
  <c r="AP291" s="1"/>
  <c r="AP292"/>
  <c r="AP296" s="1"/>
  <c r="AP297"/>
  <c r="AP301" s="1"/>
  <c r="AP302"/>
  <c r="AP306" s="1"/>
  <c r="AP308" s="1"/>
  <c r="J316"/>
  <c r="T316"/>
  <c r="T320" s="1"/>
  <c r="AD316"/>
  <c r="AD320" s="1"/>
  <c r="AN316"/>
  <c r="AN320" s="1"/>
  <c r="J321"/>
  <c r="T321"/>
  <c r="T325" s="1"/>
  <c r="AD321"/>
  <c r="AD325" s="1"/>
  <c r="AN321"/>
  <c r="AN325" s="1"/>
  <c r="J326"/>
  <c r="T326"/>
  <c r="T330" s="1"/>
  <c r="AD326"/>
  <c r="AD330" s="1"/>
  <c r="AN326"/>
  <c r="AN330" s="1"/>
  <c r="J331"/>
  <c r="T331"/>
  <c r="T335" s="1"/>
  <c r="AD331"/>
  <c r="AD335" s="1"/>
  <c r="AN331"/>
  <c r="AN335" s="1"/>
  <c r="J336"/>
  <c r="T336"/>
  <c r="T340" s="1"/>
  <c r="AD336"/>
  <c r="AD340" s="1"/>
  <c r="AN336"/>
  <c r="AN340" s="1"/>
  <c r="J341"/>
  <c r="T341"/>
  <c r="T345" s="1"/>
  <c r="T347" s="1"/>
  <c r="AD341"/>
  <c r="AD345" s="1"/>
  <c r="AD347" s="1"/>
  <c r="AN341"/>
  <c r="AN345" s="1"/>
  <c r="AN347" s="1"/>
  <c r="J353"/>
  <c r="T353"/>
  <c r="T357" s="1"/>
  <c r="AD353"/>
  <c r="AD357" s="1"/>
  <c r="AN353"/>
  <c r="AN357" s="1"/>
  <c r="J358"/>
  <c r="T358"/>
  <c r="T362" s="1"/>
  <c r="AD358"/>
  <c r="AD362" s="1"/>
  <c r="AN358"/>
  <c r="AN362" s="1"/>
  <c r="J363"/>
  <c r="T363"/>
  <c r="T367" s="1"/>
  <c r="AD363"/>
  <c r="AD367" s="1"/>
  <c r="AN363"/>
  <c r="AN367" s="1"/>
  <c r="J368"/>
  <c r="T368"/>
  <c r="T372" s="1"/>
  <c r="AD368"/>
  <c r="AD372" s="1"/>
  <c r="AN368"/>
  <c r="AN372" s="1"/>
  <c r="J373"/>
  <c r="T373"/>
  <c r="T377" s="1"/>
  <c r="AD373"/>
  <c r="AD377" s="1"/>
  <c r="AN373"/>
  <c r="AN377" s="1"/>
  <c r="J378"/>
  <c r="T378"/>
  <c r="T382" s="1"/>
  <c r="T384" s="1"/>
  <c r="AD378"/>
  <c r="AD382" s="1"/>
  <c r="AD384" s="1"/>
  <c r="AN378"/>
  <c r="AN382" s="1"/>
  <c r="AN384" s="1"/>
  <c r="J392"/>
  <c r="T392"/>
  <c r="T396" s="1"/>
  <c r="AD392"/>
  <c r="AD396" s="1"/>
  <c r="AN392"/>
  <c r="AN396" s="1"/>
  <c r="J397"/>
  <c r="T397"/>
  <c r="T401" s="1"/>
  <c r="B423"/>
  <c r="C423"/>
  <c r="D423"/>
  <c r="E423"/>
  <c r="F423"/>
  <c r="G423"/>
  <c r="H423"/>
  <c r="I423"/>
  <c r="L423"/>
  <c r="M423"/>
  <c r="N423"/>
  <c r="O423"/>
  <c r="P423"/>
  <c r="Q423"/>
  <c r="R423"/>
  <c r="S423"/>
  <c r="V423"/>
  <c r="W423"/>
  <c r="X423"/>
  <c r="Y423"/>
  <c r="Z423"/>
  <c r="AA423"/>
  <c r="AB423"/>
  <c r="AC423"/>
  <c r="AF423"/>
  <c r="AG423"/>
  <c r="AH423"/>
  <c r="AI423"/>
  <c r="AJ423"/>
  <c r="AK423"/>
  <c r="AL423"/>
  <c r="AM423"/>
  <c r="AN397"/>
  <c r="AN401" s="1"/>
  <c r="J402"/>
  <c r="T402"/>
  <c r="T406" s="1"/>
  <c r="AD402"/>
  <c r="AD406" s="1"/>
  <c r="AN402"/>
  <c r="AN406" s="1"/>
  <c r="J407"/>
  <c r="T407"/>
  <c r="T411" s="1"/>
  <c r="AD407"/>
  <c r="AD411" s="1"/>
  <c r="AN407"/>
  <c r="AN411" s="1"/>
  <c r="J412"/>
  <c r="T412"/>
  <c r="T416" s="1"/>
  <c r="AD412"/>
  <c r="AD416" s="1"/>
  <c r="AN412"/>
  <c r="AN416" s="1"/>
  <c r="J417"/>
  <c r="T417"/>
  <c r="T421" s="1"/>
  <c r="T423" s="1"/>
  <c r="AD417"/>
  <c r="AD421" s="1"/>
  <c r="AD423" s="1"/>
  <c r="AN417"/>
  <c r="AN421" s="1"/>
  <c r="AN423" s="1"/>
  <c r="J429"/>
  <c r="T429"/>
  <c r="T433" s="1"/>
  <c r="AD429"/>
  <c r="AD433" s="1"/>
  <c r="AN429"/>
  <c r="AN433" s="1"/>
  <c r="J434"/>
  <c r="T434"/>
  <c r="T438" s="1"/>
  <c r="AD434"/>
  <c r="AD438" s="1"/>
  <c r="AN434"/>
  <c r="AN438" s="1"/>
  <c r="J439"/>
  <c r="T439"/>
  <c r="T443" s="1"/>
  <c r="AD439"/>
  <c r="AD443" s="1"/>
  <c r="AN439"/>
  <c r="AN443" s="1"/>
  <c r="B460"/>
  <c r="C460"/>
  <c r="D460"/>
  <c r="E460"/>
  <c r="F460"/>
  <c r="G460"/>
  <c r="H460"/>
  <c r="I460"/>
  <c r="L460"/>
  <c r="M460"/>
  <c r="N460"/>
  <c r="O460"/>
  <c r="P460"/>
  <c r="Q460"/>
  <c r="R460"/>
  <c r="S460"/>
  <c r="V460"/>
  <c r="W460"/>
  <c r="X460"/>
  <c r="Y460"/>
  <c r="Z460"/>
  <c r="AA460"/>
  <c r="AB460"/>
  <c r="AC460"/>
  <c r="AF460"/>
  <c r="AG460"/>
  <c r="AH460"/>
  <c r="AI460"/>
  <c r="AJ460"/>
  <c r="AK460"/>
  <c r="AL460"/>
  <c r="AM460"/>
  <c r="J444"/>
  <c r="T444"/>
  <c r="T448" s="1"/>
  <c r="AD444"/>
  <c r="AD448" s="1"/>
  <c r="AN444"/>
  <c r="AN448" s="1"/>
  <c r="J449"/>
  <c r="T449"/>
  <c r="T453" s="1"/>
  <c r="AD449"/>
  <c r="AD453" s="1"/>
  <c r="AN449"/>
  <c r="AN453" s="1"/>
  <c r="J454"/>
  <c r="T454"/>
  <c r="T458" s="1"/>
  <c r="T460" s="1"/>
  <c r="AD454"/>
  <c r="AD458" s="1"/>
  <c r="AD460" s="1"/>
  <c r="AN454"/>
  <c r="AN458" s="1"/>
  <c r="AN460" s="1"/>
  <c r="J458" l="1"/>
  <c r="AP454"/>
  <c r="AP458" s="1"/>
  <c r="J453"/>
  <c r="AP449"/>
  <c r="AP453" s="1"/>
  <c r="J448"/>
  <c r="AP444"/>
  <c r="AP448" s="1"/>
  <c r="J443"/>
  <c r="AP439"/>
  <c r="AP443" s="1"/>
  <c r="J438"/>
  <c r="AP434"/>
  <c r="AP438" s="1"/>
  <c r="J433"/>
  <c r="AP429"/>
  <c r="AP433" s="1"/>
  <c r="J421"/>
  <c r="AP417"/>
  <c r="AP421" s="1"/>
  <c r="J416"/>
  <c r="AP412"/>
  <c r="AP416" s="1"/>
  <c r="J411"/>
  <c r="AP407"/>
  <c r="AP411" s="1"/>
  <c r="J406"/>
  <c r="AP402"/>
  <c r="AP406" s="1"/>
  <c r="J401"/>
  <c r="AP397"/>
  <c r="AP401" s="1"/>
  <c r="J396"/>
  <c r="AP392"/>
  <c r="AP396" s="1"/>
  <c r="J382"/>
  <c r="AP378"/>
  <c r="AP382" s="1"/>
  <c r="J377"/>
  <c r="AP373"/>
  <c r="AP377" s="1"/>
  <c r="J372"/>
  <c r="AP368"/>
  <c r="AP372" s="1"/>
  <c r="J367"/>
  <c r="AP363"/>
  <c r="AP367" s="1"/>
  <c r="J362"/>
  <c r="AP358"/>
  <c r="AP362" s="1"/>
  <c r="J357"/>
  <c r="AP353"/>
  <c r="AP357" s="1"/>
  <c r="J345"/>
  <c r="AP341"/>
  <c r="AP345" s="1"/>
  <c r="J340"/>
  <c r="AP336"/>
  <c r="AP340" s="1"/>
  <c r="J335"/>
  <c r="AP331"/>
  <c r="AP335" s="1"/>
  <c r="J330"/>
  <c r="AP326"/>
  <c r="AP330" s="1"/>
  <c r="J325"/>
  <c r="AP321"/>
  <c r="AP325" s="1"/>
  <c r="J320"/>
  <c r="AP316"/>
  <c r="AP320" s="1"/>
  <c r="AN462"/>
  <c r="AD462"/>
  <c r="T462"/>
  <c r="AM462"/>
  <c r="AL462"/>
  <c r="AK462"/>
  <c r="AJ462"/>
  <c r="AI462"/>
  <c r="AH462"/>
  <c r="AG462"/>
  <c r="AF462"/>
  <c r="AC462"/>
  <c r="AB462"/>
  <c r="AA462"/>
  <c r="Z462"/>
  <c r="Y462"/>
  <c r="X462"/>
  <c r="W462"/>
  <c r="V462"/>
  <c r="S462"/>
  <c r="R462"/>
  <c r="Q462"/>
  <c r="P462"/>
  <c r="O462"/>
  <c r="N462"/>
  <c r="M462"/>
  <c r="L462"/>
  <c r="I462"/>
  <c r="H462"/>
  <c r="G462"/>
  <c r="F462"/>
  <c r="E462"/>
  <c r="D462"/>
  <c r="C462"/>
  <c r="B462"/>
  <c r="AN386"/>
  <c r="AD386"/>
  <c r="T386"/>
  <c r="AM386"/>
  <c r="AL386"/>
  <c r="AK386"/>
  <c r="AJ386"/>
  <c r="AI386"/>
  <c r="AH386"/>
  <c r="AG386"/>
  <c r="AF386"/>
  <c r="AC386"/>
  <c r="AB386"/>
  <c r="AA386"/>
  <c r="Z386"/>
  <c r="Y386"/>
  <c r="X386"/>
  <c r="W386"/>
  <c r="V386"/>
  <c r="S386"/>
  <c r="R386"/>
  <c r="Q386"/>
  <c r="P386"/>
  <c r="O386"/>
  <c r="N386"/>
  <c r="M386"/>
  <c r="L386"/>
  <c r="I386"/>
  <c r="H386"/>
  <c r="G386"/>
  <c r="F386"/>
  <c r="E386"/>
  <c r="D386"/>
  <c r="C386"/>
  <c r="B386"/>
  <c r="AP310"/>
  <c r="AP234"/>
  <c r="AP158"/>
  <c r="AP82"/>
  <c r="AN310"/>
  <c r="AD310"/>
  <c r="T310"/>
  <c r="J310"/>
  <c r="AN234"/>
  <c r="AD234"/>
  <c r="T234"/>
  <c r="J234"/>
  <c r="AN158"/>
  <c r="AD158"/>
  <c r="T158"/>
  <c r="J158"/>
  <c r="AN82"/>
  <c r="AD82"/>
  <c r="T82"/>
  <c r="J82"/>
  <c r="AP347" l="1"/>
  <c r="J347"/>
  <c r="AP384"/>
  <c r="J384"/>
  <c r="AP423"/>
  <c r="J423"/>
  <c r="AP460"/>
  <c r="J460"/>
  <c r="J462" l="1"/>
  <c r="AP462"/>
  <c r="J386"/>
  <c r="AP386"/>
</calcChain>
</file>

<file path=xl/sharedStrings.xml><?xml version="1.0" encoding="utf-8"?>
<sst xmlns="http://schemas.openxmlformats.org/spreadsheetml/2006/main" count="519" uniqueCount="47">
  <si>
    <t>Client:</t>
  </si>
  <si>
    <t>Project:</t>
  </si>
  <si>
    <t>Site:</t>
  </si>
  <si>
    <t>Survey Date:</t>
  </si>
  <si>
    <t>Survey Period:</t>
  </si>
  <si>
    <t>Method:</t>
  </si>
  <si>
    <t>AM Weather:</t>
  </si>
  <si>
    <t>PM Weather:</t>
  </si>
  <si>
    <t>Incidents / Observations:</t>
  </si>
  <si>
    <t>Client :</t>
  </si>
  <si>
    <t>Site plan for :</t>
  </si>
  <si>
    <t>Project :</t>
  </si>
  <si>
    <t>Date :</t>
  </si>
  <si>
    <t>Date:</t>
  </si>
  <si>
    <t>Entry :</t>
  </si>
  <si>
    <t>Arm A</t>
  </si>
  <si>
    <t>Destination :</t>
  </si>
  <si>
    <t>CAR</t>
  </si>
  <si>
    <t>LGV</t>
  </si>
  <si>
    <t>OGV1</t>
  </si>
  <si>
    <t>OGV2</t>
  </si>
  <si>
    <t>PSV</t>
  </si>
  <si>
    <t>MC</t>
  </si>
  <si>
    <t>PC</t>
  </si>
  <si>
    <t>Total</t>
  </si>
  <si>
    <t>Arm B</t>
  </si>
  <si>
    <t>Arm C</t>
  </si>
  <si>
    <t>Arm D</t>
  </si>
  <si>
    <t>Arm Totals</t>
  </si>
  <si>
    <t>1 Hr</t>
  </si>
  <si>
    <t>6 Hrs</t>
  </si>
  <si>
    <t>ORIGIN SUMMARY</t>
  </si>
  <si>
    <t>Origin :</t>
  </si>
  <si>
    <t>Origin Totals</t>
  </si>
  <si>
    <t>DESTINATION SUMMARY</t>
  </si>
  <si>
    <t>Dest Totals</t>
  </si>
  <si>
    <t>PEDS</t>
  </si>
  <si>
    <t>Bristol City Council</t>
  </si>
  <si>
    <t>WAL-2526 Prince Street, Bristol</t>
  </si>
  <si>
    <t>0700-1900</t>
  </si>
  <si>
    <t>Video Observation</t>
  </si>
  <si>
    <t>Cold / Cloudy / Rain</t>
  </si>
  <si>
    <t>Arm A - Wapping Road</t>
  </si>
  <si>
    <t>Arm B - River Path</t>
  </si>
  <si>
    <t>Arm C - Commerical Road</t>
  </si>
  <si>
    <t>Arm D - Cumberland Road</t>
  </si>
  <si>
    <t>14 Wapping Road Roundabout</t>
  </si>
</sst>
</file>

<file path=xl/styles.xml><?xml version="1.0" encoding="utf-8"?>
<styleSheet xmlns="http://schemas.openxmlformats.org/spreadsheetml/2006/main">
  <numFmts count="1">
    <numFmt numFmtId="164" formatCode="dddd\ dd\ mmmm\ yyyy"/>
  </numFmts>
  <fonts count="10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14" fontId="3" fillId="2" borderId="10" xfId="0" applyNumberFormat="1" applyFont="1" applyFill="1" applyBorder="1" applyAlignment="1">
      <alignment vertical="center"/>
    </xf>
    <xf numFmtId="0" fontId="3" fillId="2" borderId="4" xfId="0" applyFont="1" applyFill="1" applyBorder="1"/>
    <xf numFmtId="0" fontId="3" fillId="2" borderId="11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0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5" fillId="5" borderId="0" xfId="1" applyFont="1" applyFill="1" applyAlignment="1" applyProtection="1">
      <alignment horizontal="left" vertical="center" shrinkToFit="1"/>
      <protection locked="0"/>
    </xf>
    <xf numFmtId="0" fontId="5" fillId="5" borderId="0" xfId="1" applyNumberFormat="1" applyFont="1" applyFill="1" applyAlignment="1" applyProtection="1">
      <alignment horizontal="left" vertical="center" shrinkToFit="1"/>
      <protection locked="0"/>
    </xf>
    <xf numFmtId="0" fontId="5" fillId="5" borderId="0" xfId="1" applyFont="1" applyFill="1" applyAlignment="1" applyProtection="1">
      <alignment horizontal="left" vertical="center"/>
      <protection locked="0"/>
    </xf>
    <xf numFmtId="164" fontId="5" fillId="5" borderId="0" xfId="1" applyNumberFormat="1" applyFont="1" applyFill="1" applyAlignment="1" applyProtection="1">
      <alignment horizontal="left" vertical="center" shrinkToFit="1"/>
      <protection locked="0"/>
    </xf>
    <xf numFmtId="0" fontId="6" fillId="2" borderId="4" xfId="0" applyFont="1" applyFill="1" applyBorder="1"/>
    <xf numFmtId="0" fontId="6" fillId="2" borderId="11" xfId="0" applyFont="1" applyFill="1" applyBorder="1"/>
    <xf numFmtId="0" fontId="6" fillId="2" borderId="5" xfId="0" applyFont="1" applyFill="1" applyBorder="1"/>
    <xf numFmtId="0" fontId="6" fillId="2" borderId="0" xfId="0" applyFont="1" applyFill="1"/>
    <xf numFmtId="0" fontId="6" fillId="2" borderId="6" xfId="0" applyFont="1" applyFill="1" applyBorder="1"/>
    <xf numFmtId="0" fontId="6" fillId="2" borderId="0" xfId="0" applyFont="1" applyFill="1" applyBorder="1"/>
    <xf numFmtId="0" fontId="7" fillId="2" borderId="0" xfId="0" applyFont="1" applyFill="1" applyBorder="1"/>
    <xf numFmtId="0" fontId="8" fillId="2" borderId="0" xfId="0" applyFont="1" applyFill="1" applyBorder="1"/>
    <xf numFmtId="0" fontId="6" fillId="2" borderId="7" xfId="0" applyFont="1" applyFill="1" applyBorder="1"/>
    <xf numFmtId="0" fontId="6" fillId="2" borderId="8" xfId="0" applyFont="1" applyFill="1" applyBorder="1"/>
    <xf numFmtId="0" fontId="6" fillId="2" borderId="12" xfId="0" applyFont="1" applyFill="1" applyBorder="1"/>
    <xf numFmtId="0" fontId="6" fillId="2" borderId="9" xfId="0" applyFont="1" applyFill="1" applyBorder="1"/>
    <xf numFmtId="0" fontId="8" fillId="2" borderId="0" xfId="0" applyFont="1" applyFill="1"/>
    <xf numFmtId="0" fontId="6" fillId="2" borderId="2" xfId="0" applyFont="1" applyFill="1" applyBorder="1"/>
    <xf numFmtId="0" fontId="6" fillId="2" borderId="10" xfId="0" applyFont="1" applyFill="1" applyBorder="1"/>
    <xf numFmtId="0" fontId="6" fillId="2" borderId="3" xfId="0" applyFont="1" applyFill="1" applyBorder="1"/>
    <xf numFmtId="0" fontId="6" fillId="2" borderId="1" xfId="0" applyFont="1" applyFill="1" applyBorder="1"/>
    <xf numFmtId="0" fontId="6" fillId="2" borderId="14" xfId="0" applyFont="1" applyFill="1" applyBorder="1" applyAlignment="1">
      <alignment horizontal="center" vertical="distributed"/>
    </xf>
    <xf numFmtId="0" fontId="9" fillId="2" borderId="0" xfId="0" applyFont="1" applyFill="1"/>
    <xf numFmtId="0" fontId="9" fillId="2" borderId="2" xfId="0" applyFont="1" applyFill="1" applyBorder="1" applyAlignment="1">
      <alignment horizontal="right"/>
    </xf>
    <xf numFmtId="0" fontId="9" fillId="2" borderId="10" xfId="0" applyFont="1" applyFill="1" applyBorder="1" applyAlignment="1">
      <alignment horizontal="right"/>
    </xf>
    <xf numFmtId="0" fontId="9" fillId="2" borderId="3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 vertical="distributed"/>
    </xf>
    <xf numFmtId="20" fontId="6" fillId="2" borderId="14" xfId="0" applyNumberFormat="1" applyFont="1" applyFill="1" applyBorder="1" applyAlignment="1">
      <alignment horizontal="left"/>
    </xf>
    <xf numFmtId="0" fontId="6" fillId="2" borderId="14" xfId="0" applyFont="1" applyFill="1" applyBorder="1"/>
    <xf numFmtId="20" fontId="6" fillId="2" borderId="16" xfId="0" applyNumberFormat="1" applyFont="1" applyFill="1" applyBorder="1" applyAlignment="1">
      <alignment horizontal="left"/>
    </xf>
    <xf numFmtId="0" fontId="6" fillId="2" borderId="16" xfId="0" applyFont="1" applyFill="1" applyBorder="1"/>
    <xf numFmtId="20" fontId="6" fillId="2" borderId="15" xfId="0" applyNumberFormat="1" applyFont="1" applyFill="1" applyBorder="1" applyAlignment="1">
      <alignment horizontal="left"/>
    </xf>
    <xf numFmtId="0" fontId="6" fillId="2" borderId="15" xfId="0" applyFont="1" applyFill="1" applyBorder="1"/>
    <xf numFmtId="164" fontId="8" fillId="2" borderId="0" xfId="0" applyNumberFormat="1" applyFont="1" applyFill="1" applyBorder="1" applyAlignment="1">
      <alignment horizontal="left"/>
    </xf>
    <xf numFmtId="0" fontId="6" fillId="2" borderId="4" xfId="1" applyFont="1" applyFill="1" applyBorder="1"/>
    <xf numFmtId="0" fontId="6" fillId="2" borderId="11" xfId="1" applyFont="1" applyFill="1" applyBorder="1"/>
    <xf numFmtId="0" fontId="6" fillId="2" borderId="5" xfId="1" applyFont="1" applyFill="1" applyBorder="1"/>
    <xf numFmtId="0" fontId="6" fillId="2" borderId="0" xfId="1" applyFont="1" applyFill="1"/>
    <xf numFmtId="0" fontId="6" fillId="2" borderId="6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8" fillId="2" borderId="7" xfId="1" applyFont="1" applyFill="1" applyBorder="1"/>
    <xf numFmtId="0" fontId="8" fillId="2" borderId="0" xfId="1" applyFont="1" applyFill="1"/>
    <xf numFmtId="0" fontId="7" fillId="2" borderId="0" xfId="1" applyFont="1" applyFill="1"/>
    <xf numFmtId="164" fontId="8" fillId="2" borderId="0" xfId="1" applyNumberFormat="1" applyFont="1" applyFill="1" applyBorder="1" applyAlignment="1">
      <alignment horizontal="left"/>
    </xf>
    <xf numFmtId="164" fontId="8" fillId="2" borderId="7" xfId="1" applyNumberFormat="1" applyFont="1" applyFill="1" applyBorder="1" applyAlignment="1">
      <alignment horizontal="left"/>
    </xf>
    <xf numFmtId="0" fontId="6" fillId="2" borderId="8" xfId="1" applyFont="1" applyFill="1" applyBorder="1"/>
    <xf numFmtId="0" fontId="6" fillId="2" borderId="12" xfId="1" applyFont="1" applyFill="1" applyBorder="1"/>
    <xf numFmtId="0" fontId="6" fillId="2" borderId="9" xfId="1" applyFont="1" applyFill="1" applyBorder="1"/>
    <xf numFmtId="0" fontId="6" fillId="2" borderId="2" xfId="1" applyFont="1" applyFill="1" applyBorder="1" applyAlignment="1">
      <alignment horizont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Continuous" wrapText="1"/>
    </xf>
    <xf numFmtId="0" fontId="6" fillId="2" borderId="3" xfId="1" applyFont="1" applyFill="1" applyBorder="1" applyAlignment="1">
      <alignment horizontal="centerContinuous" wrapText="1"/>
    </xf>
    <xf numFmtId="0" fontId="6" fillId="2" borderId="0" xfId="1" applyFont="1" applyFill="1" applyAlignment="1">
      <alignment wrapText="1"/>
    </xf>
    <xf numFmtId="0" fontId="6" fillId="2" borderId="14" xfId="1" applyFont="1" applyFill="1" applyBorder="1" applyAlignment="1">
      <alignment horizontal="center" vertical="distributed"/>
    </xf>
    <xf numFmtId="0" fontId="9" fillId="2" borderId="0" xfId="1" applyFont="1" applyFill="1"/>
    <xf numFmtId="0" fontId="9" fillId="2" borderId="1" xfId="1" applyFont="1" applyFill="1" applyBorder="1" applyAlignment="1">
      <alignment horizontal="right"/>
    </xf>
    <xf numFmtId="0" fontId="9" fillId="2" borderId="1" xfId="1" applyFont="1" applyFill="1" applyBorder="1" applyAlignment="1">
      <alignment horizontal="center"/>
    </xf>
    <xf numFmtId="0" fontId="6" fillId="2" borderId="15" xfId="1" applyFont="1" applyFill="1" applyBorder="1" applyAlignment="1">
      <alignment horizontal="center" vertical="distributed"/>
    </xf>
    <xf numFmtId="20" fontId="6" fillId="2" borderId="14" xfId="1" applyNumberFormat="1" applyFont="1" applyFill="1" applyBorder="1" applyAlignment="1">
      <alignment horizontal="left"/>
    </xf>
    <xf numFmtId="0" fontId="6" fillId="2" borderId="14" xfId="1" applyFont="1" applyFill="1" applyBorder="1"/>
    <xf numFmtId="20" fontId="6" fillId="2" borderId="16" xfId="1" applyNumberFormat="1" applyFont="1" applyFill="1" applyBorder="1" applyAlignment="1">
      <alignment horizontal="left"/>
    </xf>
    <xf numFmtId="0" fontId="6" fillId="2" borderId="16" xfId="1" applyFont="1" applyFill="1" applyBorder="1"/>
    <xf numFmtId="20" fontId="6" fillId="2" borderId="15" xfId="1" applyNumberFormat="1" applyFont="1" applyFill="1" applyBorder="1" applyAlignment="1">
      <alignment horizontal="left"/>
    </xf>
    <xf numFmtId="0" fontId="6" fillId="2" borderId="15" xfId="1" applyFont="1" applyFill="1" applyBorder="1"/>
    <xf numFmtId="0" fontId="6" fillId="2" borderId="1" xfId="1" applyFont="1" applyFill="1" applyBorder="1"/>
    <xf numFmtId="0" fontId="6" fillId="2" borderId="2" xfId="1" applyFont="1" applyFill="1" applyBorder="1" applyAlignment="1">
      <alignment horizontal="centerContinuous"/>
    </xf>
    <xf numFmtId="0" fontId="6" fillId="2" borderId="3" xfId="1" applyFont="1" applyFill="1" applyBorder="1" applyAlignment="1">
      <alignment horizontal="centerContinuous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681037</xdr:colOff>
      <xdr:row>1</xdr:row>
      <xdr:rowOff>97632</xdr:rowOff>
    </xdr:from>
    <xdr:to>
      <xdr:col>2</xdr:col>
      <xdr:colOff>2043112</xdr:colOff>
      <xdr:row>4</xdr:row>
      <xdr:rowOff>252600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38362" y="488157"/>
          <a:ext cx="4086225" cy="1326543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15874</xdr:colOff>
      <xdr:row>5</xdr:row>
      <xdr:rowOff>31750</xdr:rowOff>
    </xdr:from>
    <xdr:to>
      <xdr:col>12</xdr:col>
      <xdr:colOff>1222375</xdr:colOff>
      <xdr:row>34</xdr:row>
      <xdr:rowOff>269875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31573" t="37431" r="22360" b="18054"/>
        <a:stretch>
          <a:fillRect/>
        </a:stretch>
      </xdr:blipFill>
      <xdr:spPr bwMode="auto">
        <a:xfrm>
          <a:off x="15874" y="1619250"/>
          <a:ext cx="16065501" cy="9445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15875</xdr:colOff>
      <xdr:row>29</xdr:row>
      <xdr:rowOff>206375</xdr:rowOff>
    </xdr:from>
    <xdr:to>
      <xdr:col>1</xdr:col>
      <xdr:colOff>857250</xdr:colOff>
      <xdr:row>34</xdr:row>
      <xdr:rowOff>301625</xdr:rowOff>
    </xdr:to>
    <xdr:sp macro="" textlink="">
      <xdr:nvSpPr>
        <xdr:cNvPr id="8" name="Rectangle 7"/>
        <xdr:cNvSpPr/>
      </xdr:nvSpPr>
      <xdr:spPr bwMode="auto">
        <a:xfrm>
          <a:off x="15875" y="9413875"/>
          <a:ext cx="2079625" cy="16827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457540</xdr:colOff>
      <xdr:row>3</xdr:row>
      <xdr:rowOff>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2934040" cy="952500"/>
        </a:xfrm>
        <a:prstGeom prst="rect">
          <a:avLst/>
        </a:prstGeom>
        <a:noFill/>
      </xdr:spPr>
    </xdr:pic>
    <xdr:clientData/>
  </xdr:twoCellAnchor>
  <xdr:twoCellAnchor>
    <xdr:from>
      <xdr:col>0</xdr:col>
      <xdr:colOff>31750</xdr:colOff>
      <xdr:row>29</xdr:row>
      <xdr:rowOff>238125</xdr:rowOff>
    </xdr:from>
    <xdr:to>
      <xdr:col>1</xdr:col>
      <xdr:colOff>777875</xdr:colOff>
      <xdr:row>31</xdr:row>
      <xdr:rowOff>0</xdr:rowOff>
    </xdr:to>
    <xdr:sp macro="" textlink="JTC!D9">
      <xdr:nvSpPr>
        <xdr:cNvPr id="4" name="TextBox 3"/>
        <xdr:cNvSpPr txBox="1"/>
      </xdr:nvSpPr>
      <xdr:spPr>
        <a:xfrm>
          <a:off x="31750" y="9445625"/>
          <a:ext cx="1984375" cy="396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fld id="{8D64FAB7-919B-4511-8901-F019E4DF13E0}" type="TxLink">
            <a:rPr lang="en-US" sz="1100" b="0" i="0" u="none" strike="noStrike">
              <a:solidFill>
                <a:srgbClr val="000000"/>
              </a:solidFill>
              <a:latin typeface="Arialri"/>
            </a:rPr>
            <a:t>Arm A - Wapping Road</a:t>
          </a:fld>
          <a:endParaRPr lang="en-GB" sz="1600" b="1"/>
        </a:p>
      </xdr:txBody>
    </xdr:sp>
    <xdr:clientData/>
  </xdr:twoCellAnchor>
  <xdr:twoCellAnchor>
    <xdr:from>
      <xdr:col>0</xdr:col>
      <xdr:colOff>25400</xdr:colOff>
      <xdr:row>31</xdr:row>
      <xdr:rowOff>9525</xdr:rowOff>
    </xdr:from>
    <xdr:to>
      <xdr:col>1</xdr:col>
      <xdr:colOff>771525</xdr:colOff>
      <xdr:row>32</xdr:row>
      <xdr:rowOff>88900</xdr:rowOff>
    </xdr:to>
    <xdr:sp macro="" textlink="JTC!N9">
      <xdr:nvSpPr>
        <xdr:cNvPr id="5" name="TextBox 4"/>
        <xdr:cNvSpPr txBox="1"/>
      </xdr:nvSpPr>
      <xdr:spPr>
        <a:xfrm>
          <a:off x="25400" y="9852025"/>
          <a:ext cx="1984375" cy="396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fld id="{DE851203-E47D-4A3B-8D52-9A6E269FC0D1}" type="TxLink">
            <a:rPr lang="en-US" sz="1100" b="0" i="0" u="none" strike="noStrike">
              <a:solidFill>
                <a:srgbClr val="000000"/>
              </a:solidFill>
              <a:latin typeface="Arialri"/>
            </a:rPr>
            <a:t>Arm B - River Path</a:t>
          </a:fld>
          <a:endParaRPr lang="en-GB" sz="1600" b="1"/>
        </a:p>
      </xdr:txBody>
    </xdr:sp>
    <xdr:clientData/>
  </xdr:twoCellAnchor>
  <xdr:twoCellAnchor>
    <xdr:from>
      <xdr:col>0</xdr:col>
      <xdr:colOff>34925</xdr:colOff>
      <xdr:row>32</xdr:row>
      <xdr:rowOff>114300</xdr:rowOff>
    </xdr:from>
    <xdr:to>
      <xdr:col>1</xdr:col>
      <xdr:colOff>781050</xdr:colOff>
      <xdr:row>33</xdr:row>
      <xdr:rowOff>193675</xdr:rowOff>
    </xdr:to>
    <xdr:sp macro="" textlink="JTC!X9">
      <xdr:nvSpPr>
        <xdr:cNvPr id="6" name="TextBox 5"/>
        <xdr:cNvSpPr txBox="1"/>
      </xdr:nvSpPr>
      <xdr:spPr>
        <a:xfrm>
          <a:off x="34925" y="10274300"/>
          <a:ext cx="1984375" cy="396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fld id="{5E9A5B98-A5BC-4E1E-9BA1-04B0652B3EAD}" type="TxLink">
            <a:rPr lang="en-US" sz="1100" b="0" i="0" u="none" strike="noStrike">
              <a:solidFill>
                <a:srgbClr val="000000"/>
              </a:solidFill>
              <a:latin typeface="Arialri"/>
            </a:rPr>
            <a:t>Arm C - Commerical Road</a:t>
          </a:fld>
          <a:endParaRPr lang="en-GB" sz="1600" b="1"/>
        </a:p>
      </xdr:txBody>
    </xdr:sp>
    <xdr:clientData/>
  </xdr:twoCellAnchor>
  <xdr:twoCellAnchor>
    <xdr:from>
      <xdr:col>0</xdr:col>
      <xdr:colOff>31749</xdr:colOff>
      <xdr:row>33</xdr:row>
      <xdr:rowOff>206375</xdr:rowOff>
    </xdr:from>
    <xdr:to>
      <xdr:col>1</xdr:col>
      <xdr:colOff>777874</xdr:colOff>
      <xdr:row>34</xdr:row>
      <xdr:rowOff>285750</xdr:rowOff>
    </xdr:to>
    <xdr:sp macro="" textlink="JTC!AH9">
      <xdr:nvSpPr>
        <xdr:cNvPr id="7" name="TextBox 6"/>
        <xdr:cNvSpPr txBox="1"/>
      </xdr:nvSpPr>
      <xdr:spPr>
        <a:xfrm>
          <a:off x="31749" y="10683875"/>
          <a:ext cx="1984375" cy="396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fld id="{BE0F3D20-5B06-4DBA-AEB2-272837EE4EBB}" type="TxLink">
            <a:rPr lang="en-US" sz="1100" b="0" i="0" u="none" strike="noStrike">
              <a:solidFill>
                <a:srgbClr val="000000"/>
              </a:solidFill>
              <a:latin typeface="Arialri"/>
            </a:rPr>
            <a:t>Arm D - Cumberland Road</a:t>
          </a:fld>
          <a:endParaRPr lang="en-GB" sz="1600" b="1"/>
        </a:p>
      </xdr:txBody>
    </xdr:sp>
    <xdr:clientData/>
  </xdr:twoCellAnchor>
  <xdr:twoCellAnchor>
    <xdr:from>
      <xdr:col>5</xdr:col>
      <xdr:colOff>0</xdr:colOff>
      <xdr:row>13</xdr:row>
      <xdr:rowOff>285750</xdr:rowOff>
    </xdr:from>
    <xdr:to>
      <xdr:col>5</xdr:col>
      <xdr:colOff>476250</xdr:colOff>
      <xdr:row>15</xdr:row>
      <xdr:rowOff>127000</xdr:rowOff>
    </xdr:to>
    <xdr:sp macro="" textlink="">
      <xdr:nvSpPr>
        <xdr:cNvPr id="9" name="Oval 8"/>
        <xdr:cNvSpPr/>
      </xdr:nvSpPr>
      <xdr:spPr bwMode="auto">
        <a:xfrm>
          <a:off x="6191250" y="4413250"/>
          <a:ext cx="476250" cy="47625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600" b="1"/>
            <a:t>A</a:t>
          </a:r>
        </a:p>
      </xdr:txBody>
    </xdr:sp>
    <xdr:clientData/>
  </xdr:twoCellAnchor>
  <xdr:twoCellAnchor>
    <xdr:from>
      <xdr:col>7</xdr:col>
      <xdr:colOff>962025</xdr:colOff>
      <xdr:row>17</xdr:row>
      <xdr:rowOff>247650</xdr:rowOff>
    </xdr:from>
    <xdr:to>
      <xdr:col>8</xdr:col>
      <xdr:colOff>200025</xdr:colOff>
      <xdr:row>19</xdr:row>
      <xdr:rowOff>88900</xdr:rowOff>
    </xdr:to>
    <xdr:sp macro="" textlink="">
      <xdr:nvSpPr>
        <xdr:cNvPr id="11" name="Oval 10"/>
        <xdr:cNvSpPr/>
      </xdr:nvSpPr>
      <xdr:spPr bwMode="auto">
        <a:xfrm>
          <a:off x="9629775" y="5645150"/>
          <a:ext cx="476250" cy="47625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600" b="1"/>
            <a:t>B</a:t>
          </a:r>
        </a:p>
      </xdr:txBody>
    </xdr:sp>
    <xdr:clientData/>
  </xdr:twoCellAnchor>
  <xdr:twoCellAnchor>
    <xdr:from>
      <xdr:col>7</xdr:col>
      <xdr:colOff>463550</xdr:colOff>
      <xdr:row>23</xdr:row>
      <xdr:rowOff>225425</xdr:rowOff>
    </xdr:from>
    <xdr:to>
      <xdr:col>7</xdr:col>
      <xdr:colOff>939800</xdr:colOff>
      <xdr:row>25</xdr:row>
      <xdr:rowOff>66675</xdr:rowOff>
    </xdr:to>
    <xdr:sp macro="" textlink="">
      <xdr:nvSpPr>
        <xdr:cNvPr id="12" name="Oval 11"/>
        <xdr:cNvSpPr/>
      </xdr:nvSpPr>
      <xdr:spPr bwMode="auto">
        <a:xfrm>
          <a:off x="9131300" y="7527925"/>
          <a:ext cx="476250" cy="47625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600" b="1"/>
            <a:t>C</a:t>
          </a:r>
        </a:p>
      </xdr:txBody>
    </xdr:sp>
    <xdr:clientData/>
  </xdr:twoCellAnchor>
  <xdr:twoCellAnchor>
    <xdr:from>
      <xdr:col>3</xdr:col>
      <xdr:colOff>758825</xdr:colOff>
      <xdr:row>26</xdr:row>
      <xdr:rowOff>123825</xdr:rowOff>
    </xdr:from>
    <xdr:to>
      <xdr:col>3</xdr:col>
      <xdr:colOff>1235075</xdr:colOff>
      <xdr:row>27</xdr:row>
      <xdr:rowOff>282575</xdr:rowOff>
    </xdr:to>
    <xdr:sp macro="" textlink="">
      <xdr:nvSpPr>
        <xdr:cNvPr id="13" name="Oval 12"/>
        <xdr:cNvSpPr/>
      </xdr:nvSpPr>
      <xdr:spPr bwMode="auto">
        <a:xfrm>
          <a:off x="4473575" y="8378825"/>
          <a:ext cx="476250" cy="476250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600" b="1"/>
            <a:t>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12700</xdr:rowOff>
    </xdr:from>
    <xdr:to>
      <xdr:col>7</xdr:col>
      <xdr:colOff>423858</xdr:colOff>
      <xdr:row>6</xdr:row>
      <xdr:rowOff>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00" y="12700"/>
          <a:ext cx="3865558" cy="12827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12700</xdr:rowOff>
    </xdr:from>
    <xdr:to>
      <xdr:col>10</xdr:col>
      <xdr:colOff>169281</xdr:colOff>
      <xdr:row>6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00" y="12700"/>
          <a:ext cx="6252581" cy="9588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19"/>
  <sheetViews>
    <sheetView tabSelected="1" zoomScale="75" zoomScaleNormal="75" workbookViewId="0"/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2"/>
      <c r="B1" s="2"/>
      <c r="C1" s="2"/>
      <c r="D1" s="2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4" t="s">
        <v>0</v>
      </c>
      <c r="C6" s="28" t="s">
        <v>37</v>
      </c>
    </row>
    <row r="7" spans="1:4" ht="30.75" customHeight="1">
      <c r="B7" s="4" t="s">
        <v>1</v>
      </c>
      <c r="C7" s="29" t="s">
        <v>38</v>
      </c>
    </row>
    <row r="8" spans="1:4" ht="30.75" customHeight="1">
      <c r="B8" s="4" t="s">
        <v>2</v>
      </c>
      <c r="C8" s="30" t="s">
        <v>46</v>
      </c>
    </row>
    <row r="9" spans="1:4" ht="30.75" customHeight="1">
      <c r="B9" s="4" t="s">
        <v>3</v>
      </c>
      <c r="C9" s="31">
        <v>42312</v>
      </c>
    </row>
    <row r="10" spans="1:4" ht="30.75" customHeight="1">
      <c r="B10" s="4" t="s">
        <v>4</v>
      </c>
      <c r="C10" s="31" t="s">
        <v>39</v>
      </c>
    </row>
    <row r="11" spans="1:4" ht="30.75" customHeight="1">
      <c r="B11" s="4" t="s">
        <v>5</v>
      </c>
      <c r="C11" s="31" t="s">
        <v>40</v>
      </c>
    </row>
    <row r="12" spans="1:4" ht="30.75" customHeight="1">
      <c r="B12" s="4" t="s">
        <v>6</v>
      </c>
      <c r="C12" s="31" t="s">
        <v>41</v>
      </c>
    </row>
    <row r="13" spans="1:4" ht="30.75" customHeight="1">
      <c r="B13" s="4" t="s">
        <v>7</v>
      </c>
      <c r="C13" s="31" t="s">
        <v>41</v>
      </c>
    </row>
    <row r="14" spans="1:4" ht="30.75" customHeight="1">
      <c r="B14" s="5" t="s">
        <v>8</v>
      </c>
      <c r="C14" s="6"/>
    </row>
    <row r="15" spans="1:4" ht="30.75" customHeight="1">
      <c r="B15" s="24"/>
      <c r="C15" s="25"/>
    </row>
    <row r="16" spans="1:4" ht="30.75" customHeight="1">
      <c r="B16" s="24"/>
      <c r="C16" s="25"/>
    </row>
    <row r="17" spans="1:4" ht="30.75" customHeight="1">
      <c r="B17" s="26"/>
      <c r="C17" s="27"/>
    </row>
    <row r="18" spans="1:4" ht="17.25" customHeight="1"/>
    <row r="19" spans="1:4" ht="30.75" customHeight="1">
      <c r="A19" s="3"/>
      <c r="B19" s="3"/>
      <c r="C19" s="3"/>
      <c r="D19" s="3"/>
    </row>
  </sheetData>
  <mergeCells count="1">
    <mergeCell ref="B15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5"/>
  <sheetViews>
    <sheetView zoomScale="60" zoomScaleNormal="60" workbookViewId="0"/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3"/>
    </row>
    <row r="2" spans="1:13" ht="24.75" customHeight="1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6"/>
    </row>
    <row r="3" spans="1:13" ht="24.75" customHeight="1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6"/>
    </row>
    <row r="4" spans="1:13" ht="24.75" customHeight="1">
      <c r="A4" s="7" t="s">
        <v>9</v>
      </c>
      <c r="B4" s="8"/>
      <c r="C4" s="8" t="str">
        <f>'Job Details'!$C$6</f>
        <v>Bristol City Council</v>
      </c>
      <c r="D4" s="8"/>
      <c r="E4" s="8"/>
      <c r="F4" s="9"/>
      <c r="G4" s="7" t="s">
        <v>10</v>
      </c>
      <c r="H4" s="8"/>
      <c r="I4" s="8" t="str">
        <f>'Job Details'!$C$8</f>
        <v>14 Wapping Road Roundabout</v>
      </c>
      <c r="J4" s="8"/>
      <c r="K4" s="8"/>
      <c r="L4" s="8"/>
      <c r="M4" s="23"/>
    </row>
    <row r="5" spans="1:13" ht="24.75" customHeight="1">
      <c r="A5" s="7" t="s">
        <v>11</v>
      </c>
      <c r="B5" s="8"/>
      <c r="C5" s="8" t="str">
        <f>'Job Details'!$C$7</f>
        <v>WAL-2526 Prince Street, Bristol</v>
      </c>
      <c r="D5" s="8"/>
      <c r="E5" s="8"/>
      <c r="F5" s="9"/>
      <c r="G5" s="7" t="s">
        <v>12</v>
      </c>
      <c r="H5" s="8"/>
      <c r="I5" s="10">
        <f>'Job Details'!$C$9</f>
        <v>42312</v>
      </c>
      <c r="J5" s="8"/>
      <c r="K5" s="8"/>
      <c r="L5" s="8"/>
      <c r="M5" s="23"/>
    </row>
    <row r="6" spans="1:13" ht="24.75" customHeight="1">
      <c r="A6" s="19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1:13" ht="24.75" customHeight="1">
      <c r="A7" s="19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1:13" ht="24.75" customHeight="1">
      <c r="A8" s="19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1:13" ht="24.75" customHeight="1">
      <c r="A9" s="19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1:13" ht="24.75" customHeight="1">
      <c r="A10" s="19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1" spans="1:13" ht="24.75" customHeight="1">
      <c r="A11" s="19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8"/>
    </row>
    <row r="12" spans="1:13" ht="24.75" customHeight="1">
      <c r="A12" s="19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8"/>
    </row>
    <row r="13" spans="1:13" ht="24.75" customHeight="1">
      <c r="A13" s="19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8"/>
    </row>
    <row r="14" spans="1:13" ht="24.75" customHeight="1">
      <c r="A14" s="19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</row>
    <row r="15" spans="1:13" ht="24.75" customHeight="1">
      <c r="A15" s="19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8"/>
    </row>
    <row r="16" spans="1:13" ht="24.75" customHeight="1">
      <c r="A16" s="19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8"/>
    </row>
    <row r="17" spans="1:13" ht="24.75" customHeight="1">
      <c r="A17" s="19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8"/>
    </row>
    <row r="18" spans="1:13" ht="24.75" customHeight="1">
      <c r="A18" s="19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8"/>
    </row>
    <row r="19" spans="1:13" ht="24.75" customHeight="1">
      <c r="A19" s="19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8"/>
    </row>
    <row r="20" spans="1:13" ht="24.75" customHeight="1">
      <c r="A20" s="19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8"/>
    </row>
    <row r="21" spans="1:13" ht="24.75" customHeight="1">
      <c r="A21" s="19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8"/>
    </row>
    <row r="22" spans="1:13" ht="24.75" customHeight="1">
      <c r="A22" s="19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8"/>
    </row>
    <row r="23" spans="1:13" ht="24.75" customHeight="1">
      <c r="A23" s="19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8"/>
    </row>
    <row r="24" spans="1:13" ht="24.75" customHeight="1">
      <c r="A24" s="19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8"/>
    </row>
    <row r="25" spans="1:13" ht="24.75" customHeight="1">
      <c r="A25" s="19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  <row r="26" spans="1:13" ht="24.75" customHeight="1">
      <c r="A26" s="19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8"/>
    </row>
    <row r="27" spans="1:13" ht="24.75" customHeight="1">
      <c r="A27" s="19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8"/>
    </row>
    <row r="28" spans="1:13" ht="24.75" customHeight="1">
      <c r="A28" s="19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8"/>
    </row>
    <row r="29" spans="1:13" ht="24.75" customHeight="1">
      <c r="A29" s="19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8"/>
    </row>
    <row r="30" spans="1:13" ht="24.75" customHeight="1">
      <c r="A30" s="19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8"/>
    </row>
    <row r="31" spans="1:13" ht="24.75" customHeight="1">
      <c r="A31" s="19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8"/>
    </row>
    <row r="32" spans="1:13" ht="24.75" customHeight="1">
      <c r="A32" s="19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8"/>
    </row>
    <row r="33" spans="1:13" ht="24.75" customHeight="1">
      <c r="A33" s="19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8"/>
    </row>
    <row r="34" spans="1:13" ht="24.75" customHeight="1">
      <c r="A34" s="19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8"/>
    </row>
    <row r="35" spans="1:13" ht="24.75" customHeight="1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462"/>
  <sheetViews>
    <sheetView zoomScale="75" zoomScaleNormal="75" workbookViewId="0"/>
  </sheetViews>
  <sheetFormatPr defaultRowHeight="15.75" customHeight="1"/>
  <cols>
    <col min="1" max="1" width="8.28515625" style="35" customWidth="1"/>
    <col min="2" max="10" width="7.28515625" style="35" customWidth="1"/>
    <col min="11" max="11" width="1.28515625" style="35" customWidth="1"/>
    <col min="12" max="20" width="7.28515625" style="35" customWidth="1"/>
    <col min="21" max="21" width="1.28515625" style="35" customWidth="1"/>
    <col min="22" max="30" width="7.28515625" style="35" customWidth="1"/>
    <col min="31" max="31" width="1.28515625" style="35" customWidth="1"/>
    <col min="32" max="40" width="7.28515625" style="35" customWidth="1"/>
    <col min="41" max="41" width="1.28515625" style="35" customWidth="1"/>
    <col min="42" max="42" width="8.28515625" style="35" customWidth="1"/>
    <col min="43" max="16384" width="9.140625" style="35"/>
  </cols>
  <sheetData>
    <row r="1" spans="1:42" ht="15.75" customHeight="1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4"/>
    </row>
    <row r="2" spans="1:42" ht="15.75" customHeight="1">
      <c r="A2" s="36"/>
      <c r="B2" s="37"/>
      <c r="C2" s="37"/>
      <c r="D2" s="37"/>
      <c r="E2" s="37"/>
      <c r="F2" s="37"/>
      <c r="G2" s="37"/>
      <c r="H2" s="37"/>
      <c r="I2" s="37"/>
      <c r="J2" s="37"/>
      <c r="K2" s="37"/>
      <c r="L2" s="38" t="s">
        <v>0</v>
      </c>
      <c r="M2" s="39"/>
      <c r="N2" s="39" t="str">
        <f>'Job Details'!$C$6</f>
        <v>Bristol City Council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40"/>
    </row>
    <row r="3" spans="1:42" ht="15.75" customHeight="1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8" t="s">
        <v>1</v>
      </c>
      <c r="M3" s="39"/>
      <c r="N3" s="39" t="str">
        <f>'Job Details'!$C$8</f>
        <v>14 Wapping Road Roundabout</v>
      </c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40"/>
    </row>
    <row r="4" spans="1:42" ht="15.75" customHeight="1">
      <c r="A4" s="36"/>
      <c r="B4" s="37"/>
      <c r="C4" s="37"/>
      <c r="D4" s="37"/>
      <c r="E4" s="37"/>
      <c r="F4" s="37"/>
      <c r="G4" s="37"/>
      <c r="H4" s="37"/>
      <c r="I4" s="37"/>
      <c r="J4" s="37"/>
      <c r="K4" s="37"/>
      <c r="L4" s="38" t="s">
        <v>2</v>
      </c>
      <c r="M4" s="39"/>
      <c r="N4" s="39" t="str">
        <f>'Job Details'!$C$7</f>
        <v>WAL-2526 Prince Street, Bristol</v>
      </c>
      <c r="O4" s="39"/>
      <c r="P4" s="39"/>
      <c r="Q4" s="39"/>
      <c r="R4" s="39"/>
      <c r="S4" s="39"/>
      <c r="T4" s="39"/>
      <c r="U4" s="39"/>
      <c r="V4" s="39"/>
      <c r="W4" s="38"/>
      <c r="X4" s="39"/>
      <c r="Y4" s="39"/>
      <c r="Z4" s="39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40"/>
    </row>
    <row r="5" spans="1:42" ht="15.75" customHeight="1">
      <c r="A5" s="36"/>
      <c r="B5" s="37"/>
      <c r="C5" s="37"/>
      <c r="D5" s="37"/>
      <c r="E5" s="37"/>
      <c r="F5" s="37"/>
      <c r="G5" s="37"/>
      <c r="H5" s="37"/>
      <c r="I5" s="37"/>
      <c r="J5" s="37"/>
      <c r="K5" s="37"/>
      <c r="L5" s="38" t="s">
        <v>13</v>
      </c>
      <c r="M5" s="39"/>
      <c r="N5" s="62">
        <f>'Job Details'!$C$9</f>
        <v>42312</v>
      </c>
      <c r="O5" s="62"/>
      <c r="P5" s="62"/>
      <c r="Q5" s="62"/>
      <c r="R5" s="62"/>
      <c r="S5" s="39"/>
      <c r="T5" s="39"/>
      <c r="U5" s="39"/>
      <c r="V5" s="39"/>
      <c r="W5" s="38"/>
      <c r="X5" s="39"/>
      <c r="Y5" s="39"/>
      <c r="Z5" s="39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40"/>
    </row>
    <row r="6" spans="1:42" ht="21.75" customHeight="1">
      <c r="A6" s="41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3"/>
    </row>
    <row r="8" spans="1:42" ht="15.75" customHeight="1">
      <c r="A8" s="44" t="s">
        <v>14</v>
      </c>
      <c r="B8" s="44" t="str">
        <f>$D$9</f>
        <v>Arm A - Wapping Road</v>
      </c>
    </row>
    <row r="9" spans="1:42" ht="15.75" customHeight="1">
      <c r="B9" s="45" t="s">
        <v>16</v>
      </c>
      <c r="C9" s="46"/>
      <c r="D9" s="46" t="s">
        <v>42</v>
      </c>
      <c r="E9" s="46"/>
      <c r="F9" s="46"/>
      <c r="G9" s="46"/>
      <c r="H9" s="46"/>
      <c r="I9" s="47"/>
      <c r="J9" s="48"/>
      <c r="L9" s="45" t="s">
        <v>16</v>
      </c>
      <c r="M9" s="46"/>
      <c r="N9" s="46" t="s">
        <v>43</v>
      </c>
      <c r="O9" s="46"/>
      <c r="P9" s="46"/>
      <c r="Q9" s="46"/>
      <c r="R9" s="46"/>
      <c r="S9" s="47"/>
      <c r="T9" s="48"/>
      <c r="V9" s="45" t="s">
        <v>16</v>
      </c>
      <c r="W9" s="46"/>
      <c r="X9" s="46" t="s">
        <v>44</v>
      </c>
      <c r="Y9" s="46"/>
      <c r="Z9" s="46"/>
      <c r="AA9" s="46"/>
      <c r="AB9" s="46"/>
      <c r="AC9" s="47"/>
      <c r="AD9" s="48"/>
      <c r="AF9" s="45" t="s">
        <v>16</v>
      </c>
      <c r="AG9" s="46"/>
      <c r="AH9" s="46" t="s">
        <v>45</v>
      </c>
      <c r="AI9" s="46"/>
      <c r="AJ9" s="46"/>
      <c r="AK9" s="46"/>
      <c r="AL9" s="46"/>
      <c r="AM9" s="47"/>
      <c r="AN9" s="48"/>
      <c r="AP9" s="49" t="s">
        <v>28</v>
      </c>
    </row>
    <row r="10" spans="1:42" s="50" customFormat="1" ht="15.75" customHeight="1">
      <c r="B10" s="51" t="s">
        <v>17</v>
      </c>
      <c r="C10" s="52" t="s">
        <v>18</v>
      </c>
      <c r="D10" s="52" t="s">
        <v>19</v>
      </c>
      <c r="E10" s="52" t="s">
        <v>20</v>
      </c>
      <c r="F10" s="52" t="s">
        <v>21</v>
      </c>
      <c r="G10" s="52" t="s">
        <v>22</v>
      </c>
      <c r="H10" s="52" t="s">
        <v>23</v>
      </c>
      <c r="I10" s="53" t="s">
        <v>23</v>
      </c>
      <c r="J10" s="54" t="s">
        <v>24</v>
      </c>
      <c r="L10" s="51" t="str">
        <f>$B$10</f>
        <v>CAR</v>
      </c>
      <c r="M10" s="52" t="str">
        <f>$C$10</f>
        <v>LGV</v>
      </c>
      <c r="N10" s="52" t="str">
        <f>$D$10</f>
        <v>OGV1</v>
      </c>
      <c r="O10" s="52" t="str">
        <f>$E$10</f>
        <v>OGV2</v>
      </c>
      <c r="P10" s="52" t="str">
        <f>$F$10</f>
        <v>PSV</v>
      </c>
      <c r="Q10" s="52" t="str">
        <f>$G$10</f>
        <v>MC</v>
      </c>
      <c r="R10" s="52" t="str">
        <f>$H$10</f>
        <v>PC</v>
      </c>
      <c r="S10" s="53" t="str">
        <f>$I$10</f>
        <v>PC</v>
      </c>
      <c r="T10" s="54" t="s">
        <v>24</v>
      </c>
      <c r="V10" s="51" t="str">
        <f>$B$10</f>
        <v>CAR</v>
      </c>
      <c r="W10" s="52" t="str">
        <f>$C$10</f>
        <v>LGV</v>
      </c>
      <c r="X10" s="52" t="str">
        <f>$D$10</f>
        <v>OGV1</v>
      </c>
      <c r="Y10" s="52" t="str">
        <f>$E$10</f>
        <v>OGV2</v>
      </c>
      <c r="Z10" s="52" t="str">
        <f>$F$10</f>
        <v>PSV</v>
      </c>
      <c r="AA10" s="52" t="str">
        <f>$G$10</f>
        <v>MC</v>
      </c>
      <c r="AB10" s="52" t="str">
        <f>$H$10</f>
        <v>PC</v>
      </c>
      <c r="AC10" s="53" t="str">
        <f>$I$10</f>
        <v>PC</v>
      </c>
      <c r="AD10" s="54" t="s">
        <v>24</v>
      </c>
      <c r="AF10" s="51" t="str">
        <f>$B$10</f>
        <v>CAR</v>
      </c>
      <c r="AG10" s="52" t="str">
        <f>$C$10</f>
        <v>LGV</v>
      </c>
      <c r="AH10" s="52" t="str">
        <f>$D$10</f>
        <v>OGV1</v>
      </c>
      <c r="AI10" s="52" t="str">
        <f>$E$10</f>
        <v>OGV2</v>
      </c>
      <c r="AJ10" s="52" t="str">
        <f>$F$10</f>
        <v>PSV</v>
      </c>
      <c r="AK10" s="52" t="str">
        <f>$G$10</f>
        <v>MC</v>
      </c>
      <c r="AL10" s="52" t="str">
        <f>$H$10</f>
        <v>PC</v>
      </c>
      <c r="AM10" s="53" t="str">
        <f>$I$10</f>
        <v>PC</v>
      </c>
      <c r="AN10" s="54" t="s">
        <v>24</v>
      </c>
      <c r="AP10" s="55"/>
    </row>
    <row r="12" spans="1:42" ht="15.75" customHeight="1">
      <c r="A12" s="56">
        <v>0.29166666666666669</v>
      </c>
      <c r="B12" s="32">
        <v>0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4">
        <v>0</v>
      </c>
      <c r="J12" s="57">
        <f>SUM(B12:I12)</f>
        <v>0</v>
      </c>
      <c r="L12" s="32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4">
        <v>0</v>
      </c>
      <c r="T12" s="57">
        <f>SUM(L12:S12)</f>
        <v>0</v>
      </c>
      <c r="V12" s="32">
        <v>3</v>
      </c>
      <c r="W12" s="33">
        <v>1</v>
      </c>
      <c r="X12" s="33">
        <v>0</v>
      </c>
      <c r="Y12" s="33">
        <v>0</v>
      </c>
      <c r="Z12" s="33">
        <v>0</v>
      </c>
      <c r="AA12" s="33">
        <v>0</v>
      </c>
      <c r="AB12" s="33">
        <v>1</v>
      </c>
      <c r="AC12" s="34">
        <v>0</v>
      </c>
      <c r="AD12" s="57">
        <f>SUM(V12:AC12)</f>
        <v>5</v>
      </c>
      <c r="AF12" s="32">
        <v>2</v>
      </c>
      <c r="AG12" s="33">
        <v>0</v>
      </c>
      <c r="AH12" s="33">
        <v>0</v>
      </c>
      <c r="AI12" s="33">
        <v>0</v>
      </c>
      <c r="AJ12" s="33">
        <v>0</v>
      </c>
      <c r="AK12" s="33">
        <v>0</v>
      </c>
      <c r="AL12" s="33">
        <v>7</v>
      </c>
      <c r="AM12" s="34">
        <v>0</v>
      </c>
      <c r="AN12" s="57">
        <f>SUM(AF12:AM12)</f>
        <v>9</v>
      </c>
      <c r="AP12" s="57">
        <f>SUM(J12+T12+AD12+AN12)</f>
        <v>14</v>
      </c>
    </row>
    <row r="13" spans="1:42" ht="15.75" customHeight="1">
      <c r="A13" s="58">
        <v>0.30208333333333331</v>
      </c>
      <c r="B13" s="36">
        <v>0</v>
      </c>
      <c r="C13" s="37">
        <v>0</v>
      </c>
      <c r="D13" s="37">
        <v>0</v>
      </c>
      <c r="E13" s="37">
        <v>0</v>
      </c>
      <c r="F13" s="37">
        <v>0</v>
      </c>
      <c r="G13" s="37">
        <v>0</v>
      </c>
      <c r="H13" s="37">
        <v>0</v>
      </c>
      <c r="I13" s="40">
        <v>0</v>
      </c>
      <c r="J13" s="59">
        <f>SUM(B13:I13)</f>
        <v>0</v>
      </c>
      <c r="L13" s="36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>
        <v>0</v>
      </c>
      <c r="S13" s="40">
        <v>0</v>
      </c>
      <c r="T13" s="59">
        <f>SUM(L13:S13)</f>
        <v>0</v>
      </c>
      <c r="V13" s="36">
        <v>2</v>
      </c>
      <c r="W13" s="37">
        <v>0</v>
      </c>
      <c r="X13" s="37">
        <v>0</v>
      </c>
      <c r="Y13" s="37">
        <v>0</v>
      </c>
      <c r="Z13" s="37">
        <v>0</v>
      </c>
      <c r="AA13" s="37">
        <v>0</v>
      </c>
      <c r="AB13" s="37">
        <v>1</v>
      </c>
      <c r="AC13" s="40">
        <v>0</v>
      </c>
      <c r="AD13" s="59">
        <f>SUM(V13:AC13)</f>
        <v>3</v>
      </c>
      <c r="AF13" s="36">
        <v>1</v>
      </c>
      <c r="AG13" s="37">
        <v>0</v>
      </c>
      <c r="AH13" s="37">
        <v>0</v>
      </c>
      <c r="AI13" s="37">
        <v>0</v>
      </c>
      <c r="AJ13" s="37">
        <v>0</v>
      </c>
      <c r="AK13" s="37">
        <v>0</v>
      </c>
      <c r="AL13" s="37">
        <v>2</v>
      </c>
      <c r="AM13" s="40">
        <v>0</v>
      </c>
      <c r="AN13" s="59">
        <f>SUM(AF13:AM13)</f>
        <v>3</v>
      </c>
      <c r="AP13" s="59">
        <f>SUM(J13+T13+AD13+AN13)</f>
        <v>6</v>
      </c>
    </row>
    <row r="14" spans="1:42" ht="15.75" customHeight="1">
      <c r="A14" s="58">
        <v>0.3125</v>
      </c>
      <c r="B14" s="36">
        <v>0</v>
      </c>
      <c r="C14" s="37"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 s="40">
        <v>0</v>
      </c>
      <c r="J14" s="59">
        <f>SUM(B14:I14)</f>
        <v>0</v>
      </c>
      <c r="L14" s="36">
        <v>0</v>
      </c>
      <c r="M14" s="37">
        <v>0</v>
      </c>
      <c r="N14" s="37">
        <v>0</v>
      </c>
      <c r="O14" s="37">
        <v>0</v>
      </c>
      <c r="P14" s="37">
        <v>0</v>
      </c>
      <c r="Q14" s="37">
        <v>0</v>
      </c>
      <c r="R14" s="37">
        <v>0</v>
      </c>
      <c r="S14" s="40">
        <v>0</v>
      </c>
      <c r="T14" s="59">
        <f>SUM(L14:S14)</f>
        <v>0</v>
      </c>
      <c r="V14" s="36">
        <v>2</v>
      </c>
      <c r="W14" s="37">
        <v>0</v>
      </c>
      <c r="X14" s="37">
        <v>0</v>
      </c>
      <c r="Y14" s="37">
        <v>0</v>
      </c>
      <c r="Z14" s="37">
        <v>0</v>
      </c>
      <c r="AA14" s="37">
        <v>0</v>
      </c>
      <c r="AB14" s="37">
        <v>3</v>
      </c>
      <c r="AC14" s="40">
        <v>0</v>
      </c>
      <c r="AD14" s="59">
        <f>SUM(V14:AC14)</f>
        <v>5</v>
      </c>
      <c r="AF14" s="36">
        <v>1</v>
      </c>
      <c r="AG14" s="37">
        <v>1</v>
      </c>
      <c r="AH14" s="37">
        <v>0</v>
      </c>
      <c r="AI14" s="37">
        <v>0</v>
      </c>
      <c r="AJ14" s="37">
        <v>0</v>
      </c>
      <c r="AK14" s="37">
        <v>0</v>
      </c>
      <c r="AL14" s="37">
        <v>5</v>
      </c>
      <c r="AM14" s="40">
        <v>0</v>
      </c>
      <c r="AN14" s="59">
        <f>SUM(AF14:AM14)</f>
        <v>7</v>
      </c>
      <c r="AP14" s="59">
        <f>SUM(J14+T14+AD14+AN14)</f>
        <v>12</v>
      </c>
    </row>
    <row r="15" spans="1:42" ht="15.75" customHeight="1">
      <c r="A15" s="60">
        <v>0.32291666666666669</v>
      </c>
      <c r="B15" s="41">
        <v>0</v>
      </c>
      <c r="C15" s="42">
        <v>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3">
        <v>0</v>
      </c>
      <c r="J15" s="61">
        <f>SUM(B15:I15)</f>
        <v>0</v>
      </c>
      <c r="L15" s="41">
        <v>0</v>
      </c>
      <c r="M15" s="42">
        <v>0</v>
      </c>
      <c r="N15" s="42">
        <v>0</v>
      </c>
      <c r="O15" s="42">
        <v>0</v>
      </c>
      <c r="P15" s="42">
        <v>0</v>
      </c>
      <c r="Q15" s="42">
        <v>0</v>
      </c>
      <c r="R15" s="42">
        <v>0</v>
      </c>
      <c r="S15" s="43">
        <v>0</v>
      </c>
      <c r="T15" s="61">
        <f>SUM(L15:S15)</f>
        <v>0</v>
      </c>
      <c r="V15" s="41">
        <v>3</v>
      </c>
      <c r="W15" s="42">
        <v>1</v>
      </c>
      <c r="X15" s="42">
        <v>0</v>
      </c>
      <c r="Y15" s="42">
        <v>0</v>
      </c>
      <c r="Z15" s="42">
        <v>0</v>
      </c>
      <c r="AA15" s="42">
        <v>0</v>
      </c>
      <c r="AB15" s="42">
        <v>1</v>
      </c>
      <c r="AC15" s="43">
        <v>0</v>
      </c>
      <c r="AD15" s="61">
        <f>SUM(V15:AC15)</f>
        <v>5</v>
      </c>
      <c r="AF15" s="41">
        <v>7</v>
      </c>
      <c r="AG15" s="42">
        <v>1</v>
      </c>
      <c r="AH15" s="42">
        <v>0</v>
      </c>
      <c r="AI15" s="42">
        <v>0</v>
      </c>
      <c r="AJ15" s="42">
        <v>0</v>
      </c>
      <c r="AK15" s="42">
        <v>0</v>
      </c>
      <c r="AL15" s="42">
        <v>10</v>
      </c>
      <c r="AM15" s="43">
        <v>0</v>
      </c>
      <c r="AN15" s="61">
        <f>SUM(AF15:AM15)</f>
        <v>18</v>
      </c>
      <c r="AP15" s="61">
        <f>SUM(J15+T15+AD15+AN15)</f>
        <v>23</v>
      </c>
    </row>
    <row r="16" spans="1:42" ht="15.75" customHeight="1">
      <c r="A16" s="48" t="s">
        <v>29</v>
      </c>
      <c r="B16" s="45">
        <f>SUM(B12:B15)</f>
        <v>0</v>
      </c>
      <c r="C16" s="46">
        <f t="shared" ref="C16:I16" si="0">SUM(C12:C15)</f>
        <v>0</v>
      </c>
      <c r="D16" s="46">
        <f t="shared" si="0"/>
        <v>0</v>
      </c>
      <c r="E16" s="46">
        <f t="shared" si="0"/>
        <v>0</v>
      </c>
      <c r="F16" s="46">
        <f>SUM(F12:F15)</f>
        <v>0</v>
      </c>
      <c r="G16" s="46">
        <f t="shared" si="0"/>
        <v>0</v>
      </c>
      <c r="H16" s="46">
        <f t="shared" si="0"/>
        <v>0</v>
      </c>
      <c r="I16" s="47">
        <f t="shared" si="0"/>
        <v>0</v>
      </c>
      <c r="J16" s="48">
        <f>SUM(J12:J15)</f>
        <v>0</v>
      </c>
      <c r="L16" s="45">
        <f t="shared" ref="L16:T16" si="1">SUM(L12:L15)</f>
        <v>0</v>
      </c>
      <c r="M16" s="46">
        <f t="shared" si="1"/>
        <v>0</v>
      </c>
      <c r="N16" s="46">
        <f t="shared" si="1"/>
        <v>0</v>
      </c>
      <c r="O16" s="46">
        <f t="shared" si="1"/>
        <v>0</v>
      </c>
      <c r="P16" s="46">
        <f t="shared" si="1"/>
        <v>0</v>
      </c>
      <c r="Q16" s="46">
        <f t="shared" si="1"/>
        <v>0</v>
      </c>
      <c r="R16" s="46">
        <f t="shared" si="1"/>
        <v>0</v>
      </c>
      <c r="S16" s="47">
        <f t="shared" si="1"/>
        <v>0</v>
      </c>
      <c r="T16" s="48">
        <f t="shared" si="1"/>
        <v>0</v>
      </c>
      <c r="V16" s="45">
        <f t="shared" ref="V16:AD16" si="2">SUM(V12:V15)</f>
        <v>10</v>
      </c>
      <c r="W16" s="46">
        <f t="shared" si="2"/>
        <v>2</v>
      </c>
      <c r="X16" s="46">
        <f t="shared" si="2"/>
        <v>0</v>
      </c>
      <c r="Y16" s="46">
        <f t="shared" si="2"/>
        <v>0</v>
      </c>
      <c r="Z16" s="46">
        <f t="shared" si="2"/>
        <v>0</v>
      </c>
      <c r="AA16" s="46">
        <f t="shared" si="2"/>
        <v>0</v>
      </c>
      <c r="AB16" s="46">
        <f t="shared" si="2"/>
        <v>6</v>
      </c>
      <c r="AC16" s="47">
        <f t="shared" si="2"/>
        <v>0</v>
      </c>
      <c r="AD16" s="48">
        <f t="shared" si="2"/>
        <v>18</v>
      </c>
      <c r="AF16" s="45">
        <f t="shared" ref="AF16:AN16" si="3">SUM(AF12:AF15)</f>
        <v>11</v>
      </c>
      <c r="AG16" s="46">
        <f t="shared" si="3"/>
        <v>2</v>
      </c>
      <c r="AH16" s="46">
        <f t="shared" si="3"/>
        <v>0</v>
      </c>
      <c r="AI16" s="46">
        <f t="shared" si="3"/>
        <v>0</v>
      </c>
      <c r="AJ16" s="46">
        <f t="shared" si="3"/>
        <v>0</v>
      </c>
      <c r="AK16" s="46">
        <f t="shared" si="3"/>
        <v>0</v>
      </c>
      <c r="AL16" s="46">
        <f t="shared" si="3"/>
        <v>24</v>
      </c>
      <c r="AM16" s="47">
        <f t="shared" si="3"/>
        <v>0</v>
      </c>
      <c r="AN16" s="48">
        <f t="shared" si="3"/>
        <v>37</v>
      </c>
      <c r="AP16" s="48">
        <f>SUM(AP12:AP15)</f>
        <v>55</v>
      </c>
    </row>
    <row r="17" spans="1:42" ht="15.75" customHeight="1">
      <c r="A17" s="56">
        <v>0.33333333333333331</v>
      </c>
      <c r="B17" s="32">
        <v>0</v>
      </c>
      <c r="C17" s="33">
        <v>1</v>
      </c>
      <c r="D17" s="33">
        <v>0</v>
      </c>
      <c r="E17" s="33">
        <v>0</v>
      </c>
      <c r="F17" s="33">
        <v>0</v>
      </c>
      <c r="G17" s="33">
        <v>0</v>
      </c>
      <c r="H17" s="33">
        <v>0</v>
      </c>
      <c r="I17" s="34">
        <v>0</v>
      </c>
      <c r="J17" s="57">
        <f>SUM(B17:I17)</f>
        <v>1</v>
      </c>
      <c r="L17" s="32">
        <v>0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33">
        <v>0</v>
      </c>
      <c r="S17" s="34">
        <v>0</v>
      </c>
      <c r="T17" s="57">
        <f>SUM(L17:S17)</f>
        <v>0</v>
      </c>
      <c r="V17" s="32">
        <v>4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  <c r="AB17" s="33">
        <v>1</v>
      </c>
      <c r="AC17" s="34">
        <v>0</v>
      </c>
      <c r="AD17" s="57">
        <f>SUM(V17:AC17)</f>
        <v>5</v>
      </c>
      <c r="AF17" s="32">
        <v>5</v>
      </c>
      <c r="AG17" s="33">
        <v>1</v>
      </c>
      <c r="AH17" s="33">
        <v>0</v>
      </c>
      <c r="AI17" s="33">
        <v>0</v>
      </c>
      <c r="AJ17" s="33">
        <v>0</v>
      </c>
      <c r="AK17" s="33">
        <v>0</v>
      </c>
      <c r="AL17" s="33">
        <v>9</v>
      </c>
      <c r="AM17" s="34">
        <v>0</v>
      </c>
      <c r="AN17" s="57">
        <f>SUM(AF17:AM17)</f>
        <v>15</v>
      </c>
      <c r="AP17" s="57">
        <f>SUM(J17+T17+AD17+AN17)</f>
        <v>21</v>
      </c>
    </row>
    <row r="18" spans="1:42" ht="15.75" customHeight="1">
      <c r="A18" s="58">
        <v>0.34375</v>
      </c>
      <c r="B18" s="36">
        <v>0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40">
        <v>0</v>
      </c>
      <c r="J18" s="59">
        <f>SUM(B18:I18)</f>
        <v>0</v>
      </c>
      <c r="L18" s="36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40">
        <v>0</v>
      </c>
      <c r="T18" s="59">
        <f>SUM(L18:S18)</f>
        <v>0</v>
      </c>
      <c r="V18" s="36">
        <v>6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4</v>
      </c>
      <c r="AC18" s="40">
        <v>0</v>
      </c>
      <c r="AD18" s="59">
        <f>SUM(V18:AC18)</f>
        <v>10</v>
      </c>
      <c r="AF18" s="36">
        <v>4</v>
      </c>
      <c r="AG18" s="37">
        <v>1</v>
      </c>
      <c r="AH18" s="37">
        <v>0</v>
      </c>
      <c r="AI18" s="37">
        <v>0</v>
      </c>
      <c r="AJ18" s="37">
        <v>0</v>
      </c>
      <c r="AK18" s="37">
        <v>0</v>
      </c>
      <c r="AL18" s="37">
        <v>14</v>
      </c>
      <c r="AM18" s="40">
        <v>0</v>
      </c>
      <c r="AN18" s="59">
        <f>SUM(AF18:AM18)</f>
        <v>19</v>
      </c>
      <c r="AP18" s="59">
        <f>SUM(J18+T18+AD18+AN18)</f>
        <v>29</v>
      </c>
    </row>
    <row r="19" spans="1:42" ht="15.75" customHeight="1">
      <c r="A19" s="58">
        <v>0.35416666666666669</v>
      </c>
      <c r="B19" s="36">
        <v>0</v>
      </c>
      <c r="C19" s="37">
        <v>0</v>
      </c>
      <c r="D19" s="37">
        <v>0</v>
      </c>
      <c r="E19" s="37">
        <v>0</v>
      </c>
      <c r="F19" s="37">
        <v>0</v>
      </c>
      <c r="G19" s="37">
        <v>0</v>
      </c>
      <c r="H19" s="37">
        <v>0</v>
      </c>
      <c r="I19" s="40">
        <v>0</v>
      </c>
      <c r="J19" s="59">
        <f>SUM(B19:I19)</f>
        <v>0</v>
      </c>
      <c r="L19" s="36">
        <v>0</v>
      </c>
      <c r="M19" s="37">
        <v>0</v>
      </c>
      <c r="N19" s="37">
        <v>0</v>
      </c>
      <c r="O19" s="37">
        <v>0</v>
      </c>
      <c r="P19" s="37">
        <v>0</v>
      </c>
      <c r="Q19" s="37">
        <v>0</v>
      </c>
      <c r="R19" s="37">
        <v>0</v>
      </c>
      <c r="S19" s="40">
        <v>0</v>
      </c>
      <c r="T19" s="59">
        <f>SUM(L19:S19)</f>
        <v>0</v>
      </c>
      <c r="V19" s="36">
        <v>2</v>
      </c>
      <c r="W19" s="37">
        <v>0</v>
      </c>
      <c r="X19" s="37">
        <v>0</v>
      </c>
      <c r="Y19" s="37">
        <v>0</v>
      </c>
      <c r="Z19" s="37">
        <v>0</v>
      </c>
      <c r="AA19" s="37">
        <v>0</v>
      </c>
      <c r="AB19" s="37">
        <v>3</v>
      </c>
      <c r="AC19" s="40">
        <v>0</v>
      </c>
      <c r="AD19" s="59">
        <f>SUM(V19:AC19)</f>
        <v>5</v>
      </c>
      <c r="AF19" s="36">
        <v>5</v>
      </c>
      <c r="AG19" s="37">
        <v>2</v>
      </c>
      <c r="AH19" s="37">
        <v>0</v>
      </c>
      <c r="AI19" s="37">
        <v>0</v>
      </c>
      <c r="AJ19" s="37">
        <v>0</v>
      </c>
      <c r="AK19" s="37">
        <v>0</v>
      </c>
      <c r="AL19" s="37">
        <v>13</v>
      </c>
      <c r="AM19" s="40">
        <v>0</v>
      </c>
      <c r="AN19" s="59">
        <f>SUM(AF19:AM19)</f>
        <v>20</v>
      </c>
      <c r="AP19" s="59">
        <f>SUM(J19+T19+AD19+AN19)</f>
        <v>25</v>
      </c>
    </row>
    <row r="20" spans="1:42" ht="15.75" customHeight="1">
      <c r="A20" s="60">
        <v>0.36458333333333331</v>
      </c>
      <c r="B20" s="41">
        <v>0</v>
      </c>
      <c r="C20" s="42">
        <v>0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3">
        <v>0</v>
      </c>
      <c r="J20" s="61">
        <f>SUM(B20:I20)</f>
        <v>0</v>
      </c>
      <c r="L20" s="41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3">
        <v>0</v>
      </c>
      <c r="T20" s="61">
        <f>SUM(L20:S20)</f>
        <v>0</v>
      </c>
      <c r="V20" s="41">
        <v>4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2</v>
      </c>
      <c r="AC20" s="43">
        <v>0</v>
      </c>
      <c r="AD20" s="61">
        <f>SUM(V20:AC20)</f>
        <v>6</v>
      </c>
      <c r="AF20" s="41">
        <v>2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11</v>
      </c>
      <c r="AM20" s="43">
        <v>0</v>
      </c>
      <c r="AN20" s="61">
        <f>SUM(AF20:AM20)</f>
        <v>13</v>
      </c>
      <c r="AP20" s="61">
        <f>SUM(J20+T20+AD20+AN20)</f>
        <v>19</v>
      </c>
    </row>
    <row r="21" spans="1:42" ht="15.75" customHeight="1">
      <c r="A21" s="48" t="s">
        <v>29</v>
      </c>
      <c r="B21" s="45">
        <f t="shared" ref="B21:J21" si="4">SUM(B17:B20)</f>
        <v>0</v>
      </c>
      <c r="C21" s="46">
        <f t="shared" si="4"/>
        <v>1</v>
      </c>
      <c r="D21" s="46">
        <f t="shared" si="4"/>
        <v>0</v>
      </c>
      <c r="E21" s="46">
        <f t="shared" si="4"/>
        <v>0</v>
      </c>
      <c r="F21" s="46">
        <f t="shared" si="4"/>
        <v>0</v>
      </c>
      <c r="G21" s="46">
        <f t="shared" si="4"/>
        <v>0</v>
      </c>
      <c r="H21" s="46">
        <f t="shared" si="4"/>
        <v>0</v>
      </c>
      <c r="I21" s="47">
        <f t="shared" si="4"/>
        <v>0</v>
      </c>
      <c r="J21" s="48">
        <f t="shared" si="4"/>
        <v>1</v>
      </c>
      <c r="L21" s="45">
        <f t="shared" ref="L21:T21" si="5">SUM(L17:L20)</f>
        <v>0</v>
      </c>
      <c r="M21" s="46">
        <f t="shared" si="5"/>
        <v>0</v>
      </c>
      <c r="N21" s="46">
        <f t="shared" si="5"/>
        <v>0</v>
      </c>
      <c r="O21" s="46">
        <f t="shared" si="5"/>
        <v>0</v>
      </c>
      <c r="P21" s="46">
        <f t="shared" si="5"/>
        <v>0</v>
      </c>
      <c r="Q21" s="46">
        <f t="shared" si="5"/>
        <v>0</v>
      </c>
      <c r="R21" s="46">
        <f t="shared" si="5"/>
        <v>0</v>
      </c>
      <c r="S21" s="47">
        <f t="shared" si="5"/>
        <v>0</v>
      </c>
      <c r="T21" s="48">
        <f t="shared" si="5"/>
        <v>0</v>
      </c>
      <c r="V21" s="45">
        <f t="shared" ref="V21:AD21" si="6">SUM(V17:V20)</f>
        <v>16</v>
      </c>
      <c r="W21" s="46">
        <f t="shared" si="6"/>
        <v>0</v>
      </c>
      <c r="X21" s="46">
        <f t="shared" si="6"/>
        <v>0</v>
      </c>
      <c r="Y21" s="46">
        <f t="shared" si="6"/>
        <v>0</v>
      </c>
      <c r="Z21" s="46">
        <f t="shared" si="6"/>
        <v>0</v>
      </c>
      <c r="AA21" s="46">
        <f t="shared" si="6"/>
        <v>0</v>
      </c>
      <c r="AB21" s="46">
        <f t="shared" si="6"/>
        <v>10</v>
      </c>
      <c r="AC21" s="47">
        <f t="shared" si="6"/>
        <v>0</v>
      </c>
      <c r="AD21" s="48">
        <f t="shared" si="6"/>
        <v>26</v>
      </c>
      <c r="AF21" s="45">
        <f t="shared" ref="AF21:AN21" si="7">SUM(AF17:AF20)</f>
        <v>16</v>
      </c>
      <c r="AG21" s="46">
        <f t="shared" si="7"/>
        <v>4</v>
      </c>
      <c r="AH21" s="46">
        <f t="shared" si="7"/>
        <v>0</v>
      </c>
      <c r="AI21" s="46">
        <f t="shared" si="7"/>
        <v>0</v>
      </c>
      <c r="AJ21" s="46">
        <f t="shared" si="7"/>
        <v>0</v>
      </c>
      <c r="AK21" s="46">
        <f t="shared" si="7"/>
        <v>0</v>
      </c>
      <c r="AL21" s="46">
        <f t="shared" si="7"/>
        <v>47</v>
      </c>
      <c r="AM21" s="47">
        <f t="shared" si="7"/>
        <v>0</v>
      </c>
      <c r="AN21" s="48">
        <f t="shared" si="7"/>
        <v>67</v>
      </c>
      <c r="AP21" s="48">
        <f>SUM(AP17:AP20)</f>
        <v>94</v>
      </c>
    </row>
    <row r="22" spans="1:42" ht="15.75" customHeight="1">
      <c r="A22" s="56">
        <v>0.375</v>
      </c>
      <c r="B22" s="32">
        <v>0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4">
        <v>0</v>
      </c>
      <c r="J22" s="57">
        <f>SUM(B22:I22)</f>
        <v>0</v>
      </c>
      <c r="L22" s="32">
        <v>0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33">
        <v>0</v>
      </c>
      <c r="S22" s="34">
        <v>0</v>
      </c>
      <c r="T22" s="57">
        <f>SUM(L22:S22)</f>
        <v>0</v>
      </c>
      <c r="V22" s="32">
        <v>8</v>
      </c>
      <c r="W22" s="33">
        <v>0</v>
      </c>
      <c r="X22" s="33">
        <v>0</v>
      </c>
      <c r="Y22" s="33">
        <v>1</v>
      </c>
      <c r="Z22" s="33">
        <v>0</v>
      </c>
      <c r="AA22" s="33">
        <v>0</v>
      </c>
      <c r="AB22" s="33">
        <v>2</v>
      </c>
      <c r="AC22" s="34">
        <v>0</v>
      </c>
      <c r="AD22" s="57">
        <f>SUM(V22:AC22)</f>
        <v>11</v>
      </c>
      <c r="AF22" s="32">
        <v>2</v>
      </c>
      <c r="AG22" s="33">
        <v>0</v>
      </c>
      <c r="AH22" s="33">
        <v>1</v>
      </c>
      <c r="AI22" s="33">
        <v>0</v>
      </c>
      <c r="AJ22" s="33">
        <v>0</v>
      </c>
      <c r="AK22" s="33">
        <v>0</v>
      </c>
      <c r="AL22" s="33">
        <v>12</v>
      </c>
      <c r="AM22" s="34">
        <v>0</v>
      </c>
      <c r="AN22" s="57">
        <f>SUM(AF22:AM22)</f>
        <v>15</v>
      </c>
      <c r="AP22" s="57">
        <f>SUM(J22+T22+AD22+AN22)</f>
        <v>26</v>
      </c>
    </row>
    <row r="23" spans="1:42" ht="15.75" customHeight="1">
      <c r="A23" s="58">
        <v>0.38541666666666669</v>
      </c>
      <c r="B23" s="36">
        <v>0</v>
      </c>
      <c r="C23" s="37">
        <v>0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 s="40">
        <v>0</v>
      </c>
      <c r="J23" s="59">
        <f>SUM(B23:I23)</f>
        <v>0</v>
      </c>
      <c r="L23" s="36">
        <v>0</v>
      </c>
      <c r="M23" s="37">
        <v>0</v>
      </c>
      <c r="N23" s="37">
        <v>0</v>
      </c>
      <c r="O23" s="37">
        <v>0</v>
      </c>
      <c r="P23" s="37">
        <v>0</v>
      </c>
      <c r="Q23" s="37">
        <v>0</v>
      </c>
      <c r="R23" s="37">
        <v>0</v>
      </c>
      <c r="S23" s="40">
        <v>0</v>
      </c>
      <c r="T23" s="59">
        <f>SUM(L23:S23)</f>
        <v>0</v>
      </c>
      <c r="V23" s="36">
        <v>2</v>
      </c>
      <c r="W23" s="37">
        <v>4</v>
      </c>
      <c r="X23" s="37">
        <v>0</v>
      </c>
      <c r="Y23" s="37">
        <v>0</v>
      </c>
      <c r="Z23" s="37">
        <v>0</v>
      </c>
      <c r="AA23" s="37">
        <v>0</v>
      </c>
      <c r="AB23" s="37">
        <v>1</v>
      </c>
      <c r="AC23" s="40">
        <v>0</v>
      </c>
      <c r="AD23" s="59">
        <f>SUM(V23:AC23)</f>
        <v>7</v>
      </c>
      <c r="AF23" s="36">
        <v>2</v>
      </c>
      <c r="AG23" s="37">
        <v>1</v>
      </c>
      <c r="AH23" s="37">
        <v>0</v>
      </c>
      <c r="AI23" s="37">
        <v>0</v>
      </c>
      <c r="AJ23" s="37">
        <v>0</v>
      </c>
      <c r="AK23" s="37">
        <v>0</v>
      </c>
      <c r="AL23" s="37">
        <v>12</v>
      </c>
      <c r="AM23" s="40">
        <v>0</v>
      </c>
      <c r="AN23" s="59">
        <f>SUM(AF23:AM23)</f>
        <v>15</v>
      </c>
      <c r="AP23" s="59">
        <f>SUM(J23+T23+AD23+AN23)</f>
        <v>22</v>
      </c>
    </row>
    <row r="24" spans="1:42" ht="15.75" customHeight="1">
      <c r="A24" s="58">
        <v>0.39583333333333331</v>
      </c>
      <c r="B24" s="36">
        <v>0</v>
      </c>
      <c r="C24" s="37">
        <v>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40">
        <v>0</v>
      </c>
      <c r="J24" s="59">
        <f>SUM(B24:I24)</f>
        <v>0</v>
      </c>
      <c r="L24" s="36">
        <v>0</v>
      </c>
      <c r="M24" s="37">
        <v>0</v>
      </c>
      <c r="N24" s="37">
        <v>0</v>
      </c>
      <c r="O24" s="37">
        <v>0</v>
      </c>
      <c r="P24" s="37">
        <v>0</v>
      </c>
      <c r="Q24" s="37">
        <v>0</v>
      </c>
      <c r="R24" s="37">
        <v>0</v>
      </c>
      <c r="S24" s="40">
        <v>0</v>
      </c>
      <c r="T24" s="59">
        <f>SUM(L24:S24)</f>
        <v>0</v>
      </c>
      <c r="V24" s="36">
        <v>6</v>
      </c>
      <c r="W24" s="37">
        <v>1</v>
      </c>
      <c r="X24" s="37">
        <v>0</v>
      </c>
      <c r="Y24" s="37">
        <v>1</v>
      </c>
      <c r="Z24" s="37">
        <v>0</v>
      </c>
      <c r="AA24" s="37">
        <v>0</v>
      </c>
      <c r="AB24" s="37">
        <v>0</v>
      </c>
      <c r="AC24" s="40">
        <v>0</v>
      </c>
      <c r="AD24" s="59">
        <f>SUM(V24:AC24)</f>
        <v>8</v>
      </c>
      <c r="AF24" s="36">
        <v>1</v>
      </c>
      <c r="AG24" s="37">
        <v>1</v>
      </c>
      <c r="AH24" s="37">
        <v>1</v>
      </c>
      <c r="AI24" s="37">
        <v>0</v>
      </c>
      <c r="AJ24" s="37">
        <v>0</v>
      </c>
      <c r="AK24" s="37">
        <v>0</v>
      </c>
      <c r="AL24" s="37">
        <v>5</v>
      </c>
      <c r="AM24" s="40">
        <v>0</v>
      </c>
      <c r="AN24" s="59">
        <f>SUM(AF24:AM24)</f>
        <v>8</v>
      </c>
      <c r="AP24" s="59">
        <f>SUM(J24+T24+AD24+AN24)</f>
        <v>16</v>
      </c>
    </row>
    <row r="25" spans="1:42" ht="15.75" customHeight="1">
      <c r="A25" s="60">
        <v>0.40625</v>
      </c>
      <c r="B25" s="41">
        <v>0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3">
        <v>0</v>
      </c>
      <c r="J25" s="61">
        <f>SUM(B25:I25)</f>
        <v>0</v>
      </c>
      <c r="L25" s="41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3">
        <v>0</v>
      </c>
      <c r="T25" s="61">
        <f>SUM(L25:S25)</f>
        <v>0</v>
      </c>
      <c r="V25" s="41">
        <v>2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1</v>
      </c>
      <c r="AC25" s="43">
        <v>0</v>
      </c>
      <c r="AD25" s="61">
        <f>SUM(V25:AC25)</f>
        <v>3</v>
      </c>
      <c r="AF25" s="41">
        <v>2</v>
      </c>
      <c r="AG25" s="42">
        <v>0</v>
      </c>
      <c r="AH25" s="42">
        <v>1</v>
      </c>
      <c r="AI25" s="42">
        <v>0</v>
      </c>
      <c r="AJ25" s="42">
        <v>0</v>
      </c>
      <c r="AK25" s="42">
        <v>0</v>
      </c>
      <c r="AL25" s="42">
        <v>4</v>
      </c>
      <c r="AM25" s="43">
        <v>0</v>
      </c>
      <c r="AN25" s="61">
        <f>SUM(AF25:AM25)</f>
        <v>7</v>
      </c>
      <c r="AP25" s="61">
        <f>SUM(J25+T25+AD25+AN25)</f>
        <v>10</v>
      </c>
    </row>
    <row r="26" spans="1:42" ht="15.75" customHeight="1">
      <c r="A26" s="48" t="s">
        <v>29</v>
      </c>
      <c r="B26" s="45">
        <f t="shared" ref="B26:J26" si="8">SUM(B22:B25)</f>
        <v>0</v>
      </c>
      <c r="C26" s="46">
        <f t="shared" si="8"/>
        <v>0</v>
      </c>
      <c r="D26" s="46">
        <f t="shared" si="8"/>
        <v>0</v>
      </c>
      <c r="E26" s="46">
        <f t="shared" si="8"/>
        <v>0</v>
      </c>
      <c r="F26" s="46">
        <f t="shared" si="8"/>
        <v>0</v>
      </c>
      <c r="G26" s="46">
        <f t="shared" si="8"/>
        <v>0</v>
      </c>
      <c r="H26" s="46">
        <f t="shared" si="8"/>
        <v>0</v>
      </c>
      <c r="I26" s="47">
        <f t="shared" si="8"/>
        <v>0</v>
      </c>
      <c r="J26" s="48">
        <f t="shared" si="8"/>
        <v>0</v>
      </c>
      <c r="L26" s="45">
        <f t="shared" ref="L26:T26" si="9">SUM(L22:L25)</f>
        <v>0</v>
      </c>
      <c r="M26" s="46">
        <f t="shared" si="9"/>
        <v>0</v>
      </c>
      <c r="N26" s="46">
        <f t="shared" si="9"/>
        <v>0</v>
      </c>
      <c r="O26" s="46">
        <f t="shared" si="9"/>
        <v>0</v>
      </c>
      <c r="P26" s="46">
        <f t="shared" si="9"/>
        <v>0</v>
      </c>
      <c r="Q26" s="46">
        <f t="shared" si="9"/>
        <v>0</v>
      </c>
      <c r="R26" s="46">
        <f t="shared" si="9"/>
        <v>0</v>
      </c>
      <c r="S26" s="47">
        <f t="shared" si="9"/>
        <v>0</v>
      </c>
      <c r="T26" s="48">
        <f t="shared" si="9"/>
        <v>0</v>
      </c>
      <c r="V26" s="45">
        <f t="shared" ref="V26:AD26" si="10">SUM(V22:V25)</f>
        <v>18</v>
      </c>
      <c r="W26" s="46">
        <f t="shared" si="10"/>
        <v>5</v>
      </c>
      <c r="X26" s="46">
        <f t="shared" si="10"/>
        <v>0</v>
      </c>
      <c r="Y26" s="46">
        <f t="shared" si="10"/>
        <v>2</v>
      </c>
      <c r="Z26" s="46">
        <f t="shared" si="10"/>
        <v>0</v>
      </c>
      <c r="AA26" s="46">
        <f t="shared" si="10"/>
        <v>0</v>
      </c>
      <c r="AB26" s="46">
        <f t="shared" si="10"/>
        <v>4</v>
      </c>
      <c r="AC26" s="47">
        <f t="shared" si="10"/>
        <v>0</v>
      </c>
      <c r="AD26" s="48">
        <f t="shared" si="10"/>
        <v>29</v>
      </c>
      <c r="AF26" s="45">
        <f t="shared" ref="AF26:AN26" si="11">SUM(AF22:AF25)</f>
        <v>7</v>
      </c>
      <c r="AG26" s="46">
        <f t="shared" si="11"/>
        <v>2</v>
      </c>
      <c r="AH26" s="46">
        <f t="shared" si="11"/>
        <v>3</v>
      </c>
      <c r="AI26" s="46">
        <f t="shared" si="11"/>
        <v>0</v>
      </c>
      <c r="AJ26" s="46">
        <f t="shared" si="11"/>
        <v>0</v>
      </c>
      <c r="AK26" s="46">
        <f t="shared" si="11"/>
        <v>0</v>
      </c>
      <c r="AL26" s="46">
        <f t="shared" si="11"/>
        <v>33</v>
      </c>
      <c r="AM26" s="47">
        <f t="shared" si="11"/>
        <v>0</v>
      </c>
      <c r="AN26" s="48">
        <f t="shared" si="11"/>
        <v>45</v>
      </c>
      <c r="AP26" s="48">
        <f>SUM(AP22:AP25)</f>
        <v>74</v>
      </c>
    </row>
    <row r="27" spans="1:42" ht="15.75" customHeight="1">
      <c r="A27" s="56">
        <v>0.41666666666666669</v>
      </c>
      <c r="B27" s="32">
        <v>0</v>
      </c>
      <c r="C27" s="33">
        <v>0</v>
      </c>
      <c r="D27" s="33">
        <v>0</v>
      </c>
      <c r="E27" s="33">
        <v>0</v>
      </c>
      <c r="F27" s="33">
        <v>0</v>
      </c>
      <c r="G27" s="33">
        <v>0</v>
      </c>
      <c r="H27" s="33">
        <v>0</v>
      </c>
      <c r="I27" s="34">
        <v>0</v>
      </c>
      <c r="J27" s="57">
        <f>SUM(B27:I27)</f>
        <v>0</v>
      </c>
      <c r="L27" s="32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4">
        <v>0</v>
      </c>
      <c r="T27" s="57">
        <f>SUM(L27:S27)</f>
        <v>0</v>
      </c>
      <c r="V27" s="32">
        <v>6</v>
      </c>
      <c r="W27" s="33">
        <v>3</v>
      </c>
      <c r="X27" s="33">
        <v>0</v>
      </c>
      <c r="Y27" s="33">
        <v>0</v>
      </c>
      <c r="Z27" s="33">
        <v>0</v>
      </c>
      <c r="AA27" s="33">
        <v>0</v>
      </c>
      <c r="AB27" s="33">
        <v>1</v>
      </c>
      <c r="AC27" s="34">
        <v>0</v>
      </c>
      <c r="AD27" s="57">
        <f>SUM(V27:AC27)</f>
        <v>10</v>
      </c>
      <c r="AF27" s="32">
        <v>10</v>
      </c>
      <c r="AG27" s="33">
        <v>2</v>
      </c>
      <c r="AH27" s="33">
        <v>0</v>
      </c>
      <c r="AI27" s="33">
        <v>0</v>
      </c>
      <c r="AJ27" s="33">
        <v>0</v>
      </c>
      <c r="AK27" s="33">
        <v>0</v>
      </c>
      <c r="AL27" s="33">
        <v>2</v>
      </c>
      <c r="AM27" s="34">
        <v>0</v>
      </c>
      <c r="AN27" s="57">
        <f>SUM(AF27:AM27)</f>
        <v>14</v>
      </c>
      <c r="AP27" s="57">
        <f>SUM(J27+T27+AD27+AN27)</f>
        <v>24</v>
      </c>
    </row>
    <row r="28" spans="1:42" ht="15.75" customHeight="1">
      <c r="A28" s="58">
        <v>0.42708333333333331</v>
      </c>
      <c r="B28" s="36">
        <v>0</v>
      </c>
      <c r="C28" s="37">
        <v>0</v>
      </c>
      <c r="D28" s="37">
        <v>0</v>
      </c>
      <c r="E28" s="37">
        <v>0</v>
      </c>
      <c r="F28" s="37">
        <v>0</v>
      </c>
      <c r="G28" s="37">
        <v>0</v>
      </c>
      <c r="H28" s="37">
        <v>0</v>
      </c>
      <c r="I28" s="40">
        <v>0</v>
      </c>
      <c r="J28" s="59">
        <f>SUM(B28:I28)</f>
        <v>0</v>
      </c>
      <c r="L28" s="36">
        <v>0</v>
      </c>
      <c r="M28" s="37">
        <v>0</v>
      </c>
      <c r="N28" s="37">
        <v>0</v>
      </c>
      <c r="O28" s="37">
        <v>0</v>
      </c>
      <c r="P28" s="37">
        <v>0</v>
      </c>
      <c r="Q28" s="37">
        <v>0</v>
      </c>
      <c r="R28" s="37">
        <v>0</v>
      </c>
      <c r="S28" s="40">
        <v>0</v>
      </c>
      <c r="T28" s="59">
        <f>SUM(L28:S28)</f>
        <v>0</v>
      </c>
      <c r="V28" s="36">
        <v>7</v>
      </c>
      <c r="W28" s="37">
        <v>0</v>
      </c>
      <c r="X28" s="37">
        <v>0</v>
      </c>
      <c r="Y28" s="37">
        <v>0</v>
      </c>
      <c r="Z28" s="37">
        <v>0</v>
      </c>
      <c r="AA28" s="37">
        <v>0</v>
      </c>
      <c r="AB28" s="37">
        <v>0</v>
      </c>
      <c r="AC28" s="40">
        <v>0</v>
      </c>
      <c r="AD28" s="59">
        <f>SUM(V28:AC28)</f>
        <v>7</v>
      </c>
      <c r="AF28" s="36">
        <v>5</v>
      </c>
      <c r="AG28" s="37">
        <v>3</v>
      </c>
      <c r="AH28" s="37">
        <v>0</v>
      </c>
      <c r="AI28" s="37">
        <v>0</v>
      </c>
      <c r="AJ28" s="37">
        <v>0</v>
      </c>
      <c r="AK28" s="37">
        <v>0</v>
      </c>
      <c r="AL28" s="37">
        <v>3</v>
      </c>
      <c r="AM28" s="40">
        <v>0</v>
      </c>
      <c r="AN28" s="59">
        <f>SUM(AF28:AM28)</f>
        <v>11</v>
      </c>
      <c r="AP28" s="59">
        <f>SUM(J28+T28+AD28+AN28)</f>
        <v>18</v>
      </c>
    </row>
    <row r="29" spans="1:42" ht="15.75" customHeight="1">
      <c r="A29" s="58">
        <v>0.4375</v>
      </c>
      <c r="B29" s="36">
        <v>0</v>
      </c>
      <c r="C29" s="37">
        <v>0</v>
      </c>
      <c r="D29" s="37">
        <v>0</v>
      </c>
      <c r="E29" s="37">
        <v>0</v>
      </c>
      <c r="F29" s="37">
        <v>0</v>
      </c>
      <c r="G29" s="37">
        <v>0</v>
      </c>
      <c r="H29" s="37">
        <v>0</v>
      </c>
      <c r="I29" s="40">
        <v>0</v>
      </c>
      <c r="J29" s="59">
        <f>SUM(B29:I29)</f>
        <v>0</v>
      </c>
      <c r="L29" s="36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40">
        <v>0</v>
      </c>
      <c r="T29" s="59">
        <f>SUM(L29:S29)</f>
        <v>0</v>
      </c>
      <c r="V29" s="36">
        <v>1</v>
      </c>
      <c r="W29" s="37">
        <v>5</v>
      </c>
      <c r="X29" s="37">
        <v>0</v>
      </c>
      <c r="Y29" s="37">
        <v>0</v>
      </c>
      <c r="Z29" s="37">
        <v>0</v>
      </c>
      <c r="AA29" s="37">
        <v>0</v>
      </c>
      <c r="AB29" s="37">
        <v>1</v>
      </c>
      <c r="AC29" s="40">
        <v>0</v>
      </c>
      <c r="AD29" s="59">
        <f>SUM(V29:AC29)</f>
        <v>7</v>
      </c>
      <c r="AF29" s="36">
        <v>1</v>
      </c>
      <c r="AG29" s="37">
        <v>1</v>
      </c>
      <c r="AH29" s="37">
        <v>0</v>
      </c>
      <c r="AI29" s="37">
        <v>0</v>
      </c>
      <c r="AJ29" s="37">
        <v>0</v>
      </c>
      <c r="AK29" s="37">
        <v>0</v>
      </c>
      <c r="AL29" s="37">
        <v>4</v>
      </c>
      <c r="AM29" s="40">
        <v>0</v>
      </c>
      <c r="AN29" s="59">
        <f>SUM(AF29:AM29)</f>
        <v>6</v>
      </c>
      <c r="AP29" s="59">
        <f>SUM(J29+T29+AD29+AN29)</f>
        <v>13</v>
      </c>
    </row>
    <row r="30" spans="1:42" ht="15.75" customHeight="1">
      <c r="A30" s="60">
        <v>0.44791666666666669</v>
      </c>
      <c r="B30" s="41">
        <v>0</v>
      </c>
      <c r="C30" s="42">
        <v>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3">
        <v>0</v>
      </c>
      <c r="J30" s="61">
        <f>SUM(B30:I30)</f>
        <v>0</v>
      </c>
      <c r="L30" s="41">
        <v>0</v>
      </c>
      <c r="M30" s="42">
        <v>0</v>
      </c>
      <c r="N30" s="42">
        <v>0</v>
      </c>
      <c r="O30" s="42">
        <v>0</v>
      </c>
      <c r="P30" s="42">
        <v>0</v>
      </c>
      <c r="Q30" s="42">
        <v>0</v>
      </c>
      <c r="R30" s="42">
        <v>0</v>
      </c>
      <c r="S30" s="43">
        <v>0</v>
      </c>
      <c r="T30" s="61">
        <f>SUM(L30:S30)</f>
        <v>0</v>
      </c>
      <c r="V30" s="41">
        <v>1</v>
      </c>
      <c r="W30" s="42">
        <v>4</v>
      </c>
      <c r="X30" s="42">
        <v>1</v>
      </c>
      <c r="Y30" s="42">
        <v>0</v>
      </c>
      <c r="Z30" s="42">
        <v>0</v>
      </c>
      <c r="AA30" s="42">
        <v>0</v>
      </c>
      <c r="AB30" s="42">
        <v>2</v>
      </c>
      <c r="AC30" s="43">
        <v>0</v>
      </c>
      <c r="AD30" s="61">
        <f>SUM(V30:AC30)</f>
        <v>8</v>
      </c>
      <c r="AF30" s="41">
        <v>7</v>
      </c>
      <c r="AG30" s="42">
        <v>1</v>
      </c>
      <c r="AH30" s="42">
        <v>0</v>
      </c>
      <c r="AI30" s="42">
        <v>0</v>
      </c>
      <c r="AJ30" s="42">
        <v>0</v>
      </c>
      <c r="AK30" s="42">
        <v>0</v>
      </c>
      <c r="AL30" s="42">
        <v>2</v>
      </c>
      <c r="AM30" s="43">
        <v>0</v>
      </c>
      <c r="AN30" s="61">
        <f>SUM(AF30:AM30)</f>
        <v>10</v>
      </c>
      <c r="AP30" s="61">
        <f>SUM(J30+T30+AD30+AN30)</f>
        <v>18</v>
      </c>
    </row>
    <row r="31" spans="1:42" ht="15.75" customHeight="1">
      <c r="A31" s="48" t="s">
        <v>29</v>
      </c>
      <c r="B31" s="45">
        <f t="shared" ref="B31:J31" si="12">SUM(B27:B30)</f>
        <v>0</v>
      </c>
      <c r="C31" s="46">
        <f t="shared" si="12"/>
        <v>0</v>
      </c>
      <c r="D31" s="46">
        <f t="shared" si="12"/>
        <v>0</v>
      </c>
      <c r="E31" s="46">
        <f t="shared" si="12"/>
        <v>0</v>
      </c>
      <c r="F31" s="46">
        <f t="shared" si="12"/>
        <v>0</v>
      </c>
      <c r="G31" s="46">
        <f t="shared" si="12"/>
        <v>0</v>
      </c>
      <c r="H31" s="46">
        <f t="shared" si="12"/>
        <v>0</v>
      </c>
      <c r="I31" s="47">
        <f t="shared" si="12"/>
        <v>0</v>
      </c>
      <c r="J31" s="48">
        <f t="shared" si="12"/>
        <v>0</v>
      </c>
      <c r="L31" s="45">
        <f t="shared" ref="L31:T31" si="13">SUM(L27:L30)</f>
        <v>0</v>
      </c>
      <c r="M31" s="46">
        <f t="shared" si="13"/>
        <v>0</v>
      </c>
      <c r="N31" s="46">
        <f t="shared" si="13"/>
        <v>0</v>
      </c>
      <c r="O31" s="46">
        <f t="shared" si="13"/>
        <v>0</v>
      </c>
      <c r="P31" s="46">
        <f t="shared" si="13"/>
        <v>0</v>
      </c>
      <c r="Q31" s="46">
        <f t="shared" si="13"/>
        <v>0</v>
      </c>
      <c r="R31" s="46">
        <f t="shared" si="13"/>
        <v>0</v>
      </c>
      <c r="S31" s="47">
        <f t="shared" si="13"/>
        <v>0</v>
      </c>
      <c r="T31" s="48">
        <f t="shared" si="13"/>
        <v>0</v>
      </c>
      <c r="V31" s="45">
        <f t="shared" ref="V31:AD31" si="14">SUM(V27:V30)</f>
        <v>15</v>
      </c>
      <c r="W31" s="46">
        <f t="shared" si="14"/>
        <v>12</v>
      </c>
      <c r="X31" s="46">
        <f t="shared" si="14"/>
        <v>1</v>
      </c>
      <c r="Y31" s="46">
        <f t="shared" si="14"/>
        <v>0</v>
      </c>
      <c r="Z31" s="46">
        <f t="shared" si="14"/>
        <v>0</v>
      </c>
      <c r="AA31" s="46">
        <f t="shared" si="14"/>
        <v>0</v>
      </c>
      <c r="AB31" s="46">
        <f t="shared" si="14"/>
        <v>4</v>
      </c>
      <c r="AC31" s="47">
        <f t="shared" si="14"/>
        <v>0</v>
      </c>
      <c r="AD31" s="48">
        <f t="shared" si="14"/>
        <v>32</v>
      </c>
      <c r="AF31" s="45">
        <f t="shared" ref="AF31:AN31" si="15">SUM(AF27:AF30)</f>
        <v>23</v>
      </c>
      <c r="AG31" s="46">
        <f t="shared" si="15"/>
        <v>7</v>
      </c>
      <c r="AH31" s="46">
        <f t="shared" si="15"/>
        <v>0</v>
      </c>
      <c r="AI31" s="46">
        <f t="shared" si="15"/>
        <v>0</v>
      </c>
      <c r="AJ31" s="46">
        <f t="shared" si="15"/>
        <v>0</v>
      </c>
      <c r="AK31" s="46">
        <f t="shared" si="15"/>
        <v>0</v>
      </c>
      <c r="AL31" s="46">
        <f t="shared" si="15"/>
        <v>11</v>
      </c>
      <c r="AM31" s="47">
        <f t="shared" si="15"/>
        <v>0</v>
      </c>
      <c r="AN31" s="48">
        <f t="shared" si="15"/>
        <v>41</v>
      </c>
      <c r="AP31" s="48">
        <f>SUM(AP27:AP30)</f>
        <v>73</v>
      </c>
    </row>
    <row r="32" spans="1:42" ht="15.75" customHeight="1">
      <c r="A32" s="56">
        <v>0.45833333333333331</v>
      </c>
      <c r="B32" s="32">
        <v>0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v>0</v>
      </c>
      <c r="I32" s="34">
        <v>0</v>
      </c>
      <c r="J32" s="57">
        <f>SUM(B32:I32)</f>
        <v>0</v>
      </c>
      <c r="L32" s="32">
        <v>0</v>
      </c>
      <c r="M32" s="33">
        <v>0</v>
      </c>
      <c r="N32" s="33">
        <v>0</v>
      </c>
      <c r="O32" s="33">
        <v>0</v>
      </c>
      <c r="P32" s="33">
        <v>0</v>
      </c>
      <c r="Q32" s="33">
        <v>0</v>
      </c>
      <c r="R32" s="33">
        <v>0</v>
      </c>
      <c r="S32" s="34">
        <v>0</v>
      </c>
      <c r="T32" s="57">
        <f>SUM(L32:S32)</f>
        <v>0</v>
      </c>
      <c r="V32" s="32">
        <v>5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  <c r="AB32" s="33">
        <v>3</v>
      </c>
      <c r="AC32" s="34">
        <v>0</v>
      </c>
      <c r="AD32" s="57">
        <f>SUM(V32:AC32)</f>
        <v>8</v>
      </c>
      <c r="AF32" s="32">
        <v>7</v>
      </c>
      <c r="AG32" s="33">
        <v>0</v>
      </c>
      <c r="AH32" s="33">
        <v>1</v>
      </c>
      <c r="AI32" s="33">
        <v>0</v>
      </c>
      <c r="AJ32" s="33">
        <v>0</v>
      </c>
      <c r="AK32" s="33">
        <v>0</v>
      </c>
      <c r="AL32" s="33">
        <v>5</v>
      </c>
      <c r="AM32" s="34">
        <v>0</v>
      </c>
      <c r="AN32" s="57">
        <f>SUM(AF32:AM32)</f>
        <v>13</v>
      </c>
      <c r="AP32" s="57">
        <f>SUM(J32+T32+AD32+AN32)</f>
        <v>21</v>
      </c>
    </row>
    <row r="33" spans="1:42" ht="15.75" customHeight="1">
      <c r="A33" s="58">
        <v>0.46875</v>
      </c>
      <c r="B33" s="36">
        <v>0</v>
      </c>
      <c r="C33" s="37">
        <v>0</v>
      </c>
      <c r="D33" s="37">
        <v>0</v>
      </c>
      <c r="E33" s="37">
        <v>0</v>
      </c>
      <c r="F33" s="37">
        <v>0</v>
      </c>
      <c r="G33" s="37">
        <v>0</v>
      </c>
      <c r="H33" s="37">
        <v>0</v>
      </c>
      <c r="I33" s="40">
        <v>0</v>
      </c>
      <c r="J33" s="59">
        <f>SUM(B33:I33)</f>
        <v>0</v>
      </c>
      <c r="L33" s="36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40">
        <v>0</v>
      </c>
      <c r="T33" s="59">
        <f>SUM(L33:S33)</f>
        <v>0</v>
      </c>
      <c r="V33" s="36">
        <v>11</v>
      </c>
      <c r="W33" s="37">
        <v>1</v>
      </c>
      <c r="X33" s="37">
        <v>1</v>
      </c>
      <c r="Y33" s="37">
        <v>0</v>
      </c>
      <c r="Z33" s="37">
        <v>0</v>
      </c>
      <c r="AA33" s="37">
        <v>0</v>
      </c>
      <c r="AB33" s="37">
        <v>4</v>
      </c>
      <c r="AC33" s="40">
        <v>0</v>
      </c>
      <c r="AD33" s="59">
        <f>SUM(V33:AC33)</f>
        <v>17</v>
      </c>
      <c r="AF33" s="36">
        <v>1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7</v>
      </c>
      <c r="AM33" s="40">
        <v>0</v>
      </c>
      <c r="AN33" s="59">
        <f>SUM(AF33:AM33)</f>
        <v>8</v>
      </c>
      <c r="AP33" s="59">
        <f>SUM(J33+T33+AD33+AN33)</f>
        <v>25</v>
      </c>
    </row>
    <row r="34" spans="1:42" ht="15.75" customHeight="1">
      <c r="A34" s="58">
        <v>0.47916666666666669</v>
      </c>
      <c r="B34" s="36">
        <v>0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40">
        <v>0</v>
      </c>
      <c r="J34" s="59">
        <f>SUM(B34:I34)</f>
        <v>0</v>
      </c>
      <c r="L34" s="36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40">
        <v>0</v>
      </c>
      <c r="T34" s="59">
        <f>SUM(L34:S34)</f>
        <v>0</v>
      </c>
      <c r="V34" s="36">
        <v>6</v>
      </c>
      <c r="W34" s="37">
        <v>2</v>
      </c>
      <c r="X34" s="37">
        <v>0</v>
      </c>
      <c r="Y34" s="37">
        <v>0</v>
      </c>
      <c r="Z34" s="37">
        <v>0</v>
      </c>
      <c r="AA34" s="37">
        <v>0</v>
      </c>
      <c r="AB34" s="37">
        <v>3</v>
      </c>
      <c r="AC34" s="40">
        <v>0</v>
      </c>
      <c r="AD34" s="59">
        <f>SUM(V34:AC34)</f>
        <v>11</v>
      </c>
      <c r="AF34" s="36">
        <v>3</v>
      </c>
      <c r="AG34" s="37">
        <v>2</v>
      </c>
      <c r="AH34" s="37">
        <v>0</v>
      </c>
      <c r="AI34" s="37">
        <v>0</v>
      </c>
      <c r="AJ34" s="37">
        <v>0</v>
      </c>
      <c r="AK34" s="37">
        <v>0</v>
      </c>
      <c r="AL34" s="37">
        <v>3</v>
      </c>
      <c r="AM34" s="40">
        <v>1</v>
      </c>
      <c r="AN34" s="59">
        <f>SUM(AF34:AM34)</f>
        <v>9</v>
      </c>
      <c r="AP34" s="59">
        <f>SUM(J34+T34+AD34+AN34)</f>
        <v>20</v>
      </c>
    </row>
    <row r="35" spans="1:42" ht="15.75" customHeight="1">
      <c r="A35" s="60">
        <v>0.48958333333333331</v>
      </c>
      <c r="B35" s="41">
        <v>0</v>
      </c>
      <c r="C35" s="42">
        <v>0</v>
      </c>
      <c r="D35" s="42">
        <v>0</v>
      </c>
      <c r="E35" s="42">
        <v>0</v>
      </c>
      <c r="F35" s="42">
        <v>0</v>
      </c>
      <c r="G35" s="42">
        <v>0</v>
      </c>
      <c r="H35" s="42">
        <v>0</v>
      </c>
      <c r="I35" s="43">
        <v>0</v>
      </c>
      <c r="J35" s="61">
        <f>SUM(B35:I35)</f>
        <v>0</v>
      </c>
      <c r="L35" s="41">
        <v>0</v>
      </c>
      <c r="M35" s="42">
        <v>0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S35" s="43">
        <v>0</v>
      </c>
      <c r="T35" s="61">
        <f>SUM(L35:S35)</f>
        <v>0</v>
      </c>
      <c r="V35" s="41">
        <v>7</v>
      </c>
      <c r="W35" s="42">
        <v>2</v>
      </c>
      <c r="X35" s="42">
        <v>1</v>
      </c>
      <c r="Y35" s="42">
        <v>0</v>
      </c>
      <c r="Z35" s="42">
        <v>0</v>
      </c>
      <c r="AA35" s="42">
        <v>0</v>
      </c>
      <c r="AB35" s="42">
        <v>3</v>
      </c>
      <c r="AC35" s="43">
        <v>0</v>
      </c>
      <c r="AD35" s="61">
        <f>SUM(V35:AC35)</f>
        <v>13</v>
      </c>
      <c r="AF35" s="41">
        <v>2</v>
      </c>
      <c r="AG35" s="42">
        <v>1</v>
      </c>
      <c r="AH35" s="42">
        <v>0</v>
      </c>
      <c r="AI35" s="42">
        <v>0</v>
      </c>
      <c r="AJ35" s="42">
        <v>0</v>
      </c>
      <c r="AK35" s="42">
        <v>0</v>
      </c>
      <c r="AL35" s="42">
        <v>3</v>
      </c>
      <c r="AM35" s="43">
        <v>0</v>
      </c>
      <c r="AN35" s="61">
        <f>SUM(AF35:AM35)</f>
        <v>6</v>
      </c>
      <c r="AP35" s="61">
        <f>SUM(J35+T35+AD35+AN35)</f>
        <v>19</v>
      </c>
    </row>
    <row r="36" spans="1:42" ht="15.75" customHeight="1">
      <c r="A36" s="48" t="s">
        <v>29</v>
      </c>
      <c r="B36" s="45">
        <f t="shared" ref="B36:J36" si="16">SUM(B32:B35)</f>
        <v>0</v>
      </c>
      <c r="C36" s="46">
        <f t="shared" si="16"/>
        <v>0</v>
      </c>
      <c r="D36" s="46">
        <f t="shared" si="16"/>
        <v>0</v>
      </c>
      <c r="E36" s="46">
        <f t="shared" si="16"/>
        <v>0</v>
      </c>
      <c r="F36" s="46">
        <f t="shared" si="16"/>
        <v>0</v>
      </c>
      <c r="G36" s="46">
        <f t="shared" si="16"/>
        <v>0</v>
      </c>
      <c r="H36" s="46">
        <f t="shared" si="16"/>
        <v>0</v>
      </c>
      <c r="I36" s="47">
        <f t="shared" si="16"/>
        <v>0</v>
      </c>
      <c r="J36" s="48">
        <f t="shared" si="16"/>
        <v>0</v>
      </c>
      <c r="L36" s="45">
        <f t="shared" ref="L36:T36" si="17">SUM(L32:L35)</f>
        <v>0</v>
      </c>
      <c r="M36" s="46">
        <f t="shared" si="17"/>
        <v>0</v>
      </c>
      <c r="N36" s="46">
        <f t="shared" si="17"/>
        <v>0</v>
      </c>
      <c r="O36" s="46">
        <f t="shared" si="17"/>
        <v>0</v>
      </c>
      <c r="P36" s="46">
        <f t="shared" si="17"/>
        <v>0</v>
      </c>
      <c r="Q36" s="46">
        <f t="shared" si="17"/>
        <v>0</v>
      </c>
      <c r="R36" s="46">
        <f t="shared" si="17"/>
        <v>0</v>
      </c>
      <c r="S36" s="47">
        <f t="shared" si="17"/>
        <v>0</v>
      </c>
      <c r="T36" s="48">
        <f t="shared" si="17"/>
        <v>0</v>
      </c>
      <c r="V36" s="45">
        <f t="shared" ref="V36:AD36" si="18">SUM(V32:V35)</f>
        <v>29</v>
      </c>
      <c r="W36" s="46">
        <f t="shared" si="18"/>
        <v>5</v>
      </c>
      <c r="X36" s="46">
        <f t="shared" si="18"/>
        <v>2</v>
      </c>
      <c r="Y36" s="46">
        <f t="shared" si="18"/>
        <v>0</v>
      </c>
      <c r="Z36" s="46">
        <f t="shared" si="18"/>
        <v>0</v>
      </c>
      <c r="AA36" s="46">
        <f t="shared" si="18"/>
        <v>0</v>
      </c>
      <c r="AB36" s="46">
        <f t="shared" si="18"/>
        <v>13</v>
      </c>
      <c r="AC36" s="47">
        <f t="shared" si="18"/>
        <v>0</v>
      </c>
      <c r="AD36" s="48">
        <f t="shared" si="18"/>
        <v>49</v>
      </c>
      <c r="AF36" s="45">
        <f t="shared" ref="AF36:AN36" si="19">SUM(AF32:AF35)</f>
        <v>13</v>
      </c>
      <c r="AG36" s="46">
        <f t="shared" si="19"/>
        <v>3</v>
      </c>
      <c r="AH36" s="46">
        <f t="shared" si="19"/>
        <v>1</v>
      </c>
      <c r="AI36" s="46">
        <f t="shared" si="19"/>
        <v>0</v>
      </c>
      <c r="AJ36" s="46">
        <f t="shared" si="19"/>
        <v>0</v>
      </c>
      <c r="AK36" s="46">
        <f t="shared" si="19"/>
        <v>0</v>
      </c>
      <c r="AL36" s="46">
        <f t="shared" si="19"/>
        <v>18</v>
      </c>
      <c r="AM36" s="47">
        <f t="shared" si="19"/>
        <v>1</v>
      </c>
      <c r="AN36" s="48">
        <f t="shared" si="19"/>
        <v>36</v>
      </c>
      <c r="AP36" s="48">
        <f>SUM(AP32:AP35)</f>
        <v>85</v>
      </c>
    </row>
    <row r="37" spans="1:42" ht="15.75" customHeight="1">
      <c r="A37" s="56">
        <v>0.5</v>
      </c>
      <c r="B37" s="32">
        <v>0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4">
        <v>0</v>
      </c>
      <c r="J37" s="57">
        <f>SUM(B37:I37)</f>
        <v>0</v>
      </c>
      <c r="L37" s="32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4">
        <v>0</v>
      </c>
      <c r="T37" s="57">
        <f>SUM(L37:S37)</f>
        <v>0</v>
      </c>
      <c r="V37" s="32">
        <v>8</v>
      </c>
      <c r="W37" s="33">
        <v>1</v>
      </c>
      <c r="X37" s="33">
        <v>1</v>
      </c>
      <c r="Y37" s="33">
        <v>0</v>
      </c>
      <c r="Z37" s="33">
        <v>0</v>
      </c>
      <c r="AA37" s="33">
        <v>0</v>
      </c>
      <c r="AB37" s="33">
        <v>2</v>
      </c>
      <c r="AC37" s="34">
        <v>0</v>
      </c>
      <c r="AD37" s="57">
        <f>SUM(V37:AC37)</f>
        <v>12</v>
      </c>
      <c r="AF37" s="32">
        <v>6</v>
      </c>
      <c r="AG37" s="33">
        <v>1</v>
      </c>
      <c r="AH37" s="33">
        <v>1</v>
      </c>
      <c r="AI37" s="33">
        <v>0</v>
      </c>
      <c r="AJ37" s="33">
        <v>0</v>
      </c>
      <c r="AK37" s="33">
        <v>0</v>
      </c>
      <c r="AL37" s="33">
        <v>7</v>
      </c>
      <c r="AM37" s="34">
        <v>0</v>
      </c>
      <c r="AN37" s="57">
        <f>SUM(AF37:AM37)</f>
        <v>15</v>
      </c>
      <c r="AP37" s="57">
        <f>SUM(J37+T37+AD37+AN37)</f>
        <v>27</v>
      </c>
    </row>
    <row r="38" spans="1:42" ht="15.75" customHeight="1">
      <c r="A38" s="58">
        <v>0.51041666666666663</v>
      </c>
      <c r="B38" s="36">
        <v>0</v>
      </c>
      <c r="C38" s="37">
        <v>0</v>
      </c>
      <c r="D38" s="37">
        <v>0</v>
      </c>
      <c r="E38" s="37">
        <v>0</v>
      </c>
      <c r="F38" s="37">
        <v>0</v>
      </c>
      <c r="G38" s="37">
        <v>0</v>
      </c>
      <c r="H38" s="37">
        <v>0</v>
      </c>
      <c r="I38" s="40">
        <v>0</v>
      </c>
      <c r="J38" s="59">
        <f>SUM(B38:I38)</f>
        <v>0</v>
      </c>
      <c r="L38" s="36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>
        <v>0</v>
      </c>
      <c r="S38" s="40">
        <v>0</v>
      </c>
      <c r="T38" s="59">
        <f>SUM(L38:S38)</f>
        <v>0</v>
      </c>
      <c r="V38" s="36">
        <v>6</v>
      </c>
      <c r="W38" s="37">
        <v>4</v>
      </c>
      <c r="X38" s="37">
        <v>0</v>
      </c>
      <c r="Y38" s="37">
        <v>0</v>
      </c>
      <c r="Z38" s="37">
        <v>0</v>
      </c>
      <c r="AA38" s="37">
        <v>0</v>
      </c>
      <c r="AB38" s="37">
        <v>2</v>
      </c>
      <c r="AC38" s="40">
        <v>0</v>
      </c>
      <c r="AD38" s="59">
        <f>SUM(V38:AC38)</f>
        <v>12</v>
      </c>
      <c r="AF38" s="36">
        <v>3</v>
      </c>
      <c r="AG38" s="37">
        <v>0</v>
      </c>
      <c r="AH38" s="37">
        <v>0</v>
      </c>
      <c r="AI38" s="37">
        <v>0</v>
      </c>
      <c r="AJ38" s="37">
        <v>0</v>
      </c>
      <c r="AK38" s="37">
        <v>0</v>
      </c>
      <c r="AL38" s="37">
        <v>5</v>
      </c>
      <c r="AM38" s="40">
        <v>0</v>
      </c>
      <c r="AN38" s="59">
        <f>SUM(AF38:AM38)</f>
        <v>8</v>
      </c>
      <c r="AP38" s="59">
        <f>SUM(J38+T38+AD38+AN38)</f>
        <v>20</v>
      </c>
    </row>
    <row r="39" spans="1:42" ht="15.75" customHeight="1">
      <c r="A39" s="58">
        <v>0.52083333333333337</v>
      </c>
      <c r="B39" s="36">
        <v>0</v>
      </c>
      <c r="C39" s="37">
        <v>0</v>
      </c>
      <c r="D39" s="37">
        <v>0</v>
      </c>
      <c r="E39" s="37">
        <v>0</v>
      </c>
      <c r="F39" s="37">
        <v>0</v>
      </c>
      <c r="G39" s="37">
        <v>0</v>
      </c>
      <c r="H39" s="37">
        <v>0</v>
      </c>
      <c r="I39" s="40">
        <v>0</v>
      </c>
      <c r="J39" s="59">
        <f>SUM(B39:I39)</f>
        <v>0</v>
      </c>
      <c r="L39" s="36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40">
        <v>0</v>
      </c>
      <c r="T39" s="59">
        <f>SUM(L39:S39)</f>
        <v>0</v>
      </c>
      <c r="V39" s="36">
        <v>4</v>
      </c>
      <c r="W39" s="37">
        <v>3</v>
      </c>
      <c r="X39" s="37">
        <v>0</v>
      </c>
      <c r="Y39" s="37">
        <v>0</v>
      </c>
      <c r="Z39" s="37">
        <v>0</v>
      </c>
      <c r="AA39" s="37">
        <v>0</v>
      </c>
      <c r="AB39" s="37">
        <v>0</v>
      </c>
      <c r="AC39" s="40">
        <v>0</v>
      </c>
      <c r="AD39" s="59">
        <f>SUM(V39:AC39)</f>
        <v>7</v>
      </c>
      <c r="AF39" s="36">
        <v>3</v>
      </c>
      <c r="AG39" s="37">
        <v>1</v>
      </c>
      <c r="AH39" s="37">
        <v>0</v>
      </c>
      <c r="AI39" s="37">
        <v>0</v>
      </c>
      <c r="AJ39" s="37">
        <v>0</v>
      </c>
      <c r="AK39" s="37">
        <v>0</v>
      </c>
      <c r="AL39" s="37">
        <v>4</v>
      </c>
      <c r="AM39" s="40">
        <v>0</v>
      </c>
      <c r="AN39" s="59">
        <f>SUM(AF39:AM39)</f>
        <v>8</v>
      </c>
      <c r="AP39" s="59">
        <f>SUM(J39+T39+AD39+AN39)</f>
        <v>15</v>
      </c>
    </row>
    <row r="40" spans="1:42" ht="15.75" customHeight="1">
      <c r="A40" s="60">
        <v>0.53125</v>
      </c>
      <c r="B40" s="41">
        <v>0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3">
        <v>0</v>
      </c>
      <c r="J40" s="61">
        <f>SUM(B40:I40)</f>
        <v>0</v>
      </c>
      <c r="L40" s="41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2</v>
      </c>
      <c r="S40" s="43">
        <v>0</v>
      </c>
      <c r="T40" s="61">
        <f>SUM(L40:S40)</f>
        <v>2</v>
      </c>
      <c r="V40" s="41">
        <v>10</v>
      </c>
      <c r="W40" s="42">
        <v>3</v>
      </c>
      <c r="X40" s="42">
        <v>0</v>
      </c>
      <c r="Y40" s="42">
        <v>0</v>
      </c>
      <c r="Z40" s="42">
        <v>0</v>
      </c>
      <c r="AA40" s="42">
        <v>0</v>
      </c>
      <c r="AB40" s="42">
        <v>2</v>
      </c>
      <c r="AC40" s="43">
        <v>0</v>
      </c>
      <c r="AD40" s="61">
        <f>SUM(V40:AC40)</f>
        <v>15</v>
      </c>
      <c r="AF40" s="41">
        <v>3</v>
      </c>
      <c r="AG40" s="42">
        <v>1</v>
      </c>
      <c r="AH40" s="42">
        <v>0</v>
      </c>
      <c r="AI40" s="42">
        <v>0</v>
      </c>
      <c r="AJ40" s="42">
        <v>0</v>
      </c>
      <c r="AK40" s="42">
        <v>1</v>
      </c>
      <c r="AL40" s="42">
        <v>11</v>
      </c>
      <c r="AM40" s="43">
        <v>0</v>
      </c>
      <c r="AN40" s="61">
        <f>SUM(AF40:AM40)</f>
        <v>16</v>
      </c>
      <c r="AP40" s="61">
        <f>SUM(J40+T40+AD40+AN40)</f>
        <v>33</v>
      </c>
    </row>
    <row r="41" spans="1:42" ht="15.75" customHeight="1">
      <c r="A41" s="48" t="s">
        <v>29</v>
      </c>
      <c r="B41" s="45">
        <f t="shared" ref="B41:J41" si="20">SUM(B37:B40)</f>
        <v>0</v>
      </c>
      <c r="C41" s="46">
        <f t="shared" si="20"/>
        <v>0</v>
      </c>
      <c r="D41" s="46">
        <f t="shared" si="20"/>
        <v>0</v>
      </c>
      <c r="E41" s="46">
        <f t="shared" si="20"/>
        <v>0</v>
      </c>
      <c r="F41" s="46">
        <f t="shared" si="20"/>
        <v>0</v>
      </c>
      <c r="G41" s="46">
        <f t="shared" si="20"/>
        <v>0</v>
      </c>
      <c r="H41" s="46">
        <f t="shared" si="20"/>
        <v>0</v>
      </c>
      <c r="I41" s="47">
        <f t="shared" si="20"/>
        <v>0</v>
      </c>
      <c r="J41" s="48">
        <f t="shared" si="20"/>
        <v>0</v>
      </c>
      <c r="L41" s="45">
        <f t="shared" ref="L41:T41" si="21">SUM(L37:L40)</f>
        <v>0</v>
      </c>
      <c r="M41" s="46">
        <f t="shared" si="21"/>
        <v>0</v>
      </c>
      <c r="N41" s="46">
        <f t="shared" si="21"/>
        <v>0</v>
      </c>
      <c r="O41" s="46">
        <f t="shared" si="21"/>
        <v>0</v>
      </c>
      <c r="P41" s="46">
        <f t="shared" si="21"/>
        <v>0</v>
      </c>
      <c r="Q41" s="46">
        <f t="shared" si="21"/>
        <v>0</v>
      </c>
      <c r="R41" s="46">
        <f t="shared" si="21"/>
        <v>2</v>
      </c>
      <c r="S41" s="47">
        <f t="shared" si="21"/>
        <v>0</v>
      </c>
      <c r="T41" s="48">
        <f t="shared" si="21"/>
        <v>2</v>
      </c>
      <c r="V41" s="45">
        <f t="shared" ref="V41:AD41" si="22">SUM(V37:V40)</f>
        <v>28</v>
      </c>
      <c r="W41" s="46">
        <f t="shared" si="22"/>
        <v>11</v>
      </c>
      <c r="X41" s="46">
        <f t="shared" si="22"/>
        <v>1</v>
      </c>
      <c r="Y41" s="46">
        <f t="shared" si="22"/>
        <v>0</v>
      </c>
      <c r="Z41" s="46">
        <f t="shared" si="22"/>
        <v>0</v>
      </c>
      <c r="AA41" s="46">
        <f t="shared" si="22"/>
        <v>0</v>
      </c>
      <c r="AB41" s="46">
        <f t="shared" si="22"/>
        <v>6</v>
      </c>
      <c r="AC41" s="47">
        <f t="shared" si="22"/>
        <v>0</v>
      </c>
      <c r="AD41" s="48">
        <f t="shared" si="22"/>
        <v>46</v>
      </c>
      <c r="AF41" s="45">
        <f t="shared" ref="AF41:AN41" si="23">SUM(AF37:AF40)</f>
        <v>15</v>
      </c>
      <c r="AG41" s="46">
        <f t="shared" si="23"/>
        <v>3</v>
      </c>
      <c r="AH41" s="46">
        <f t="shared" si="23"/>
        <v>1</v>
      </c>
      <c r="AI41" s="46">
        <f t="shared" si="23"/>
        <v>0</v>
      </c>
      <c r="AJ41" s="46">
        <f t="shared" si="23"/>
        <v>0</v>
      </c>
      <c r="AK41" s="46">
        <f t="shared" si="23"/>
        <v>1</v>
      </c>
      <c r="AL41" s="46">
        <f t="shared" si="23"/>
        <v>27</v>
      </c>
      <c r="AM41" s="47">
        <f t="shared" si="23"/>
        <v>0</v>
      </c>
      <c r="AN41" s="48">
        <f t="shared" si="23"/>
        <v>47</v>
      </c>
      <c r="AP41" s="48">
        <f>SUM(AP37:AP40)</f>
        <v>95</v>
      </c>
    </row>
    <row r="43" spans="1:42" ht="15.75" customHeight="1">
      <c r="A43" s="48" t="s">
        <v>30</v>
      </c>
      <c r="B43" s="45">
        <f t="shared" ref="B43:J43" si="24">SUM(B41+B36+B31+B26+B21+B16)</f>
        <v>0</v>
      </c>
      <c r="C43" s="46">
        <f t="shared" si="24"/>
        <v>1</v>
      </c>
      <c r="D43" s="46">
        <f t="shared" si="24"/>
        <v>0</v>
      </c>
      <c r="E43" s="46">
        <f t="shared" si="24"/>
        <v>0</v>
      </c>
      <c r="F43" s="46">
        <f t="shared" si="24"/>
        <v>0</v>
      </c>
      <c r="G43" s="46">
        <f t="shared" si="24"/>
        <v>0</v>
      </c>
      <c r="H43" s="46">
        <f t="shared" si="24"/>
        <v>0</v>
      </c>
      <c r="I43" s="47">
        <f t="shared" si="24"/>
        <v>0</v>
      </c>
      <c r="J43" s="48">
        <f t="shared" si="24"/>
        <v>1</v>
      </c>
      <c r="L43" s="45">
        <f t="shared" ref="L43:T43" si="25">SUM(L41+L36+L31+L26+L21+L16)</f>
        <v>0</v>
      </c>
      <c r="M43" s="46">
        <f t="shared" si="25"/>
        <v>0</v>
      </c>
      <c r="N43" s="46">
        <f t="shared" si="25"/>
        <v>0</v>
      </c>
      <c r="O43" s="46">
        <f t="shared" si="25"/>
        <v>0</v>
      </c>
      <c r="P43" s="46">
        <f t="shared" si="25"/>
        <v>0</v>
      </c>
      <c r="Q43" s="46">
        <f t="shared" si="25"/>
        <v>0</v>
      </c>
      <c r="R43" s="46">
        <f t="shared" si="25"/>
        <v>2</v>
      </c>
      <c r="S43" s="47">
        <f t="shared" si="25"/>
        <v>0</v>
      </c>
      <c r="T43" s="48">
        <f t="shared" si="25"/>
        <v>2</v>
      </c>
      <c r="V43" s="45">
        <f t="shared" ref="V43:AD43" si="26">SUM(V41+V36+V31+V26+V21+V16)</f>
        <v>116</v>
      </c>
      <c r="W43" s="46">
        <f t="shared" si="26"/>
        <v>35</v>
      </c>
      <c r="X43" s="46">
        <f t="shared" si="26"/>
        <v>4</v>
      </c>
      <c r="Y43" s="46">
        <f t="shared" si="26"/>
        <v>2</v>
      </c>
      <c r="Z43" s="46">
        <f t="shared" si="26"/>
        <v>0</v>
      </c>
      <c r="AA43" s="46">
        <f t="shared" si="26"/>
        <v>0</v>
      </c>
      <c r="AB43" s="46">
        <f t="shared" si="26"/>
        <v>43</v>
      </c>
      <c r="AC43" s="47">
        <f t="shared" si="26"/>
        <v>0</v>
      </c>
      <c r="AD43" s="48">
        <f t="shared" si="26"/>
        <v>200</v>
      </c>
      <c r="AF43" s="45">
        <f t="shared" ref="AF43:AN43" si="27">SUM(AF41+AF36+AF31+AF26+AF21+AF16)</f>
        <v>85</v>
      </c>
      <c r="AG43" s="46">
        <f t="shared" si="27"/>
        <v>21</v>
      </c>
      <c r="AH43" s="46">
        <f t="shared" si="27"/>
        <v>5</v>
      </c>
      <c r="AI43" s="46">
        <f t="shared" si="27"/>
        <v>0</v>
      </c>
      <c r="AJ43" s="46">
        <f t="shared" si="27"/>
        <v>0</v>
      </c>
      <c r="AK43" s="46">
        <f t="shared" si="27"/>
        <v>1</v>
      </c>
      <c r="AL43" s="46">
        <f t="shared" si="27"/>
        <v>160</v>
      </c>
      <c r="AM43" s="47">
        <f t="shared" si="27"/>
        <v>1</v>
      </c>
      <c r="AN43" s="48">
        <f t="shared" si="27"/>
        <v>273</v>
      </c>
      <c r="AP43" s="48">
        <f>SUM(AP41+AP36+AP31+AP26+AP21+AP16)</f>
        <v>476</v>
      </c>
    </row>
    <row r="45" spans="1:42" ht="15.75" customHeight="1">
      <c r="A45" s="44" t="s">
        <v>14</v>
      </c>
      <c r="B45" s="44" t="str">
        <f>$D$9</f>
        <v>Arm A - Wapping Road</v>
      </c>
    </row>
    <row r="46" spans="1:42" ht="15.75" customHeight="1">
      <c r="B46" s="45" t="s">
        <v>16</v>
      </c>
      <c r="C46" s="46"/>
      <c r="D46" s="46" t="str">
        <f>$D$9</f>
        <v>Arm A - Wapping Road</v>
      </c>
      <c r="E46" s="46"/>
      <c r="F46" s="46"/>
      <c r="G46" s="46"/>
      <c r="H46" s="46"/>
      <c r="I46" s="47"/>
      <c r="J46" s="48"/>
      <c r="L46" s="45" t="s">
        <v>16</v>
      </c>
      <c r="M46" s="46"/>
      <c r="N46" s="46" t="str">
        <f>$N$9</f>
        <v>Arm B - River Path</v>
      </c>
      <c r="O46" s="46"/>
      <c r="P46" s="46"/>
      <c r="Q46" s="46"/>
      <c r="R46" s="46"/>
      <c r="S46" s="47"/>
      <c r="T46" s="48"/>
      <c r="V46" s="45" t="s">
        <v>16</v>
      </c>
      <c r="W46" s="46"/>
      <c r="X46" s="46" t="str">
        <f>$X$9</f>
        <v>Arm C - Commerical Road</v>
      </c>
      <c r="Y46" s="46"/>
      <c r="Z46" s="46"/>
      <c r="AA46" s="46"/>
      <c r="AB46" s="46"/>
      <c r="AC46" s="47"/>
      <c r="AD46" s="48"/>
      <c r="AF46" s="45" t="s">
        <v>16</v>
      </c>
      <c r="AG46" s="46"/>
      <c r="AH46" s="46" t="str">
        <f>$AH$9</f>
        <v>Arm D - Cumberland Road</v>
      </c>
      <c r="AI46" s="46"/>
      <c r="AJ46" s="46"/>
      <c r="AK46" s="46"/>
      <c r="AL46" s="46"/>
      <c r="AM46" s="47"/>
      <c r="AN46" s="48"/>
      <c r="AP46" s="49" t="s">
        <v>28</v>
      </c>
    </row>
    <row r="47" spans="1:42" s="50" customFormat="1" ht="15.75" customHeight="1">
      <c r="B47" s="51" t="str">
        <f>$B$10</f>
        <v>CAR</v>
      </c>
      <c r="C47" s="52" t="str">
        <f>$C$10</f>
        <v>LGV</v>
      </c>
      <c r="D47" s="52" t="str">
        <f>$D$10</f>
        <v>OGV1</v>
      </c>
      <c r="E47" s="52" t="str">
        <f>$E$10</f>
        <v>OGV2</v>
      </c>
      <c r="F47" s="52" t="str">
        <f>$F$10</f>
        <v>PSV</v>
      </c>
      <c r="G47" s="52" t="str">
        <f>$G$10</f>
        <v>MC</v>
      </c>
      <c r="H47" s="52" t="str">
        <f>$H$10</f>
        <v>PC</v>
      </c>
      <c r="I47" s="53" t="str">
        <f>$I$10</f>
        <v>PC</v>
      </c>
      <c r="J47" s="54" t="s">
        <v>24</v>
      </c>
      <c r="L47" s="51" t="str">
        <f>$B$10</f>
        <v>CAR</v>
      </c>
      <c r="M47" s="52" t="str">
        <f>$C$10</f>
        <v>LGV</v>
      </c>
      <c r="N47" s="52" t="str">
        <f>$D$10</f>
        <v>OGV1</v>
      </c>
      <c r="O47" s="52" t="str">
        <f>$E$10</f>
        <v>OGV2</v>
      </c>
      <c r="P47" s="52" t="str">
        <f>$F$10</f>
        <v>PSV</v>
      </c>
      <c r="Q47" s="52" t="str">
        <f>$G$10</f>
        <v>MC</v>
      </c>
      <c r="R47" s="52" t="str">
        <f>$H$10</f>
        <v>PC</v>
      </c>
      <c r="S47" s="53" t="str">
        <f>$I$10</f>
        <v>PC</v>
      </c>
      <c r="T47" s="54" t="s">
        <v>24</v>
      </c>
      <c r="V47" s="51" t="str">
        <f>$B$10</f>
        <v>CAR</v>
      </c>
      <c r="W47" s="52" t="str">
        <f>$C$10</f>
        <v>LGV</v>
      </c>
      <c r="X47" s="52" t="str">
        <f>$D$10</f>
        <v>OGV1</v>
      </c>
      <c r="Y47" s="52" t="str">
        <f>$E$10</f>
        <v>OGV2</v>
      </c>
      <c r="Z47" s="52" t="str">
        <f>$F$10</f>
        <v>PSV</v>
      </c>
      <c r="AA47" s="52" t="str">
        <f>$G$10</f>
        <v>MC</v>
      </c>
      <c r="AB47" s="52" t="str">
        <f>$H$10</f>
        <v>PC</v>
      </c>
      <c r="AC47" s="53" t="str">
        <f>$I$10</f>
        <v>PC</v>
      </c>
      <c r="AD47" s="54" t="s">
        <v>24</v>
      </c>
      <c r="AF47" s="51" t="str">
        <f>$B$10</f>
        <v>CAR</v>
      </c>
      <c r="AG47" s="52" t="str">
        <f>$C$10</f>
        <v>LGV</v>
      </c>
      <c r="AH47" s="52" t="str">
        <f>$D$10</f>
        <v>OGV1</v>
      </c>
      <c r="AI47" s="52" t="str">
        <f>$E$10</f>
        <v>OGV2</v>
      </c>
      <c r="AJ47" s="52" t="str">
        <f>$F$10</f>
        <v>PSV</v>
      </c>
      <c r="AK47" s="52" t="str">
        <f>$G$10</f>
        <v>MC</v>
      </c>
      <c r="AL47" s="52" t="str">
        <f>$H$10</f>
        <v>PC</v>
      </c>
      <c r="AM47" s="53" t="str">
        <f>$I$10</f>
        <v>PC</v>
      </c>
      <c r="AN47" s="54" t="s">
        <v>24</v>
      </c>
      <c r="AP47" s="55"/>
    </row>
    <row r="49" spans="1:42" ht="15.75" customHeight="1">
      <c r="A49" s="56">
        <v>0.54166666666666663</v>
      </c>
      <c r="B49" s="32">
        <v>0</v>
      </c>
      <c r="C49" s="33">
        <v>0</v>
      </c>
      <c r="D49" s="33">
        <v>0</v>
      </c>
      <c r="E49" s="33">
        <v>0</v>
      </c>
      <c r="F49" s="33">
        <v>0</v>
      </c>
      <c r="G49" s="33">
        <v>0</v>
      </c>
      <c r="H49" s="33">
        <v>0</v>
      </c>
      <c r="I49" s="34">
        <v>0</v>
      </c>
      <c r="J49" s="57">
        <f>SUM(B49:I49)</f>
        <v>0</v>
      </c>
      <c r="L49" s="32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4">
        <v>0</v>
      </c>
      <c r="T49" s="57">
        <f>SUM(L49:S49)</f>
        <v>0</v>
      </c>
      <c r="V49" s="32">
        <v>9</v>
      </c>
      <c r="W49" s="33">
        <v>1</v>
      </c>
      <c r="X49" s="33">
        <v>0</v>
      </c>
      <c r="Y49" s="33">
        <v>0</v>
      </c>
      <c r="Z49" s="33">
        <v>0</v>
      </c>
      <c r="AA49" s="33">
        <v>1</v>
      </c>
      <c r="AB49" s="33">
        <v>3</v>
      </c>
      <c r="AC49" s="34">
        <v>0</v>
      </c>
      <c r="AD49" s="57">
        <f>SUM(V49:AC49)</f>
        <v>14</v>
      </c>
      <c r="AF49" s="32">
        <v>6</v>
      </c>
      <c r="AG49" s="33">
        <v>2</v>
      </c>
      <c r="AH49" s="33">
        <v>1</v>
      </c>
      <c r="AI49" s="33">
        <v>0</v>
      </c>
      <c r="AJ49" s="33">
        <v>0</v>
      </c>
      <c r="AK49" s="33">
        <v>0</v>
      </c>
      <c r="AL49" s="33">
        <v>11</v>
      </c>
      <c r="AM49" s="34">
        <v>0</v>
      </c>
      <c r="AN49" s="57">
        <f>SUM(AF49:AM49)</f>
        <v>20</v>
      </c>
      <c r="AP49" s="57">
        <f>SUM(J49+T49+AD49+AN49)</f>
        <v>34</v>
      </c>
    </row>
    <row r="50" spans="1:42" ht="15.75" customHeight="1">
      <c r="A50" s="58">
        <v>0.55208333333333337</v>
      </c>
      <c r="B50" s="36">
        <v>0</v>
      </c>
      <c r="C50" s="37">
        <v>0</v>
      </c>
      <c r="D50" s="37">
        <v>0</v>
      </c>
      <c r="E50" s="37">
        <v>0</v>
      </c>
      <c r="F50" s="37">
        <v>0</v>
      </c>
      <c r="G50" s="37">
        <v>0</v>
      </c>
      <c r="H50" s="37">
        <v>0</v>
      </c>
      <c r="I50" s="40">
        <v>0</v>
      </c>
      <c r="J50" s="59">
        <f>SUM(B50:I50)</f>
        <v>0</v>
      </c>
      <c r="L50" s="36">
        <v>0</v>
      </c>
      <c r="M50" s="37">
        <v>0</v>
      </c>
      <c r="N50" s="37">
        <v>0</v>
      </c>
      <c r="O50" s="37">
        <v>0</v>
      </c>
      <c r="P50" s="37">
        <v>0</v>
      </c>
      <c r="Q50" s="37">
        <v>0</v>
      </c>
      <c r="R50" s="37">
        <v>0</v>
      </c>
      <c r="S50" s="40">
        <v>0</v>
      </c>
      <c r="T50" s="59">
        <f>SUM(L50:S50)</f>
        <v>0</v>
      </c>
      <c r="V50" s="36">
        <v>3</v>
      </c>
      <c r="W50" s="37">
        <v>0</v>
      </c>
      <c r="X50" s="37">
        <v>0</v>
      </c>
      <c r="Y50" s="37">
        <v>0</v>
      </c>
      <c r="Z50" s="37">
        <v>0</v>
      </c>
      <c r="AA50" s="37">
        <v>0</v>
      </c>
      <c r="AB50" s="37">
        <v>1</v>
      </c>
      <c r="AC50" s="40">
        <v>0</v>
      </c>
      <c r="AD50" s="59">
        <f>SUM(V50:AC50)</f>
        <v>4</v>
      </c>
      <c r="AF50" s="36">
        <v>5</v>
      </c>
      <c r="AG50" s="37">
        <v>1</v>
      </c>
      <c r="AH50" s="37">
        <v>0</v>
      </c>
      <c r="AI50" s="37">
        <v>0</v>
      </c>
      <c r="AJ50" s="37">
        <v>0</v>
      </c>
      <c r="AK50" s="37">
        <v>0</v>
      </c>
      <c r="AL50" s="37">
        <v>11</v>
      </c>
      <c r="AM50" s="40">
        <v>1</v>
      </c>
      <c r="AN50" s="59">
        <f>SUM(AF50:AM50)</f>
        <v>18</v>
      </c>
      <c r="AP50" s="59">
        <f>SUM(J50+T50+AD50+AN50)</f>
        <v>22</v>
      </c>
    </row>
    <row r="51" spans="1:42" ht="15.75" customHeight="1">
      <c r="A51" s="58">
        <v>0.5625</v>
      </c>
      <c r="B51" s="36">
        <v>0</v>
      </c>
      <c r="C51" s="37">
        <v>0</v>
      </c>
      <c r="D51" s="37">
        <v>0</v>
      </c>
      <c r="E51" s="37">
        <v>0</v>
      </c>
      <c r="F51" s="37">
        <v>0</v>
      </c>
      <c r="G51" s="37">
        <v>0</v>
      </c>
      <c r="H51" s="37">
        <v>0</v>
      </c>
      <c r="I51" s="40">
        <v>0</v>
      </c>
      <c r="J51" s="59">
        <f>SUM(B51:I51)</f>
        <v>0</v>
      </c>
      <c r="L51" s="36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40">
        <v>0</v>
      </c>
      <c r="T51" s="59">
        <f>SUM(L51:S51)</f>
        <v>0</v>
      </c>
      <c r="V51" s="36">
        <v>9</v>
      </c>
      <c r="W51" s="37">
        <v>3</v>
      </c>
      <c r="X51" s="37">
        <v>0</v>
      </c>
      <c r="Y51" s="37">
        <v>0</v>
      </c>
      <c r="Z51" s="37">
        <v>0</v>
      </c>
      <c r="AA51" s="37">
        <v>0</v>
      </c>
      <c r="AB51" s="37">
        <v>1</v>
      </c>
      <c r="AC51" s="40">
        <v>0</v>
      </c>
      <c r="AD51" s="59">
        <f>SUM(V51:AC51)</f>
        <v>13</v>
      </c>
      <c r="AF51" s="36">
        <v>3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7</v>
      </c>
      <c r="AM51" s="40">
        <v>1</v>
      </c>
      <c r="AN51" s="59">
        <f>SUM(AF51:AM51)</f>
        <v>11</v>
      </c>
      <c r="AP51" s="59">
        <f>SUM(J51+T51+AD51+AN51)</f>
        <v>24</v>
      </c>
    </row>
    <row r="52" spans="1:42" ht="15.75" customHeight="1">
      <c r="A52" s="60">
        <v>0.57291666666666663</v>
      </c>
      <c r="B52" s="41">
        <v>0</v>
      </c>
      <c r="C52" s="42">
        <v>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3">
        <v>0</v>
      </c>
      <c r="J52" s="61">
        <f>SUM(B52:I52)</f>
        <v>0</v>
      </c>
      <c r="L52" s="41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43">
        <v>0</v>
      </c>
      <c r="T52" s="61">
        <f>SUM(L52:S52)</f>
        <v>0</v>
      </c>
      <c r="V52" s="41">
        <v>8</v>
      </c>
      <c r="W52" s="42">
        <v>1</v>
      </c>
      <c r="X52" s="42">
        <v>0</v>
      </c>
      <c r="Y52" s="42">
        <v>0</v>
      </c>
      <c r="Z52" s="42">
        <v>0</v>
      </c>
      <c r="AA52" s="42">
        <v>0</v>
      </c>
      <c r="AB52" s="42">
        <v>4</v>
      </c>
      <c r="AC52" s="43">
        <v>0</v>
      </c>
      <c r="AD52" s="61">
        <f>SUM(V52:AC52)</f>
        <v>13</v>
      </c>
      <c r="AF52" s="41">
        <v>7</v>
      </c>
      <c r="AG52" s="42">
        <v>0</v>
      </c>
      <c r="AH52" s="42">
        <v>0</v>
      </c>
      <c r="AI52" s="42">
        <v>0</v>
      </c>
      <c r="AJ52" s="42">
        <v>0</v>
      </c>
      <c r="AK52" s="42">
        <v>0</v>
      </c>
      <c r="AL52" s="42">
        <v>12</v>
      </c>
      <c r="AM52" s="43">
        <v>0</v>
      </c>
      <c r="AN52" s="61">
        <f>SUM(AF52:AM52)</f>
        <v>19</v>
      </c>
      <c r="AP52" s="61">
        <f>SUM(J52+T52+AD52+AN52)</f>
        <v>32</v>
      </c>
    </row>
    <row r="53" spans="1:42" ht="15.75" customHeight="1">
      <c r="A53" s="48" t="s">
        <v>29</v>
      </c>
      <c r="B53" s="45">
        <f t="shared" ref="B53:J53" si="28">SUM(B49:B52)</f>
        <v>0</v>
      </c>
      <c r="C53" s="46">
        <f t="shared" si="28"/>
        <v>0</v>
      </c>
      <c r="D53" s="46">
        <f t="shared" si="28"/>
        <v>0</v>
      </c>
      <c r="E53" s="46">
        <f t="shared" si="28"/>
        <v>0</v>
      </c>
      <c r="F53" s="46">
        <f t="shared" si="28"/>
        <v>0</v>
      </c>
      <c r="G53" s="46">
        <f t="shared" si="28"/>
        <v>0</v>
      </c>
      <c r="H53" s="46">
        <f t="shared" si="28"/>
        <v>0</v>
      </c>
      <c r="I53" s="47">
        <f t="shared" si="28"/>
        <v>0</v>
      </c>
      <c r="J53" s="48">
        <f t="shared" si="28"/>
        <v>0</v>
      </c>
      <c r="L53" s="45">
        <f t="shared" ref="L53:T53" si="29">SUM(L49:L52)</f>
        <v>0</v>
      </c>
      <c r="M53" s="46">
        <f t="shared" si="29"/>
        <v>0</v>
      </c>
      <c r="N53" s="46">
        <f t="shared" si="29"/>
        <v>0</v>
      </c>
      <c r="O53" s="46">
        <f t="shared" si="29"/>
        <v>0</v>
      </c>
      <c r="P53" s="46">
        <f t="shared" si="29"/>
        <v>0</v>
      </c>
      <c r="Q53" s="46">
        <f t="shared" si="29"/>
        <v>0</v>
      </c>
      <c r="R53" s="46">
        <f t="shared" si="29"/>
        <v>0</v>
      </c>
      <c r="S53" s="47">
        <f t="shared" si="29"/>
        <v>0</v>
      </c>
      <c r="T53" s="48">
        <f t="shared" si="29"/>
        <v>0</v>
      </c>
      <c r="V53" s="45">
        <f t="shared" ref="V53:AD53" si="30">SUM(V49:V52)</f>
        <v>29</v>
      </c>
      <c r="W53" s="46">
        <f t="shared" si="30"/>
        <v>5</v>
      </c>
      <c r="X53" s="46">
        <f t="shared" si="30"/>
        <v>0</v>
      </c>
      <c r="Y53" s="46">
        <f t="shared" si="30"/>
        <v>0</v>
      </c>
      <c r="Z53" s="46">
        <f t="shared" si="30"/>
        <v>0</v>
      </c>
      <c r="AA53" s="46">
        <f t="shared" si="30"/>
        <v>1</v>
      </c>
      <c r="AB53" s="46">
        <f t="shared" si="30"/>
        <v>9</v>
      </c>
      <c r="AC53" s="47">
        <f t="shared" si="30"/>
        <v>0</v>
      </c>
      <c r="AD53" s="48">
        <f t="shared" si="30"/>
        <v>44</v>
      </c>
      <c r="AF53" s="45">
        <f t="shared" ref="AF53:AN53" si="31">SUM(AF49:AF52)</f>
        <v>21</v>
      </c>
      <c r="AG53" s="46">
        <f t="shared" si="31"/>
        <v>3</v>
      </c>
      <c r="AH53" s="46">
        <f t="shared" si="31"/>
        <v>1</v>
      </c>
      <c r="AI53" s="46">
        <f t="shared" si="31"/>
        <v>0</v>
      </c>
      <c r="AJ53" s="46">
        <f t="shared" si="31"/>
        <v>0</v>
      </c>
      <c r="AK53" s="46">
        <f t="shared" si="31"/>
        <v>0</v>
      </c>
      <c r="AL53" s="46">
        <f t="shared" si="31"/>
        <v>41</v>
      </c>
      <c r="AM53" s="47">
        <f t="shared" si="31"/>
        <v>2</v>
      </c>
      <c r="AN53" s="48">
        <f t="shared" si="31"/>
        <v>68</v>
      </c>
      <c r="AP53" s="48">
        <f>SUM(AP49:AP52)</f>
        <v>112</v>
      </c>
    </row>
    <row r="54" spans="1:42" ht="15.75" customHeight="1">
      <c r="A54" s="56">
        <v>0.58333333333333337</v>
      </c>
      <c r="B54" s="32">
        <v>0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4">
        <v>0</v>
      </c>
      <c r="J54" s="57">
        <f>SUM(B54:I54)</f>
        <v>0</v>
      </c>
      <c r="L54" s="3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4">
        <v>0</v>
      </c>
      <c r="T54" s="57">
        <f>SUM(L54:S54)</f>
        <v>0</v>
      </c>
      <c r="V54" s="32">
        <v>8</v>
      </c>
      <c r="W54" s="33">
        <v>3</v>
      </c>
      <c r="X54" s="33">
        <v>0</v>
      </c>
      <c r="Y54" s="33">
        <v>0</v>
      </c>
      <c r="Z54" s="33">
        <v>0</v>
      </c>
      <c r="AA54" s="33">
        <v>0</v>
      </c>
      <c r="AB54" s="33">
        <v>3</v>
      </c>
      <c r="AC54" s="34">
        <v>0</v>
      </c>
      <c r="AD54" s="57">
        <f>SUM(V54:AC54)</f>
        <v>14</v>
      </c>
      <c r="AF54" s="32">
        <v>6</v>
      </c>
      <c r="AG54" s="33">
        <v>1</v>
      </c>
      <c r="AH54" s="33">
        <v>0</v>
      </c>
      <c r="AI54" s="33">
        <v>0</v>
      </c>
      <c r="AJ54" s="33">
        <v>0</v>
      </c>
      <c r="AK54" s="33">
        <v>1</v>
      </c>
      <c r="AL54" s="33">
        <v>9</v>
      </c>
      <c r="AM54" s="34">
        <v>0</v>
      </c>
      <c r="AN54" s="57">
        <f>SUM(AF54:AM54)</f>
        <v>17</v>
      </c>
      <c r="AP54" s="57">
        <f>SUM(J54+T54+AD54+AN54)</f>
        <v>31</v>
      </c>
    </row>
    <row r="55" spans="1:42" ht="15.75" customHeight="1">
      <c r="A55" s="58">
        <v>0.59375</v>
      </c>
      <c r="B55" s="36">
        <v>0</v>
      </c>
      <c r="C55" s="37">
        <v>0</v>
      </c>
      <c r="D55" s="37">
        <v>0</v>
      </c>
      <c r="E55" s="37">
        <v>0</v>
      </c>
      <c r="F55" s="37">
        <v>0</v>
      </c>
      <c r="G55" s="37">
        <v>0</v>
      </c>
      <c r="H55" s="37">
        <v>0</v>
      </c>
      <c r="I55" s="40">
        <v>0</v>
      </c>
      <c r="J55" s="59">
        <f>SUM(B55:I55)</f>
        <v>0</v>
      </c>
      <c r="L55" s="36">
        <v>0</v>
      </c>
      <c r="M55" s="37">
        <v>0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40">
        <v>0</v>
      </c>
      <c r="T55" s="59">
        <f>SUM(L55:S55)</f>
        <v>0</v>
      </c>
      <c r="V55" s="36">
        <v>6</v>
      </c>
      <c r="W55" s="37">
        <v>1</v>
      </c>
      <c r="X55" s="37">
        <v>0</v>
      </c>
      <c r="Y55" s="37">
        <v>0</v>
      </c>
      <c r="Z55" s="37">
        <v>0</v>
      </c>
      <c r="AA55" s="37">
        <v>0</v>
      </c>
      <c r="AB55" s="37">
        <v>1</v>
      </c>
      <c r="AC55" s="40">
        <v>0</v>
      </c>
      <c r="AD55" s="59">
        <f>SUM(V55:AC55)</f>
        <v>8</v>
      </c>
      <c r="AF55" s="36">
        <v>13</v>
      </c>
      <c r="AG55" s="37">
        <v>1</v>
      </c>
      <c r="AH55" s="37">
        <v>0</v>
      </c>
      <c r="AI55" s="37">
        <v>0</v>
      </c>
      <c r="AJ55" s="37">
        <v>0</v>
      </c>
      <c r="AK55" s="37">
        <v>0</v>
      </c>
      <c r="AL55" s="37">
        <v>12</v>
      </c>
      <c r="AM55" s="40">
        <v>0</v>
      </c>
      <c r="AN55" s="59">
        <f>SUM(AF55:AM55)</f>
        <v>26</v>
      </c>
      <c r="AP55" s="59">
        <f>SUM(J55+T55+AD55+AN55)</f>
        <v>34</v>
      </c>
    </row>
    <row r="56" spans="1:42" ht="15.75" customHeight="1">
      <c r="A56" s="58">
        <v>0.60416666666666663</v>
      </c>
      <c r="B56" s="36">
        <v>0</v>
      </c>
      <c r="C56" s="37">
        <v>0</v>
      </c>
      <c r="D56" s="37">
        <v>0</v>
      </c>
      <c r="E56" s="37">
        <v>0</v>
      </c>
      <c r="F56" s="37">
        <v>0</v>
      </c>
      <c r="G56" s="37">
        <v>0</v>
      </c>
      <c r="H56" s="37">
        <v>0</v>
      </c>
      <c r="I56" s="40">
        <v>0</v>
      </c>
      <c r="J56" s="59">
        <f>SUM(B56:I56)</f>
        <v>0</v>
      </c>
      <c r="L56" s="36">
        <v>0</v>
      </c>
      <c r="M56" s="37">
        <v>0</v>
      </c>
      <c r="N56" s="37">
        <v>0</v>
      </c>
      <c r="O56" s="37">
        <v>0</v>
      </c>
      <c r="P56" s="37">
        <v>0</v>
      </c>
      <c r="Q56" s="37">
        <v>0</v>
      </c>
      <c r="R56" s="37">
        <v>0</v>
      </c>
      <c r="S56" s="40">
        <v>0</v>
      </c>
      <c r="T56" s="59">
        <f>SUM(L56:S56)</f>
        <v>0</v>
      </c>
      <c r="V56" s="36">
        <v>9</v>
      </c>
      <c r="W56" s="37">
        <v>2</v>
      </c>
      <c r="X56" s="37">
        <v>0</v>
      </c>
      <c r="Y56" s="37">
        <v>0</v>
      </c>
      <c r="Z56" s="37">
        <v>0</v>
      </c>
      <c r="AA56" s="37">
        <v>0</v>
      </c>
      <c r="AB56" s="37">
        <v>4</v>
      </c>
      <c r="AC56" s="40">
        <v>0</v>
      </c>
      <c r="AD56" s="59">
        <f>SUM(V56:AC56)</f>
        <v>15</v>
      </c>
      <c r="AF56" s="36">
        <v>9</v>
      </c>
      <c r="AG56" s="37">
        <v>1</v>
      </c>
      <c r="AH56" s="37">
        <v>0</v>
      </c>
      <c r="AI56" s="37">
        <v>0</v>
      </c>
      <c r="AJ56" s="37">
        <v>0</v>
      </c>
      <c r="AK56" s="37">
        <v>1</v>
      </c>
      <c r="AL56" s="37">
        <v>6</v>
      </c>
      <c r="AM56" s="40">
        <v>1</v>
      </c>
      <c r="AN56" s="59">
        <f>SUM(AF56:AM56)</f>
        <v>18</v>
      </c>
      <c r="AP56" s="59">
        <f>SUM(J56+T56+AD56+AN56)</f>
        <v>33</v>
      </c>
    </row>
    <row r="57" spans="1:42" ht="15.75" customHeight="1">
      <c r="A57" s="60">
        <v>0.61458333333333337</v>
      </c>
      <c r="B57" s="41">
        <v>0</v>
      </c>
      <c r="C57" s="42">
        <v>0</v>
      </c>
      <c r="D57" s="42">
        <v>0</v>
      </c>
      <c r="E57" s="42">
        <v>0</v>
      </c>
      <c r="F57" s="42">
        <v>0</v>
      </c>
      <c r="G57" s="42">
        <v>0</v>
      </c>
      <c r="H57" s="42">
        <v>0</v>
      </c>
      <c r="I57" s="43">
        <v>0</v>
      </c>
      <c r="J57" s="61">
        <f>SUM(B57:I57)</f>
        <v>0</v>
      </c>
      <c r="L57" s="41">
        <v>0</v>
      </c>
      <c r="M57" s="42">
        <v>0</v>
      </c>
      <c r="N57" s="42">
        <v>0</v>
      </c>
      <c r="O57" s="42">
        <v>0</v>
      </c>
      <c r="P57" s="42">
        <v>0</v>
      </c>
      <c r="Q57" s="42">
        <v>0</v>
      </c>
      <c r="R57" s="42">
        <v>0</v>
      </c>
      <c r="S57" s="43">
        <v>0</v>
      </c>
      <c r="T57" s="61">
        <f>SUM(L57:S57)</f>
        <v>0</v>
      </c>
      <c r="V57" s="41">
        <v>2</v>
      </c>
      <c r="W57" s="42">
        <v>2</v>
      </c>
      <c r="X57" s="42">
        <v>0</v>
      </c>
      <c r="Y57" s="42">
        <v>0</v>
      </c>
      <c r="Z57" s="42">
        <v>0</v>
      </c>
      <c r="AA57" s="42">
        <v>1</v>
      </c>
      <c r="AB57" s="42">
        <v>1</v>
      </c>
      <c r="AC57" s="43">
        <v>1</v>
      </c>
      <c r="AD57" s="61">
        <f>SUM(V57:AC57)</f>
        <v>7</v>
      </c>
      <c r="AF57" s="41">
        <v>8</v>
      </c>
      <c r="AG57" s="42">
        <v>19</v>
      </c>
      <c r="AH57" s="42">
        <v>0</v>
      </c>
      <c r="AI57" s="42">
        <v>0</v>
      </c>
      <c r="AJ57" s="42">
        <v>0</v>
      </c>
      <c r="AK57" s="42">
        <v>0</v>
      </c>
      <c r="AL57" s="42">
        <v>0</v>
      </c>
      <c r="AM57" s="43">
        <v>0</v>
      </c>
      <c r="AN57" s="61">
        <f>SUM(AF57:AM57)</f>
        <v>27</v>
      </c>
      <c r="AP57" s="61">
        <f>SUM(J57+T57+AD57+AN57)</f>
        <v>34</v>
      </c>
    </row>
    <row r="58" spans="1:42" ht="15.75" customHeight="1">
      <c r="A58" s="48" t="s">
        <v>29</v>
      </c>
      <c r="B58" s="45">
        <f t="shared" ref="B58:J58" si="32">SUM(B54:B57)</f>
        <v>0</v>
      </c>
      <c r="C58" s="46">
        <f t="shared" si="32"/>
        <v>0</v>
      </c>
      <c r="D58" s="46">
        <f t="shared" si="32"/>
        <v>0</v>
      </c>
      <c r="E58" s="46">
        <f t="shared" si="32"/>
        <v>0</v>
      </c>
      <c r="F58" s="46">
        <f t="shared" si="32"/>
        <v>0</v>
      </c>
      <c r="G58" s="46">
        <f t="shared" si="32"/>
        <v>0</v>
      </c>
      <c r="H58" s="46">
        <f t="shared" si="32"/>
        <v>0</v>
      </c>
      <c r="I58" s="47">
        <f t="shared" si="32"/>
        <v>0</v>
      </c>
      <c r="J58" s="48">
        <f t="shared" si="32"/>
        <v>0</v>
      </c>
      <c r="L58" s="45">
        <f t="shared" ref="L58:T58" si="33">SUM(L54:L57)</f>
        <v>0</v>
      </c>
      <c r="M58" s="46">
        <f t="shared" si="33"/>
        <v>0</v>
      </c>
      <c r="N58" s="46">
        <f t="shared" si="33"/>
        <v>0</v>
      </c>
      <c r="O58" s="46">
        <f t="shared" si="33"/>
        <v>0</v>
      </c>
      <c r="P58" s="46">
        <f t="shared" si="33"/>
        <v>0</v>
      </c>
      <c r="Q58" s="46">
        <f t="shared" si="33"/>
        <v>0</v>
      </c>
      <c r="R58" s="46">
        <f t="shared" si="33"/>
        <v>0</v>
      </c>
      <c r="S58" s="47">
        <f t="shared" si="33"/>
        <v>0</v>
      </c>
      <c r="T58" s="48">
        <f t="shared" si="33"/>
        <v>0</v>
      </c>
      <c r="V58" s="45">
        <f t="shared" ref="V58:AD58" si="34">SUM(V54:V57)</f>
        <v>25</v>
      </c>
      <c r="W58" s="46">
        <f t="shared" si="34"/>
        <v>8</v>
      </c>
      <c r="X58" s="46">
        <f t="shared" si="34"/>
        <v>0</v>
      </c>
      <c r="Y58" s="46">
        <f t="shared" si="34"/>
        <v>0</v>
      </c>
      <c r="Z58" s="46">
        <f t="shared" si="34"/>
        <v>0</v>
      </c>
      <c r="AA58" s="46">
        <f t="shared" si="34"/>
        <v>1</v>
      </c>
      <c r="AB58" s="46">
        <f t="shared" si="34"/>
        <v>9</v>
      </c>
      <c r="AC58" s="47">
        <f t="shared" si="34"/>
        <v>1</v>
      </c>
      <c r="AD58" s="48">
        <f t="shared" si="34"/>
        <v>44</v>
      </c>
      <c r="AF58" s="45">
        <f t="shared" ref="AF58:AN58" si="35">SUM(AF54:AF57)</f>
        <v>36</v>
      </c>
      <c r="AG58" s="46">
        <f t="shared" si="35"/>
        <v>22</v>
      </c>
      <c r="AH58" s="46">
        <f t="shared" si="35"/>
        <v>0</v>
      </c>
      <c r="AI58" s="46">
        <f t="shared" si="35"/>
        <v>0</v>
      </c>
      <c r="AJ58" s="46">
        <f t="shared" si="35"/>
        <v>0</v>
      </c>
      <c r="AK58" s="46">
        <f t="shared" si="35"/>
        <v>2</v>
      </c>
      <c r="AL58" s="46">
        <f t="shared" si="35"/>
        <v>27</v>
      </c>
      <c r="AM58" s="47">
        <f t="shared" si="35"/>
        <v>1</v>
      </c>
      <c r="AN58" s="48">
        <f t="shared" si="35"/>
        <v>88</v>
      </c>
      <c r="AP58" s="48">
        <f>SUM(AP54:AP57)</f>
        <v>132</v>
      </c>
    </row>
    <row r="59" spans="1:42" ht="15.75" customHeight="1">
      <c r="A59" s="56">
        <v>0.625</v>
      </c>
      <c r="B59" s="32">
        <v>0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4">
        <v>0</v>
      </c>
      <c r="J59" s="57">
        <f>SUM(B59:I59)</f>
        <v>0</v>
      </c>
      <c r="L59" s="3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4">
        <v>0</v>
      </c>
      <c r="T59" s="57">
        <f>SUM(L59:S59)</f>
        <v>0</v>
      </c>
      <c r="V59" s="32">
        <v>13</v>
      </c>
      <c r="W59" s="33">
        <v>5</v>
      </c>
      <c r="X59" s="33">
        <v>0</v>
      </c>
      <c r="Y59" s="33">
        <v>0</v>
      </c>
      <c r="Z59" s="33">
        <v>0</v>
      </c>
      <c r="AA59" s="33">
        <v>0</v>
      </c>
      <c r="AB59" s="33">
        <v>7</v>
      </c>
      <c r="AC59" s="34">
        <v>0</v>
      </c>
      <c r="AD59" s="57">
        <f>SUM(V59:AC59)</f>
        <v>25</v>
      </c>
      <c r="AF59" s="32">
        <v>5</v>
      </c>
      <c r="AG59" s="33">
        <v>3</v>
      </c>
      <c r="AH59" s="33">
        <v>0</v>
      </c>
      <c r="AI59" s="33">
        <v>0</v>
      </c>
      <c r="AJ59" s="33">
        <v>0</v>
      </c>
      <c r="AK59" s="33">
        <v>0</v>
      </c>
      <c r="AL59" s="33">
        <v>16</v>
      </c>
      <c r="AM59" s="34">
        <v>0</v>
      </c>
      <c r="AN59" s="57">
        <f>SUM(AF59:AM59)</f>
        <v>24</v>
      </c>
      <c r="AP59" s="57">
        <f>SUM(J59+T59+AD59+AN59)</f>
        <v>49</v>
      </c>
    </row>
    <row r="60" spans="1:42" ht="15.75" customHeight="1">
      <c r="A60" s="58">
        <v>0.63541666666666663</v>
      </c>
      <c r="B60" s="36">
        <v>0</v>
      </c>
      <c r="C60" s="37">
        <v>0</v>
      </c>
      <c r="D60" s="37">
        <v>0</v>
      </c>
      <c r="E60" s="37">
        <v>0</v>
      </c>
      <c r="F60" s="37">
        <v>0</v>
      </c>
      <c r="G60" s="37">
        <v>0</v>
      </c>
      <c r="H60" s="37">
        <v>0</v>
      </c>
      <c r="I60" s="40">
        <v>0</v>
      </c>
      <c r="J60" s="59">
        <f>SUM(B60:I60)</f>
        <v>0</v>
      </c>
      <c r="L60" s="36">
        <v>0</v>
      </c>
      <c r="M60" s="37">
        <v>0</v>
      </c>
      <c r="N60" s="37">
        <v>0</v>
      </c>
      <c r="O60" s="37">
        <v>0</v>
      </c>
      <c r="P60" s="37">
        <v>0</v>
      </c>
      <c r="Q60" s="37">
        <v>0</v>
      </c>
      <c r="R60" s="37">
        <v>0</v>
      </c>
      <c r="S60" s="40">
        <v>0</v>
      </c>
      <c r="T60" s="59">
        <f>SUM(L60:S60)</f>
        <v>0</v>
      </c>
      <c r="V60" s="36">
        <v>13</v>
      </c>
      <c r="W60" s="37">
        <v>1</v>
      </c>
      <c r="X60" s="37">
        <v>1</v>
      </c>
      <c r="Y60" s="37">
        <v>0</v>
      </c>
      <c r="Z60" s="37">
        <v>0</v>
      </c>
      <c r="AA60" s="37">
        <v>0</v>
      </c>
      <c r="AB60" s="37">
        <v>3</v>
      </c>
      <c r="AC60" s="40">
        <v>0</v>
      </c>
      <c r="AD60" s="59">
        <f>SUM(V60:AC60)</f>
        <v>18</v>
      </c>
      <c r="AF60" s="36">
        <v>5</v>
      </c>
      <c r="AG60" s="37">
        <v>1</v>
      </c>
      <c r="AH60" s="37">
        <v>0</v>
      </c>
      <c r="AI60" s="37">
        <v>0</v>
      </c>
      <c r="AJ60" s="37">
        <v>0</v>
      </c>
      <c r="AK60" s="37">
        <v>0</v>
      </c>
      <c r="AL60" s="37">
        <v>28</v>
      </c>
      <c r="AM60" s="40">
        <v>0</v>
      </c>
      <c r="AN60" s="59">
        <f>SUM(AF60:AM60)</f>
        <v>34</v>
      </c>
      <c r="AP60" s="59">
        <f>SUM(J60+T60+AD60+AN60)</f>
        <v>52</v>
      </c>
    </row>
    <row r="61" spans="1:42" ht="15.75" customHeight="1">
      <c r="A61" s="58">
        <v>0.64583333333333337</v>
      </c>
      <c r="B61" s="36">
        <v>0</v>
      </c>
      <c r="C61" s="37">
        <v>0</v>
      </c>
      <c r="D61" s="37">
        <v>0</v>
      </c>
      <c r="E61" s="37">
        <v>0</v>
      </c>
      <c r="F61" s="37">
        <v>0</v>
      </c>
      <c r="G61" s="37">
        <v>0</v>
      </c>
      <c r="H61" s="37">
        <v>0</v>
      </c>
      <c r="I61" s="40">
        <v>0</v>
      </c>
      <c r="J61" s="59">
        <f>SUM(B61:I61)</f>
        <v>0</v>
      </c>
      <c r="L61" s="36">
        <v>0</v>
      </c>
      <c r="M61" s="37">
        <v>0</v>
      </c>
      <c r="N61" s="37">
        <v>0</v>
      </c>
      <c r="O61" s="37">
        <v>0</v>
      </c>
      <c r="P61" s="37">
        <v>0</v>
      </c>
      <c r="Q61" s="37">
        <v>0</v>
      </c>
      <c r="R61" s="37">
        <v>0</v>
      </c>
      <c r="S61" s="40">
        <v>0</v>
      </c>
      <c r="T61" s="59">
        <f>SUM(L61:S61)</f>
        <v>0</v>
      </c>
      <c r="V61" s="36">
        <v>9</v>
      </c>
      <c r="W61" s="37">
        <v>4</v>
      </c>
      <c r="X61" s="37">
        <v>0</v>
      </c>
      <c r="Y61" s="37">
        <v>0</v>
      </c>
      <c r="Z61" s="37">
        <v>0</v>
      </c>
      <c r="AA61" s="37">
        <v>1</v>
      </c>
      <c r="AB61" s="37">
        <v>2</v>
      </c>
      <c r="AC61" s="40">
        <v>0</v>
      </c>
      <c r="AD61" s="59">
        <f>SUM(V61:AC61)</f>
        <v>16</v>
      </c>
      <c r="AF61" s="36">
        <v>8</v>
      </c>
      <c r="AG61" s="37">
        <v>0</v>
      </c>
      <c r="AH61" s="37">
        <v>0</v>
      </c>
      <c r="AI61" s="37">
        <v>0</v>
      </c>
      <c r="AJ61" s="37">
        <v>0</v>
      </c>
      <c r="AK61" s="37">
        <v>0</v>
      </c>
      <c r="AL61" s="37">
        <v>11</v>
      </c>
      <c r="AM61" s="40">
        <v>0</v>
      </c>
      <c r="AN61" s="59">
        <f>SUM(AF61:AM61)</f>
        <v>19</v>
      </c>
      <c r="AP61" s="59">
        <f>SUM(J61+T61+AD61+AN61)</f>
        <v>35</v>
      </c>
    </row>
    <row r="62" spans="1:42" ht="15.75" customHeight="1">
      <c r="A62" s="60">
        <v>0.65625</v>
      </c>
      <c r="B62" s="41">
        <v>0</v>
      </c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3">
        <v>0</v>
      </c>
      <c r="J62" s="61">
        <f>SUM(B62:I62)</f>
        <v>0</v>
      </c>
      <c r="L62" s="41">
        <v>0</v>
      </c>
      <c r="M62" s="42">
        <v>0</v>
      </c>
      <c r="N62" s="42">
        <v>0</v>
      </c>
      <c r="O62" s="42">
        <v>0</v>
      </c>
      <c r="P62" s="42">
        <v>0</v>
      </c>
      <c r="Q62" s="42">
        <v>0</v>
      </c>
      <c r="R62" s="42">
        <v>0</v>
      </c>
      <c r="S62" s="43">
        <v>0</v>
      </c>
      <c r="T62" s="61">
        <f>SUM(L62:S62)</f>
        <v>0</v>
      </c>
      <c r="V62" s="41">
        <v>12</v>
      </c>
      <c r="W62" s="42">
        <v>1</v>
      </c>
      <c r="X62" s="42">
        <v>0</v>
      </c>
      <c r="Y62" s="42">
        <v>0</v>
      </c>
      <c r="Z62" s="42">
        <v>0</v>
      </c>
      <c r="AA62" s="42">
        <v>0</v>
      </c>
      <c r="AB62" s="42">
        <v>6</v>
      </c>
      <c r="AC62" s="43">
        <v>0</v>
      </c>
      <c r="AD62" s="61">
        <f>SUM(V62:AC62)</f>
        <v>19</v>
      </c>
      <c r="AF62" s="41">
        <v>6</v>
      </c>
      <c r="AG62" s="42">
        <v>0</v>
      </c>
      <c r="AH62" s="42">
        <v>0</v>
      </c>
      <c r="AI62" s="42">
        <v>0</v>
      </c>
      <c r="AJ62" s="42">
        <v>0</v>
      </c>
      <c r="AK62" s="42">
        <v>0</v>
      </c>
      <c r="AL62" s="42">
        <v>24</v>
      </c>
      <c r="AM62" s="43">
        <v>0</v>
      </c>
      <c r="AN62" s="61">
        <f>SUM(AF62:AM62)</f>
        <v>30</v>
      </c>
      <c r="AP62" s="61">
        <f>SUM(J62+T62+AD62+AN62)</f>
        <v>49</v>
      </c>
    </row>
    <row r="63" spans="1:42" ht="15.75" customHeight="1">
      <c r="A63" s="48" t="s">
        <v>29</v>
      </c>
      <c r="B63" s="45">
        <f t="shared" ref="B63:J63" si="36">SUM(B59:B62)</f>
        <v>0</v>
      </c>
      <c r="C63" s="46">
        <f t="shared" si="36"/>
        <v>0</v>
      </c>
      <c r="D63" s="46">
        <f t="shared" si="36"/>
        <v>0</v>
      </c>
      <c r="E63" s="46">
        <f t="shared" si="36"/>
        <v>0</v>
      </c>
      <c r="F63" s="46">
        <f t="shared" si="36"/>
        <v>0</v>
      </c>
      <c r="G63" s="46">
        <f t="shared" si="36"/>
        <v>0</v>
      </c>
      <c r="H63" s="46">
        <f t="shared" si="36"/>
        <v>0</v>
      </c>
      <c r="I63" s="47">
        <f t="shared" si="36"/>
        <v>0</v>
      </c>
      <c r="J63" s="48">
        <f t="shared" si="36"/>
        <v>0</v>
      </c>
      <c r="L63" s="45">
        <f t="shared" ref="L63:T63" si="37">SUM(L59:L62)</f>
        <v>0</v>
      </c>
      <c r="M63" s="46">
        <f t="shared" si="37"/>
        <v>0</v>
      </c>
      <c r="N63" s="46">
        <f t="shared" si="37"/>
        <v>0</v>
      </c>
      <c r="O63" s="46">
        <f t="shared" si="37"/>
        <v>0</v>
      </c>
      <c r="P63" s="46">
        <f t="shared" si="37"/>
        <v>0</v>
      </c>
      <c r="Q63" s="46">
        <f t="shared" si="37"/>
        <v>0</v>
      </c>
      <c r="R63" s="46">
        <f t="shared" si="37"/>
        <v>0</v>
      </c>
      <c r="S63" s="47">
        <f t="shared" si="37"/>
        <v>0</v>
      </c>
      <c r="T63" s="48">
        <f t="shared" si="37"/>
        <v>0</v>
      </c>
      <c r="V63" s="45">
        <f t="shared" ref="V63:AD63" si="38">SUM(V59:V62)</f>
        <v>47</v>
      </c>
      <c r="W63" s="46">
        <f t="shared" si="38"/>
        <v>11</v>
      </c>
      <c r="X63" s="46">
        <f t="shared" si="38"/>
        <v>1</v>
      </c>
      <c r="Y63" s="46">
        <f t="shared" si="38"/>
        <v>0</v>
      </c>
      <c r="Z63" s="46">
        <f t="shared" si="38"/>
        <v>0</v>
      </c>
      <c r="AA63" s="46">
        <f t="shared" si="38"/>
        <v>1</v>
      </c>
      <c r="AB63" s="46">
        <f t="shared" si="38"/>
        <v>18</v>
      </c>
      <c r="AC63" s="47">
        <f t="shared" si="38"/>
        <v>0</v>
      </c>
      <c r="AD63" s="48">
        <f t="shared" si="38"/>
        <v>78</v>
      </c>
      <c r="AF63" s="45">
        <f t="shared" ref="AF63:AN63" si="39">SUM(AF59:AF62)</f>
        <v>24</v>
      </c>
      <c r="AG63" s="46">
        <f t="shared" si="39"/>
        <v>4</v>
      </c>
      <c r="AH63" s="46">
        <f t="shared" si="39"/>
        <v>0</v>
      </c>
      <c r="AI63" s="46">
        <f t="shared" si="39"/>
        <v>0</v>
      </c>
      <c r="AJ63" s="46">
        <f t="shared" si="39"/>
        <v>0</v>
      </c>
      <c r="AK63" s="46">
        <f t="shared" si="39"/>
        <v>0</v>
      </c>
      <c r="AL63" s="46">
        <f t="shared" si="39"/>
        <v>79</v>
      </c>
      <c r="AM63" s="47">
        <f t="shared" si="39"/>
        <v>0</v>
      </c>
      <c r="AN63" s="48">
        <f t="shared" si="39"/>
        <v>107</v>
      </c>
      <c r="AP63" s="48">
        <f>SUM(AP59:AP62)</f>
        <v>185</v>
      </c>
    </row>
    <row r="64" spans="1:42" ht="15.75" customHeight="1">
      <c r="A64" s="56">
        <v>0.66666666666666663</v>
      </c>
      <c r="B64" s="32">
        <v>0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4">
        <v>0</v>
      </c>
      <c r="J64" s="57">
        <f>SUM(B64:I64)</f>
        <v>0</v>
      </c>
      <c r="L64" s="32">
        <v>0</v>
      </c>
      <c r="M64" s="33">
        <v>0</v>
      </c>
      <c r="N64" s="33">
        <v>0</v>
      </c>
      <c r="O64" s="33">
        <v>0</v>
      </c>
      <c r="P64" s="33">
        <v>0</v>
      </c>
      <c r="Q64" s="33">
        <v>0</v>
      </c>
      <c r="R64" s="33">
        <v>0</v>
      </c>
      <c r="S64" s="34">
        <v>0</v>
      </c>
      <c r="T64" s="57">
        <f>SUM(L64:S64)</f>
        <v>0</v>
      </c>
      <c r="V64" s="32">
        <v>18</v>
      </c>
      <c r="W64" s="33">
        <v>2</v>
      </c>
      <c r="X64" s="33">
        <v>0</v>
      </c>
      <c r="Y64" s="33">
        <v>0</v>
      </c>
      <c r="Z64" s="33">
        <v>0</v>
      </c>
      <c r="AA64" s="33">
        <v>0</v>
      </c>
      <c r="AB64" s="33">
        <v>5</v>
      </c>
      <c r="AC64" s="34">
        <v>0</v>
      </c>
      <c r="AD64" s="57">
        <f>SUM(V64:AC64)</f>
        <v>25</v>
      </c>
      <c r="AF64" s="32">
        <v>11</v>
      </c>
      <c r="AG64" s="33">
        <v>0</v>
      </c>
      <c r="AH64" s="33">
        <v>1</v>
      </c>
      <c r="AI64" s="33">
        <v>0</v>
      </c>
      <c r="AJ64" s="33">
        <v>0</v>
      </c>
      <c r="AK64" s="33">
        <v>0</v>
      </c>
      <c r="AL64" s="33">
        <v>22</v>
      </c>
      <c r="AM64" s="34">
        <v>0</v>
      </c>
      <c r="AN64" s="57">
        <f>SUM(AF64:AM64)</f>
        <v>34</v>
      </c>
      <c r="AP64" s="57">
        <f>SUM(J64+T64+AD64+AN64)</f>
        <v>59</v>
      </c>
    </row>
    <row r="65" spans="1:42" ht="15.75" customHeight="1">
      <c r="A65" s="58">
        <v>0.67708333333333337</v>
      </c>
      <c r="B65" s="36">
        <v>0</v>
      </c>
      <c r="C65" s="37">
        <v>0</v>
      </c>
      <c r="D65" s="37">
        <v>0</v>
      </c>
      <c r="E65" s="37">
        <v>0</v>
      </c>
      <c r="F65" s="37">
        <v>0</v>
      </c>
      <c r="G65" s="37">
        <v>0</v>
      </c>
      <c r="H65" s="37">
        <v>0</v>
      </c>
      <c r="I65" s="40">
        <v>0</v>
      </c>
      <c r="J65" s="59">
        <f>SUM(B65:I65)</f>
        <v>0</v>
      </c>
      <c r="L65" s="36">
        <v>0</v>
      </c>
      <c r="M65" s="37">
        <v>0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40">
        <v>0</v>
      </c>
      <c r="T65" s="59">
        <f>SUM(L65:S65)</f>
        <v>0</v>
      </c>
      <c r="V65" s="36">
        <v>16</v>
      </c>
      <c r="W65" s="37">
        <v>2</v>
      </c>
      <c r="X65" s="37">
        <v>0</v>
      </c>
      <c r="Y65" s="37">
        <v>0</v>
      </c>
      <c r="Z65" s="37">
        <v>0</v>
      </c>
      <c r="AA65" s="37">
        <v>0</v>
      </c>
      <c r="AB65" s="37">
        <v>9</v>
      </c>
      <c r="AC65" s="40">
        <v>0</v>
      </c>
      <c r="AD65" s="59">
        <f>SUM(V65:AC65)</f>
        <v>27</v>
      </c>
      <c r="AF65" s="36">
        <v>16</v>
      </c>
      <c r="AG65" s="37">
        <v>2</v>
      </c>
      <c r="AH65" s="37">
        <v>0</v>
      </c>
      <c r="AI65" s="37">
        <v>0</v>
      </c>
      <c r="AJ65" s="37">
        <v>0</v>
      </c>
      <c r="AK65" s="37">
        <v>0</v>
      </c>
      <c r="AL65" s="37">
        <v>29</v>
      </c>
      <c r="AM65" s="40">
        <v>0</v>
      </c>
      <c r="AN65" s="59">
        <f>SUM(AF65:AM65)</f>
        <v>47</v>
      </c>
      <c r="AP65" s="59">
        <f>SUM(J65+T65+AD65+AN65)</f>
        <v>74</v>
      </c>
    </row>
    <row r="66" spans="1:42" ht="15.75" customHeight="1">
      <c r="A66" s="58">
        <v>0.6875</v>
      </c>
      <c r="B66" s="36">
        <v>0</v>
      </c>
      <c r="C66" s="37">
        <v>0</v>
      </c>
      <c r="D66" s="37">
        <v>0</v>
      </c>
      <c r="E66" s="37">
        <v>0</v>
      </c>
      <c r="F66" s="37">
        <v>0</v>
      </c>
      <c r="G66" s="37">
        <v>0</v>
      </c>
      <c r="H66" s="37">
        <v>0</v>
      </c>
      <c r="I66" s="40">
        <v>0</v>
      </c>
      <c r="J66" s="59">
        <f>SUM(B66:I66)</f>
        <v>0</v>
      </c>
      <c r="L66" s="36">
        <v>0</v>
      </c>
      <c r="M66" s="37">
        <v>0</v>
      </c>
      <c r="N66" s="37">
        <v>0</v>
      </c>
      <c r="O66" s="37">
        <v>0</v>
      </c>
      <c r="P66" s="37">
        <v>0</v>
      </c>
      <c r="Q66" s="37">
        <v>0</v>
      </c>
      <c r="R66" s="37">
        <v>0</v>
      </c>
      <c r="S66" s="40">
        <v>0</v>
      </c>
      <c r="T66" s="59">
        <f>SUM(L66:S66)</f>
        <v>0</v>
      </c>
      <c r="V66" s="36">
        <v>20</v>
      </c>
      <c r="W66" s="37">
        <v>2</v>
      </c>
      <c r="X66" s="37">
        <v>0</v>
      </c>
      <c r="Y66" s="37">
        <v>0</v>
      </c>
      <c r="Z66" s="37">
        <v>0</v>
      </c>
      <c r="AA66" s="37">
        <v>1</v>
      </c>
      <c r="AB66" s="37">
        <v>9</v>
      </c>
      <c r="AC66" s="40">
        <v>0</v>
      </c>
      <c r="AD66" s="59">
        <f>SUM(V66:AC66)</f>
        <v>32</v>
      </c>
      <c r="AF66" s="36">
        <v>19</v>
      </c>
      <c r="AG66" s="37">
        <v>0</v>
      </c>
      <c r="AH66" s="37">
        <v>0</v>
      </c>
      <c r="AI66" s="37">
        <v>0</v>
      </c>
      <c r="AJ66" s="37">
        <v>0</v>
      </c>
      <c r="AK66" s="37">
        <v>0</v>
      </c>
      <c r="AL66" s="37">
        <v>35</v>
      </c>
      <c r="AM66" s="40">
        <v>0</v>
      </c>
      <c r="AN66" s="59">
        <f>SUM(AF66:AM66)</f>
        <v>54</v>
      </c>
      <c r="AP66" s="59">
        <f>SUM(J66+T66+AD66+AN66)</f>
        <v>86</v>
      </c>
    </row>
    <row r="67" spans="1:42" ht="15.75" customHeight="1">
      <c r="A67" s="60">
        <v>0.69791666666666663</v>
      </c>
      <c r="B67" s="41">
        <v>0</v>
      </c>
      <c r="C67" s="42">
        <v>0</v>
      </c>
      <c r="D67" s="42">
        <v>0</v>
      </c>
      <c r="E67" s="42">
        <v>0</v>
      </c>
      <c r="F67" s="42">
        <v>0</v>
      </c>
      <c r="G67" s="42">
        <v>0</v>
      </c>
      <c r="H67" s="42">
        <v>0</v>
      </c>
      <c r="I67" s="43">
        <v>0</v>
      </c>
      <c r="J67" s="61">
        <f>SUM(B67:I67)</f>
        <v>0</v>
      </c>
      <c r="L67" s="41">
        <v>0</v>
      </c>
      <c r="M67" s="42">
        <v>0</v>
      </c>
      <c r="N67" s="42">
        <v>0</v>
      </c>
      <c r="O67" s="42">
        <v>0</v>
      </c>
      <c r="P67" s="42">
        <v>0</v>
      </c>
      <c r="Q67" s="42">
        <v>0</v>
      </c>
      <c r="R67" s="42">
        <v>0</v>
      </c>
      <c r="S67" s="43">
        <v>0</v>
      </c>
      <c r="T67" s="61">
        <f>SUM(L67:S67)</f>
        <v>0</v>
      </c>
      <c r="V67" s="41">
        <v>24</v>
      </c>
      <c r="W67" s="42">
        <v>1</v>
      </c>
      <c r="X67" s="42">
        <v>0</v>
      </c>
      <c r="Y67" s="42">
        <v>0</v>
      </c>
      <c r="Z67" s="42">
        <v>0</v>
      </c>
      <c r="AA67" s="42">
        <v>0</v>
      </c>
      <c r="AB67" s="42">
        <v>8</v>
      </c>
      <c r="AC67" s="43">
        <v>1</v>
      </c>
      <c r="AD67" s="61">
        <f>SUM(V67:AC67)</f>
        <v>34</v>
      </c>
      <c r="AF67" s="41">
        <v>8</v>
      </c>
      <c r="AG67" s="42">
        <v>2</v>
      </c>
      <c r="AH67" s="42">
        <v>0</v>
      </c>
      <c r="AI67" s="42">
        <v>0</v>
      </c>
      <c r="AJ67" s="42">
        <v>0</v>
      </c>
      <c r="AK67" s="42">
        <v>0</v>
      </c>
      <c r="AL67" s="42">
        <v>0</v>
      </c>
      <c r="AM67" s="43">
        <v>0</v>
      </c>
      <c r="AN67" s="61">
        <f>SUM(AF67:AM67)</f>
        <v>10</v>
      </c>
      <c r="AP67" s="61">
        <f>SUM(J67+T67+AD67+AN67)</f>
        <v>44</v>
      </c>
    </row>
    <row r="68" spans="1:42" ht="15.75" customHeight="1">
      <c r="A68" s="48" t="s">
        <v>29</v>
      </c>
      <c r="B68" s="45">
        <f t="shared" ref="B68:J68" si="40">SUM(B64:B67)</f>
        <v>0</v>
      </c>
      <c r="C68" s="46">
        <f t="shared" si="40"/>
        <v>0</v>
      </c>
      <c r="D68" s="46">
        <f t="shared" si="40"/>
        <v>0</v>
      </c>
      <c r="E68" s="46">
        <f t="shared" si="40"/>
        <v>0</v>
      </c>
      <c r="F68" s="46">
        <f t="shared" si="40"/>
        <v>0</v>
      </c>
      <c r="G68" s="46">
        <f t="shared" si="40"/>
        <v>0</v>
      </c>
      <c r="H68" s="46">
        <f t="shared" si="40"/>
        <v>0</v>
      </c>
      <c r="I68" s="47">
        <f t="shared" si="40"/>
        <v>0</v>
      </c>
      <c r="J68" s="48">
        <f t="shared" si="40"/>
        <v>0</v>
      </c>
      <c r="L68" s="45">
        <f t="shared" ref="L68:T68" si="41">SUM(L64:L67)</f>
        <v>0</v>
      </c>
      <c r="M68" s="46">
        <f t="shared" si="41"/>
        <v>0</v>
      </c>
      <c r="N68" s="46">
        <f t="shared" si="41"/>
        <v>0</v>
      </c>
      <c r="O68" s="46">
        <f t="shared" si="41"/>
        <v>0</v>
      </c>
      <c r="P68" s="46">
        <f t="shared" si="41"/>
        <v>0</v>
      </c>
      <c r="Q68" s="46">
        <f t="shared" si="41"/>
        <v>0</v>
      </c>
      <c r="R68" s="46">
        <f t="shared" si="41"/>
        <v>0</v>
      </c>
      <c r="S68" s="47">
        <f t="shared" si="41"/>
        <v>0</v>
      </c>
      <c r="T68" s="48">
        <f t="shared" si="41"/>
        <v>0</v>
      </c>
      <c r="V68" s="45">
        <f t="shared" ref="V68:AD68" si="42">SUM(V64:V67)</f>
        <v>78</v>
      </c>
      <c r="W68" s="46">
        <f t="shared" si="42"/>
        <v>7</v>
      </c>
      <c r="X68" s="46">
        <f t="shared" si="42"/>
        <v>0</v>
      </c>
      <c r="Y68" s="46">
        <f t="shared" si="42"/>
        <v>0</v>
      </c>
      <c r="Z68" s="46">
        <f t="shared" si="42"/>
        <v>0</v>
      </c>
      <c r="AA68" s="46">
        <f t="shared" si="42"/>
        <v>1</v>
      </c>
      <c r="AB68" s="46">
        <f t="shared" si="42"/>
        <v>31</v>
      </c>
      <c r="AC68" s="47">
        <f t="shared" si="42"/>
        <v>1</v>
      </c>
      <c r="AD68" s="48">
        <f t="shared" si="42"/>
        <v>118</v>
      </c>
      <c r="AF68" s="45">
        <f t="shared" ref="AF68:AN68" si="43">SUM(AF64:AF67)</f>
        <v>54</v>
      </c>
      <c r="AG68" s="46">
        <f t="shared" si="43"/>
        <v>4</v>
      </c>
      <c r="AH68" s="46">
        <f t="shared" si="43"/>
        <v>1</v>
      </c>
      <c r="AI68" s="46">
        <f t="shared" si="43"/>
        <v>0</v>
      </c>
      <c r="AJ68" s="46">
        <f t="shared" si="43"/>
        <v>0</v>
      </c>
      <c r="AK68" s="46">
        <f t="shared" si="43"/>
        <v>0</v>
      </c>
      <c r="AL68" s="46">
        <f t="shared" si="43"/>
        <v>86</v>
      </c>
      <c r="AM68" s="47">
        <f t="shared" si="43"/>
        <v>0</v>
      </c>
      <c r="AN68" s="48">
        <f t="shared" si="43"/>
        <v>145</v>
      </c>
      <c r="AP68" s="48">
        <f>SUM(AP64:AP67)</f>
        <v>263</v>
      </c>
    </row>
    <row r="69" spans="1:42" ht="15.75" customHeight="1">
      <c r="A69" s="56">
        <v>0.70833333333333337</v>
      </c>
      <c r="B69" s="32">
        <v>0</v>
      </c>
      <c r="C69" s="33">
        <v>0</v>
      </c>
      <c r="D69" s="33">
        <v>0</v>
      </c>
      <c r="E69" s="33">
        <v>0</v>
      </c>
      <c r="F69" s="33">
        <v>0</v>
      </c>
      <c r="G69" s="33">
        <v>0</v>
      </c>
      <c r="H69" s="33">
        <v>0</v>
      </c>
      <c r="I69" s="34">
        <v>0</v>
      </c>
      <c r="J69" s="57">
        <f>SUM(B69:I69)</f>
        <v>0</v>
      </c>
      <c r="L69" s="32">
        <v>0</v>
      </c>
      <c r="M69" s="33">
        <v>0</v>
      </c>
      <c r="N69" s="33">
        <v>0</v>
      </c>
      <c r="O69" s="33">
        <v>0</v>
      </c>
      <c r="P69" s="33">
        <v>0</v>
      </c>
      <c r="Q69" s="33">
        <v>0</v>
      </c>
      <c r="R69" s="33">
        <v>0</v>
      </c>
      <c r="S69" s="34">
        <v>0</v>
      </c>
      <c r="T69" s="57">
        <f>SUM(L69:S69)</f>
        <v>0</v>
      </c>
      <c r="V69" s="32">
        <v>19</v>
      </c>
      <c r="W69" s="33">
        <v>0</v>
      </c>
      <c r="X69" s="33">
        <v>0</v>
      </c>
      <c r="Y69" s="33">
        <v>0</v>
      </c>
      <c r="Z69" s="33">
        <v>0</v>
      </c>
      <c r="AA69" s="33">
        <v>2</v>
      </c>
      <c r="AB69" s="33">
        <v>9</v>
      </c>
      <c r="AC69" s="34">
        <v>0</v>
      </c>
      <c r="AD69" s="57">
        <f>SUM(V69:AC69)</f>
        <v>30</v>
      </c>
      <c r="AF69" s="32">
        <v>21</v>
      </c>
      <c r="AG69" s="33">
        <v>0</v>
      </c>
      <c r="AH69" s="33">
        <v>0</v>
      </c>
      <c r="AI69" s="33">
        <v>0</v>
      </c>
      <c r="AJ69" s="33">
        <v>0</v>
      </c>
      <c r="AK69" s="33">
        <v>1</v>
      </c>
      <c r="AL69" s="33">
        <v>41</v>
      </c>
      <c r="AM69" s="34">
        <v>0</v>
      </c>
      <c r="AN69" s="57">
        <f>SUM(AF69:AM69)</f>
        <v>63</v>
      </c>
      <c r="AP69" s="57">
        <f>SUM(J69+T69+AD69+AN69)</f>
        <v>93</v>
      </c>
    </row>
    <row r="70" spans="1:42" ht="15.75" customHeight="1">
      <c r="A70" s="58">
        <v>0.71875</v>
      </c>
      <c r="B70" s="36">
        <v>0</v>
      </c>
      <c r="C70" s="37">
        <v>0</v>
      </c>
      <c r="D70" s="37">
        <v>0</v>
      </c>
      <c r="E70" s="37">
        <v>0</v>
      </c>
      <c r="F70" s="37">
        <v>0</v>
      </c>
      <c r="G70" s="37">
        <v>0</v>
      </c>
      <c r="H70" s="37">
        <v>0</v>
      </c>
      <c r="I70" s="40">
        <v>0</v>
      </c>
      <c r="J70" s="59">
        <f>SUM(B70:I70)</f>
        <v>0</v>
      </c>
      <c r="L70" s="36">
        <v>0</v>
      </c>
      <c r="M70" s="37">
        <v>0</v>
      </c>
      <c r="N70" s="37">
        <v>0</v>
      </c>
      <c r="O70" s="37">
        <v>0</v>
      </c>
      <c r="P70" s="37">
        <v>0</v>
      </c>
      <c r="Q70" s="37">
        <v>0</v>
      </c>
      <c r="R70" s="37">
        <v>0</v>
      </c>
      <c r="S70" s="40">
        <v>0</v>
      </c>
      <c r="T70" s="59">
        <f>SUM(L70:S70)</f>
        <v>0</v>
      </c>
      <c r="V70" s="36">
        <v>25</v>
      </c>
      <c r="W70" s="37">
        <v>2</v>
      </c>
      <c r="X70" s="37">
        <v>1</v>
      </c>
      <c r="Y70" s="37">
        <v>0</v>
      </c>
      <c r="Z70" s="37">
        <v>0</v>
      </c>
      <c r="AA70" s="37">
        <v>0</v>
      </c>
      <c r="AB70" s="37">
        <v>17</v>
      </c>
      <c r="AC70" s="40">
        <v>0</v>
      </c>
      <c r="AD70" s="59">
        <f>SUM(V70:AC70)</f>
        <v>45</v>
      </c>
      <c r="AF70" s="36">
        <v>27</v>
      </c>
      <c r="AG70" s="37">
        <v>1</v>
      </c>
      <c r="AH70" s="37">
        <v>0</v>
      </c>
      <c r="AI70" s="37">
        <v>0</v>
      </c>
      <c r="AJ70" s="37">
        <v>0</v>
      </c>
      <c r="AK70" s="37">
        <v>0</v>
      </c>
      <c r="AL70" s="37">
        <v>75</v>
      </c>
      <c r="AM70" s="40">
        <v>0</v>
      </c>
      <c r="AN70" s="59">
        <f>SUM(AF70:AM70)</f>
        <v>103</v>
      </c>
      <c r="AP70" s="59">
        <f>SUM(J70+T70+AD70+AN70)</f>
        <v>148</v>
      </c>
    </row>
    <row r="71" spans="1:42" ht="15.75" customHeight="1">
      <c r="A71" s="58">
        <v>0.72916666666666663</v>
      </c>
      <c r="B71" s="36">
        <v>0</v>
      </c>
      <c r="C71" s="37">
        <v>0</v>
      </c>
      <c r="D71" s="37">
        <v>0</v>
      </c>
      <c r="E71" s="37">
        <v>0</v>
      </c>
      <c r="F71" s="37">
        <v>0</v>
      </c>
      <c r="G71" s="37">
        <v>0</v>
      </c>
      <c r="H71" s="37">
        <v>0</v>
      </c>
      <c r="I71" s="40">
        <v>0</v>
      </c>
      <c r="J71" s="59">
        <f>SUM(B71:I71)</f>
        <v>0</v>
      </c>
      <c r="L71" s="36">
        <v>0</v>
      </c>
      <c r="M71" s="37">
        <v>0</v>
      </c>
      <c r="N71" s="37">
        <v>0</v>
      </c>
      <c r="O71" s="37">
        <v>0</v>
      </c>
      <c r="P71" s="37">
        <v>0</v>
      </c>
      <c r="Q71" s="37">
        <v>0</v>
      </c>
      <c r="R71" s="37">
        <v>0</v>
      </c>
      <c r="S71" s="40">
        <v>0</v>
      </c>
      <c r="T71" s="59">
        <f>SUM(L71:S71)</f>
        <v>0</v>
      </c>
      <c r="V71" s="36">
        <v>23</v>
      </c>
      <c r="W71" s="37">
        <v>0</v>
      </c>
      <c r="X71" s="37">
        <v>0</v>
      </c>
      <c r="Y71" s="37">
        <v>0</v>
      </c>
      <c r="Z71" s="37">
        <v>0</v>
      </c>
      <c r="AA71" s="37">
        <v>0</v>
      </c>
      <c r="AB71" s="37">
        <v>15</v>
      </c>
      <c r="AC71" s="40">
        <v>0</v>
      </c>
      <c r="AD71" s="59">
        <f>SUM(V71:AC71)</f>
        <v>38</v>
      </c>
      <c r="AF71" s="36">
        <v>21</v>
      </c>
      <c r="AG71" s="37">
        <v>0</v>
      </c>
      <c r="AH71" s="37">
        <v>0</v>
      </c>
      <c r="AI71" s="37">
        <v>0</v>
      </c>
      <c r="AJ71" s="37">
        <v>0</v>
      </c>
      <c r="AK71" s="37">
        <v>0</v>
      </c>
      <c r="AL71" s="37">
        <v>62</v>
      </c>
      <c r="AM71" s="40">
        <v>0</v>
      </c>
      <c r="AN71" s="59">
        <f>SUM(AF71:AM71)</f>
        <v>83</v>
      </c>
      <c r="AP71" s="59">
        <f>SUM(J71+T71+AD71+AN71)</f>
        <v>121</v>
      </c>
    </row>
    <row r="72" spans="1:42" ht="15.75" customHeight="1">
      <c r="A72" s="60">
        <v>0.73958333333333337</v>
      </c>
      <c r="B72" s="41"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3">
        <v>0</v>
      </c>
      <c r="J72" s="61">
        <f>SUM(B72:I72)</f>
        <v>0</v>
      </c>
      <c r="L72" s="41">
        <v>0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3">
        <v>0</v>
      </c>
      <c r="T72" s="61">
        <f>SUM(L72:S72)</f>
        <v>0</v>
      </c>
      <c r="V72" s="41">
        <v>17</v>
      </c>
      <c r="W72" s="42">
        <v>1</v>
      </c>
      <c r="X72" s="42">
        <v>0</v>
      </c>
      <c r="Y72" s="42">
        <v>0</v>
      </c>
      <c r="Z72" s="42">
        <v>0</v>
      </c>
      <c r="AA72" s="42">
        <v>1</v>
      </c>
      <c r="AB72" s="42">
        <v>20</v>
      </c>
      <c r="AC72" s="43">
        <v>0</v>
      </c>
      <c r="AD72" s="61">
        <f>SUM(V72:AC72)</f>
        <v>39</v>
      </c>
      <c r="AF72" s="41">
        <v>25</v>
      </c>
      <c r="AG72" s="42">
        <v>1</v>
      </c>
      <c r="AH72" s="42">
        <v>0</v>
      </c>
      <c r="AI72" s="42">
        <v>0</v>
      </c>
      <c r="AJ72" s="42">
        <v>0</v>
      </c>
      <c r="AK72" s="42">
        <v>1</v>
      </c>
      <c r="AL72" s="42">
        <v>62</v>
      </c>
      <c r="AM72" s="43">
        <v>0</v>
      </c>
      <c r="AN72" s="61">
        <f>SUM(AF72:AM72)</f>
        <v>89</v>
      </c>
      <c r="AP72" s="61">
        <f>SUM(J72+T72+AD72+AN72)</f>
        <v>128</v>
      </c>
    </row>
    <row r="73" spans="1:42" ht="15.75" customHeight="1">
      <c r="A73" s="48" t="s">
        <v>29</v>
      </c>
      <c r="B73" s="45">
        <f t="shared" ref="B73:J73" si="44">SUM(B69:B72)</f>
        <v>0</v>
      </c>
      <c r="C73" s="46">
        <f t="shared" si="44"/>
        <v>0</v>
      </c>
      <c r="D73" s="46">
        <f t="shared" si="44"/>
        <v>0</v>
      </c>
      <c r="E73" s="46">
        <f t="shared" si="44"/>
        <v>0</v>
      </c>
      <c r="F73" s="46">
        <f t="shared" si="44"/>
        <v>0</v>
      </c>
      <c r="G73" s="46">
        <f t="shared" si="44"/>
        <v>0</v>
      </c>
      <c r="H73" s="46">
        <f t="shared" si="44"/>
        <v>0</v>
      </c>
      <c r="I73" s="47">
        <f t="shared" si="44"/>
        <v>0</v>
      </c>
      <c r="J73" s="48">
        <f t="shared" si="44"/>
        <v>0</v>
      </c>
      <c r="L73" s="45">
        <f t="shared" ref="L73:T73" si="45">SUM(L69:L72)</f>
        <v>0</v>
      </c>
      <c r="M73" s="46">
        <f t="shared" si="45"/>
        <v>0</v>
      </c>
      <c r="N73" s="46">
        <f t="shared" si="45"/>
        <v>0</v>
      </c>
      <c r="O73" s="46">
        <f t="shared" si="45"/>
        <v>0</v>
      </c>
      <c r="P73" s="46">
        <f t="shared" si="45"/>
        <v>0</v>
      </c>
      <c r="Q73" s="46">
        <f t="shared" si="45"/>
        <v>0</v>
      </c>
      <c r="R73" s="46">
        <f t="shared" si="45"/>
        <v>0</v>
      </c>
      <c r="S73" s="47">
        <f t="shared" si="45"/>
        <v>0</v>
      </c>
      <c r="T73" s="48">
        <f t="shared" si="45"/>
        <v>0</v>
      </c>
      <c r="V73" s="45">
        <f t="shared" ref="V73:AD73" si="46">SUM(V69:V72)</f>
        <v>84</v>
      </c>
      <c r="W73" s="46">
        <f t="shared" si="46"/>
        <v>3</v>
      </c>
      <c r="X73" s="46">
        <f t="shared" si="46"/>
        <v>1</v>
      </c>
      <c r="Y73" s="46">
        <f t="shared" si="46"/>
        <v>0</v>
      </c>
      <c r="Z73" s="46">
        <f t="shared" si="46"/>
        <v>0</v>
      </c>
      <c r="AA73" s="46">
        <f t="shared" si="46"/>
        <v>3</v>
      </c>
      <c r="AB73" s="46">
        <f t="shared" si="46"/>
        <v>61</v>
      </c>
      <c r="AC73" s="47">
        <f t="shared" si="46"/>
        <v>0</v>
      </c>
      <c r="AD73" s="48">
        <f t="shared" si="46"/>
        <v>152</v>
      </c>
      <c r="AF73" s="45">
        <f t="shared" ref="AF73:AN73" si="47">SUM(AF69:AF72)</f>
        <v>94</v>
      </c>
      <c r="AG73" s="46">
        <f t="shared" si="47"/>
        <v>2</v>
      </c>
      <c r="AH73" s="46">
        <f t="shared" si="47"/>
        <v>0</v>
      </c>
      <c r="AI73" s="46">
        <f t="shared" si="47"/>
        <v>0</v>
      </c>
      <c r="AJ73" s="46">
        <f t="shared" si="47"/>
        <v>0</v>
      </c>
      <c r="AK73" s="46">
        <f t="shared" si="47"/>
        <v>2</v>
      </c>
      <c r="AL73" s="46">
        <f t="shared" si="47"/>
        <v>240</v>
      </c>
      <c r="AM73" s="47">
        <f t="shared" si="47"/>
        <v>0</v>
      </c>
      <c r="AN73" s="48">
        <f t="shared" si="47"/>
        <v>338</v>
      </c>
      <c r="AP73" s="48">
        <f>SUM(AP69:AP72)</f>
        <v>490</v>
      </c>
    </row>
    <row r="74" spans="1:42" ht="15.75" customHeight="1">
      <c r="A74" s="56">
        <v>0.75</v>
      </c>
      <c r="B74" s="32">
        <v>0</v>
      </c>
      <c r="C74" s="33">
        <v>0</v>
      </c>
      <c r="D74" s="33">
        <v>0</v>
      </c>
      <c r="E74" s="33">
        <v>0</v>
      </c>
      <c r="F74" s="33">
        <v>0</v>
      </c>
      <c r="G74" s="33">
        <v>0</v>
      </c>
      <c r="H74" s="33">
        <v>0</v>
      </c>
      <c r="I74" s="34">
        <v>0</v>
      </c>
      <c r="J74" s="57">
        <f>SUM(B74:I74)</f>
        <v>0</v>
      </c>
      <c r="L74" s="32">
        <v>0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33">
        <v>0</v>
      </c>
      <c r="S74" s="34">
        <v>0</v>
      </c>
      <c r="T74" s="57">
        <f>SUM(L74:S74)</f>
        <v>0</v>
      </c>
      <c r="V74" s="32">
        <v>20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14</v>
      </c>
      <c r="AC74" s="34">
        <v>0</v>
      </c>
      <c r="AD74" s="57">
        <f>SUM(V74:AC74)</f>
        <v>34</v>
      </c>
      <c r="AF74" s="32">
        <v>10</v>
      </c>
      <c r="AG74" s="33">
        <v>0</v>
      </c>
      <c r="AH74" s="33">
        <v>0</v>
      </c>
      <c r="AI74" s="33">
        <v>0</v>
      </c>
      <c r="AJ74" s="33">
        <v>0</v>
      </c>
      <c r="AK74" s="33">
        <v>0</v>
      </c>
      <c r="AL74" s="33">
        <v>77</v>
      </c>
      <c r="AM74" s="34">
        <v>0</v>
      </c>
      <c r="AN74" s="57">
        <f>SUM(AF74:AM74)</f>
        <v>87</v>
      </c>
      <c r="AP74" s="57">
        <f>SUM(J74+T74+AD74+AN74)</f>
        <v>121</v>
      </c>
    </row>
    <row r="75" spans="1:42" ht="15.75" customHeight="1">
      <c r="A75" s="58">
        <v>0.76041666666666663</v>
      </c>
      <c r="B75" s="36">
        <v>0</v>
      </c>
      <c r="C75" s="37">
        <v>0</v>
      </c>
      <c r="D75" s="37">
        <v>0</v>
      </c>
      <c r="E75" s="37">
        <v>0</v>
      </c>
      <c r="F75" s="37">
        <v>0</v>
      </c>
      <c r="G75" s="37">
        <v>0</v>
      </c>
      <c r="H75" s="37">
        <v>0</v>
      </c>
      <c r="I75" s="40">
        <v>0</v>
      </c>
      <c r="J75" s="59">
        <f>SUM(B75:I75)</f>
        <v>0</v>
      </c>
      <c r="L75" s="36">
        <v>0</v>
      </c>
      <c r="M75" s="37">
        <v>0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40">
        <v>0</v>
      </c>
      <c r="T75" s="59">
        <f>SUM(L75:S75)</f>
        <v>0</v>
      </c>
      <c r="V75" s="36">
        <v>11</v>
      </c>
      <c r="W75" s="37">
        <v>0</v>
      </c>
      <c r="X75" s="37">
        <v>0</v>
      </c>
      <c r="Y75" s="37">
        <v>0</v>
      </c>
      <c r="Z75" s="37">
        <v>0</v>
      </c>
      <c r="AA75" s="37">
        <v>0</v>
      </c>
      <c r="AB75" s="37">
        <v>9</v>
      </c>
      <c r="AC75" s="40">
        <v>0</v>
      </c>
      <c r="AD75" s="59">
        <f>SUM(V75:AC75)</f>
        <v>20</v>
      </c>
      <c r="AF75" s="36">
        <v>16</v>
      </c>
      <c r="AG75" s="37">
        <v>0</v>
      </c>
      <c r="AH75" s="37">
        <v>0</v>
      </c>
      <c r="AI75" s="37">
        <v>0</v>
      </c>
      <c r="AJ75" s="37">
        <v>0</v>
      </c>
      <c r="AK75" s="37">
        <v>0</v>
      </c>
      <c r="AL75" s="37">
        <v>69</v>
      </c>
      <c r="AM75" s="40">
        <v>0</v>
      </c>
      <c r="AN75" s="59">
        <f>SUM(AF75:AM75)</f>
        <v>85</v>
      </c>
      <c r="AP75" s="59">
        <f>SUM(J75+T75+AD75+AN75)</f>
        <v>105</v>
      </c>
    </row>
    <row r="76" spans="1:42" ht="15.75" customHeight="1">
      <c r="A76" s="58">
        <v>0.77083333333333337</v>
      </c>
      <c r="B76" s="36">
        <v>0</v>
      </c>
      <c r="C76" s="37">
        <v>0</v>
      </c>
      <c r="D76" s="37">
        <v>0</v>
      </c>
      <c r="E76" s="37">
        <v>0</v>
      </c>
      <c r="F76" s="37">
        <v>0</v>
      </c>
      <c r="G76" s="37">
        <v>0</v>
      </c>
      <c r="H76" s="37">
        <v>0</v>
      </c>
      <c r="I76" s="40">
        <v>0</v>
      </c>
      <c r="J76" s="59">
        <f>SUM(B76:I76)</f>
        <v>0</v>
      </c>
      <c r="L76" s="36">
        <v>0</v>
      </c>
      <c r="M76" s="37">
        <v>0</v>
      </c>
      <c r="N76" s="37">
        <v>0</v>
      </c>
      <c r="O76" s="37">
        <v>0</v>
      </c>
      <c r="P76" s="37">
        <v>0</v>
      </c>
      <c r="Q76" s="37">
        <v>0</v>
      </c>
      <c r="R76" s="37">
        <v>0</v>
      </c>
      <c r="S76" s="40">
        <v>0</v>
      </c>
      <c r="T76" s="59">
        <f>SUM(L76:S76)</f>
        <v>0</v>
      </c>
      <c r="V76" s="36">
        <v>22</v>
      </c>
      <c r="W76" s="37">
        <v>5</v>
      </c>
      <c r="X76" s="37">
        <v>0</v>
      </c>
      <c r="Y76" s="37">
        <v>0</v>
      </c>
      <c r="Z76" s="37">
        <v>0</v>
      </c>
      <c r="AA76" s="37">
        <v>1</v>
      </c>
      <c r="AB76" s="37">
        <v>4</v>
      </c>
      <c r="AC76" s="40">
        <v>0</v>
      </c>
      <c r="AD76" s="59">
        <f>SUM(V76:AC76)</f>
        <v>32</v>
      </c>
      <c r="AF76" s="36">
        <v>9</v>
      </c>
      <c r="AG76" s="37">
        <v>0</v>
      </c>
      <c r="AH76" s="37">
        <v>0</v>
      </c>
      <c r="AI76" s="37">
        <v>0</v>
      </c>
      <c r="AJ76" s="37">
        <v>0</v>
      </c>
      <c r="AK76" s="37">
        <v>0</v>
      </c>
      <c r="AL76" s="37">
        <v>36</v>
      </c>
      <c r="AM76" s="40">
        <v>0</v>
      </c>
      <c r="AN76" s="59">
        <f>SUM(AF76:AM76)</f>
        <v>45</v>
      </c>
      <c r="AP76" s="59">
        <f>SUM(J76+T76+AD76+AN76)</f>
        <v>77</v>
      </c>
    </row>
    <row r="77" spans="1:42" ht="15.75" customHeight="1">
      <c r="A77" s="60">
        <v>0.78125</v>
      </c>
      <c r="B77" s="41">
        <v>0</v>
      </c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3">
        <v>0</v>
      </c>
      <c r="J77" s="61">
        <f>SUM(B77:I77)</f>
        <v>0</v>
      </c>
      <c r="L77" s="41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3">
        <v>0</v>
      </c>
      <c r="T77" s="61">
        <f>SUM(L77:S77)</f>
        <v>0</v>
      </c>
      <c r="V77" s="41">
        <v>6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4</v>
      </c>
      <c r="AC77" s="43">
        <v>0</v>
      </c>
      <c r="AD77" s="61">
        <f>SUM(V77:AC77)</f>
        <v>10</v>
      </c>
      <c r="AF77" s="41">
        <v>6</v>
      </c>
      <c r="AG77" s="42">
        <v>0</v>
      </c>
      <c r="AH77" s="42">
        <v>1</v>
      </c>
      <c r="AI77" s="42">
        <v>0</v>
      </c>
      <c r="AJ77" s="42">
        <v>0</v>
      </c>
      <c r="AK77" s="42">
        <v>0</v>
      </c>
      <c r="AL77" s="42">
        <v>32</v>
      </c>
      <c r="AM77" s="43">
        <v>0</v>
      </c>
      <c r="AN77" s="61">
        <f>SUM(AF77:AM77)</f>
        <v>39</v>
      </c>
      <c r="AP77" s="61">
        <f>SUM(J77+T77+AD77+AN77)</f>
        <v>49</v>
      </c>
    </row>
    <row r="78" spans="1:42" ht="15.75" customHeight="1">
      <c r="A78" s="48" t="s">
        <v>29</v>
      </c>
      <c r="B78" s="45">
        <f t="shared" ref="B78:J78" si="48">SUM(B74:B77)</f>
        <v>0</v>
      </c>
      <c r="C78" s="46">
        <f t="shared" si="48"/>
        <v>0</v>
      </c>
      <c r="D78" s="46">
        <f t="shared" si="48"/>
        <v>0</v>
      </c>
      <c r="E78" s="46">
        <f t="shared" si="48"/>
        <v>0</v>
      </c>
      <c r="F78" s="46">
        <f t="shared" si="48"/>
        <v>0</v>
      </c>
      <c r="G78" s="46">
        <f t="shared" si="48"/>
        <v>0</v>
      </c>
      <c r="H78" s="46">
        <f t="shared" si="48"/>
        <v>0</v>
      </c>
      <c r="I78" s="47">
        <f t="shared" si="48"/>
        <v>0</v>
      </c>
      <c r="J78" s="48">
        <f t="shared" si="48"/>
        <v>0</v>
      </c>
      <c r="L78" s="45">
        <f t="shared" ref="L78:T78" si="49">SUM(L74:L77)</f>
        <v>0</v>
      </c>
      <c r="M78" s="46">
        <f t="shared" si="49"/>
        <v>0</v>
      </c>
      <c r="N78" s="46">
        <f t="shared" si="49"/>
        <v>0</v>
      </c>
      <c r="O78" s="46">
        <f t="shared" si="49"/>
        <v>0</v>
      </c>
      <c r="P78" s="46">
        <f t="shared" si="49"/>
        <v>0</v>
      </c>
      <c r="Q78" s="46">
        <f t="shared" si="49"/>
        <v>0</v>
      </c>
      <c r="R78" s="46">
        <f t="shared" si="49"/>
        <v>0</v>
      </c>
      <c r="S78" s="47">
        <f t="shared" si="49"/>
        <v>0</v>
      </c>
      <c r="T78" s="48">
        <f t="shared" si="49"/>
        <v>0</v>
      </c>
      <c r="V78" s="45">
        <f t="shared" ref="V78:AD78" si="50">SUM(V74:V77)</f>
        <v>59</v>
      </c>
      <c r="W78" s="46">
        <f t="shared" si="50"/>
        <v>5</v>
      </c>
      <c r="X78" s="46">
        <f t="shared" si="50"/>
        <v>0</v>
      </c>
      <c r="Y78" s="46">
        <f t="shared" si="50"/>
        <v>0</v>
      </c>
      <c r="Z78" s="46">
        <f t="shared" si="50"/>
        <v>0</v>
      </c>
      <c r="AA78" s="46">
        <f t="shared" si="50"/>
        <v>1</v>
      </c>
      <c r="AB78" s="46">
        <f t="shared" si="50"/>
        <v>31</v>
      </c>
      <c r="AC78" s="47">
        <f t="shared" si="50"/>
        <v>0</v>
      </c>
      <c r="AD78" s="48">
        <f t="shared" si="50"/>
        <v>96</v>
      </c>
      <c r="AF78" s="45">
        <f t="shared" ref="AF78:AN78" si="51">SUM(AF74:AF77)</f>
        <v>41</v>
      </c>
      <c r="AG78" s="46">
        <f t="shared" si="51"/>
        <v>0</v>
      </c>
      <c r="AH78" s="46">
        <f t="shared" si="51"/>
        <v>1</v>
      </c>
      <c r="AI78" s="46">
        <f t="shared" si="51"/>
        <v>0</v>
      </c>
      <c r="AJ78" s="46">
        <f t="shared" si="51"/>
        <v>0</v>
      </c>
      <c r="AK78" s="46">
        <f t="shared" si="51"/>
        <v>0</v>
      </c>
      <c r="AL78" s="46">
        <f t="shared" si="51"/>
        <v>214</v>
      </c>
      <c r="AM78" s="47">
        <f t="shared" si="51"/>
        <v>0</v>
      </c>
      <c r="AN78" s="48">
        <f t="shared" si="51"/>
        <v>256</v>
      </c>
      <c r="AP78" s="48">
        <f>SUM(AP74:AP77)</f>
        <v>352</v>
      </c>
    </row>
    <row r="80" spans="1:42" ht="15.75" customHeight="1">
      <c r="A80" s="48" t="s">
        <v>30</v>
      </c>
      <c r="B80" s="45">
        <f t="shared" ref="B80:J80" si="52">SUM(B78+B73+B68+B63+B58+B53)</f>
        <v>0</v>
      </c>
      <c r="C80" s="46">
        <f t="shared" si="52"/>
        <v>0</v>
      </c>
      <c r="D80" s="46">
        <f t="shared" si="52"/>
        <v>0</v>
      </c>
      <c r="E80" s="46">
        <f t="shared" si="52"/>
        <v>0</v>
      </c>
      <c r="F80" s="46">
        <f t="shared" si="52"/>
        <v>0</v>
      </c>
      <c r="G80" s="46">
        <f t="shared" si="52"/>
        <v>0</v>
      </c>
      <c r="H80" s="46">
        <f t="shared" si="52"/>
        <v>0</v>
      </c>
      <c r="I80" s="47">
        <f t="shared" si="52"/>
        <v>0</v>
      </c>
      <c r="J80" s="48">
        <f t="shared" si="52"/>
        <v>0</v>
      </c>
      <c r="L80" s="45">
        <f t="shared" ref="L80:T80" si="53">SUM(L78+L73+L68+L63+L58+L53)</f>
        <v>0</v>
      </c>
      <c r="M80" s="46">
        <f t="shared" si="53"/>
        <v>0</v>
      </c>
      <c r="N80" s="46">
        <f t="shared" si="53"/>
        <v>0</v>
      </c>
      <c r="O80" s="46">
        <f t="shared" si="53"/>
        <v>0</v>
      </c>
      <c r="P80" s="46">
        <f t="shared" si="53"/>
        <v>0</v>
      </c>
      <c r="Q80" s="46">
        <f t="shared" si="53"/>
        <v>0</v>
      </c>
      <c r="R80" s="46">
        <f t="shared" si="53"/>
        <v>0</v>
      </c>
      <c r="S80" s="47">
        <f t="shared" si="53"/>
        <v>0</v>
      </c>
      <c r="T80" s="48">
        <f t="shared" si="53"/>
        <v>0</v>
      </c>
      <c r="V80" s="45">
        <f t="shared" ref="V80:AD80" si="54">SUM(V78+V73+V68+V63+V58+V53)</f>
        <v>322</v>
      </c>
      <c r="W80" s="46">
        <f t="shared" si="54"/>
        <v>39</v>
      </c>
      <c r="X80" s="46">
        <f t="shared" si="54"/>
        <v>2</v>
      </c>
      <c r="Y80" s="46">
        <f t="shared" si="54"/>
        <v>0</v>
      </c>
      <c r="Z80" s="46">
        <f t="shared" si="54"/>
        <v>0</v>
      </c>
      <c r="AA80" s="46">
        <f t="shared" si="54"/>
        <v>8</v>
      </c>
      <c r="AB80" s="46">
        <f t="shared" si="54"/>
        <v>159</v>
      </c>
      <c r="AC80" s="47">
        <f t="shared" si="54"/>
        <v>2</v>
      </c>
      <c r="AD80" s="48">
        <f t="shared" si="54"/>
        <v>532</v>
      </c>
      <c r="AF80" s="45">
        <f t="shared" ref="AF80:AN80" si="55">SUM(AF78+AF73+AF68+AF63+AF58+AF53)</f>
        <v>270</v>
      </c>
      <c r="AG80" s="46">
        <f t="shared" si="55"/>
        <v>35</v>
      </c>
      <c r="AH80" s="46">
        <f t="shared" si="55"/>
        <v>3</v>
      </c>
      <c r="AI80" s="46">
        <f t="shared" si="55"/>
        <v>0</v>
      </c>
      <c r="AJ80" s="46">
        <f t="shared" si="55"/>
        <v>0</v>
      </c>
      <c r="AK80" s="46">
        <f t="shared" si="55"/>
        <v>4</v>
      </c>
      <c r="AL80" s="46">
        <f t="shared" si="55"/>
        <v>687</v>
      </c>
      <c r="AM80" s="47">
        <f t="shared" si="55"/>
        <v>3</v>
      </c>
      <c r="AN80" s="48">
        <f t="shared" si="55"/>
        <v>1002</v>
      </c>
      <c r="AP80" s="48">
        <f>SUM(AP78+AP73+AP68+AP63+AP58+AP53)</f>
        <v>1534</v>
      </c>
    </row>
    <row r="82" spans="1:42" ht="15.75" customHeight="1">
      <c r="A82" s="48" t="s">
        <v>24</v>
      </c>
      <c r="B82" s="45">
        <f t="shared" ref="B82:J82" si="56">SUM(B43+B80)</f>
        <v>0</v>
      </c>
      <c r="C82" s="46">
        <f t="shared" si="56"/>
        <v>1</v>
      </c>
      <c r="D82" s="46">
        <f t="shared" si="56"/>
        <v>0</v>
      </c>
      <c r="E82" s="46">
        <f t="shared" si="56"/>
        <v>0</v>
      </c>
      <c r="F82" s="46">
        <f t="shared" si="56"/>
        <v>0</v>
      </c>
      <c r="G82" s="46">
        <f t="shared" si="56"/>
        <v>0</v>
      </c>
      <c r="H82" s="46">
        <f t="shared" si="56"/>
        <v>0</v>
      </c>
      <c r="I82" s="47">
        <f t="shared" si="56"/>
        <v>0</v>
      </c>
      <c r="J82" s="48">
        <f t="shared" si="56"/>
        <v>1</v>
      </c>
      <c r="L82" s="45">
        <f t="shared" ref="L82:T82" si="57">SUM(L43+L80)</f>
        <v>0</v>
      </c>
      <c r="M82" s="46">
        <f t="shared" si="57"/>
        <v>0</v>
      </c>
      <c r="N82" s="46">
        <f t="shared" si="57"/>
        <v>0</v>
      </c>
      <c r="O82" s="46">
        <f t="shared" si="57"/>
        <v>0</v>
      </c>
      <c r="P82" s="46">
        <f t="shared" si="57"/>
        <v>0</v>
      </c>
      <c r="Q82" s="46">
        <f t="shared" si="57"/>
        <v>0</v>
      </c>
      <c r="R82" s="46">
        <f t="shared" si="57"/>
        <v>2</v>
      </c>
      <c r="S82" s="47">
        <f t="shared" si="57"/>
        <v>0</v>
      </c>
      <c r="T82" s="48">
        <f t="shared" si="57"/>
        <v>2</v>
      </c>
      <c r="V82" s="45">
        <f t="shared" ref="V82:AD82" si="58">SUM(V43+V80)</f>
        <v>438</v>
      </c>
      <c r="W82" s="46">
        <f t="shared" si="58"/>
        <v>74</v>
      </c>
      <c r="X82" s="46">
        <f t="shared" si="58"/>
        <v>6</v>
      </c>
      <c r="Y82" s="46">
        <f t="shared" si="58"/>
        <v>2</v>
      </c>
      <c r="Z82" s="46">
        <f t="shared" si="58"/>
        <v>0</v>
      </c>
      <c r="AA82" s="46">
        <f t="shared" si="58"/>
        <v>8</v>
      </c>
      <c r="AB82" s="46">
        <f t="shared" si="58"/>
        <v>202</v>
      </c>
      <c r="AC82" s="47">
        <f t="shared" si="58"/>
        <v>2</v>
      </c>
      <c r="AD82" s="48">
        <f t="shared" si="58"/>
        <v>732</v>
      </c>
      <c r="AF82" s="45">
        <f t="shared" ref="AF82:AN82" si="59">SUM(AF43+AF80)</f>
        <v>355</v>
      </c>
      <c r="AG82" s="46">
        <f t="shared" si="59"/>
        <v>56</v>
      </c>
      <c r="AH82" s="46">
        <f t="shared" si="59"/>
        <v>8</v>
      </c>
      <c r="AI82" s="46">
        <f t="shared" si="59"/>
        <v>0</v>
      </c>
      <c r="AJ82" s="46">
        <f t="shared" si="59"/>
        <v>0</v>
      </c>
      <c r="AK82" s="46">
        <f t="shared" si="59"/>
        <v>5</v>
      </c>
      <c r="AL82" s="46">
        <f t="shared" si="59"/>
        <v>847</v>
      </c>
      <c r="AM82" s="47">
        <f t="shared" si="59"/>
        <v>4</v>
      </c>
      <c r="AN82" s="48">
        <f t="shared" si="59"/>
        <v>1275</v>
      </c>
      <c r="AP82" s="48">
        <f>SUM(AP43+AP80)</f>
        <v>2010</v>
      </c>
    </row>
    <row r="84" spans="1:42" ht="15.75" customHeight="1">
      <c r="A84" s="44" t="s">
        <v>14</v>
      </c>
      <c r="B84" s="44" t="str">
        <f>$N$9</f>
        <v>Arm B - River Path</v>
      </c>
    </row>
    <row r="85" spans="1:42" ht="15.75" customHeight="1">
      <c r="B85" s="45" t="s">
        <v>16</v>
      </c>
      <c r="C85" s="46"/>
      <c r="D85" s="46" t="str">
        <f>$D$9</f>
        <v>Arm A - Wapping Road</v>
      </c>
      <c r="E85" s="46"/>
      <c r="F85" s="46"/>
      <c r="G85" s="46"/>
      <c r="H85" s="46"/>
      <c r="I85" s="47"/>
      <c r="J85" s="48"/>
      <c r="L85" s="45" t="s">
        <v>16</v>
      </c>
      <c r="M85" s="46"/>
      <c r="N85" s="46" t="str">
        <f>$N$9</f>
        <v>Arm B - River Path</v>
      </c>
      <c r="O85" s="46"/>
      <c r="P85" s="46"/>
      <c r="Q85" s="46"/>
      <c r="R85" s="46"/>
      <c r="S85" s="47"/>
      <c r="T85" s="48"/>
      <c r="V85" s="45" t="s">
        <v>16</v>
      </c>
      <c r="W85" s="46"/>
      <c r="X85" s="46" t="str">
        <f>$X$9</f>
        <v>Arm C - Commerical Road</v>
      </c>
      <c r="Y85" s="46"/>
      <c r="Z85" s="46"/>
      <c r="AA85" s="46"/>
      <c r="AB85" s="46"/>
      <c r="AC85" s="47"/>
      <c r="AD85" s="48"/>
      <c r="AF85" s="45" t="s">
        <v>16</v>
      </c>
      <c r="AG85" s="46"/>
      <c r="AH85" s="46" t="str">
        <f>$AH$9</f>
        <v>Arm D - Cumberland Road</v>
      </c>
      <c r="AI85" s="46"/>
      <c r="AJ85" s="46"/>
      <c r="AK85" s="46"/>
      <c r="AL85" s="46"/>
      <c r="AM85" s="47"/>
      <c r="AN85" s="48"/>
      <c r="AP85" s="49" t="s">
        <v>28</v>
      </c>
    </row>
    <row r="86" spans="1:42" s="50" customFormat="1" ht="15.75" customHeight="1">
      <c r="B86" s="51" t="str">
        <f>$B$10</f>
        <v>CAR</v>
      </c>
      <c r="C86" s="52" t="str">
        <f>$C$10</f>
        <v>LGV</v>
      </c>
      <c r="D86" s="52" t="str">
        <f>$D$10</f>
        <v>OGV1</v>
      </c>
      <c r="E86" s="52" t="str">
        <f>$E$10</f>
        <v>OGV2</v>
      </c>
      <c r="F86" s="52" t="str">
        <f>$F$10</f>
        <v>PSV</v>
      </c>
      <c r="G86" s="52" t="str">
        <f>$G$10</f>
        <v>MC</v>
      </c>
      <c r="H86" s="52" t="str">
        <f>$H$10</f>
        <v>PC</v>
      </c>
      <c r="I86" s="53" t="str">
        <f>$I$10</f>
        <v>PC</v>
      </c>
      <c r="J86" s="54" t="s">
        <v>24</v>
      </c>
      <c r="L86" s="51" t="str">
        <f>$B$10</f>
        <v>CAR</v>
      </c>
      <c r="M86" s="52" t="str">
        <f>$C$10</f>
        <v>LGV</v>
      </c>
      <c r="N86" s="52" t="str">
        <f>$D$10</f>
        <v>OGV1</v>
      </c>
      <c r="O86" s="52" t="str">
        <f>$E$10</f>
        <v>OGV2</v>
      </c>
      <c r="P86" s="52" t="str">
        <f>$F$10</f>
        <v>PSV</v>
      </c>
      <c r="Q86" s="52" t="str">
        <f>$G$10</f>
        <v>MC</v>
      </c>
      <c r="R86" s="52" t="str">
        <f>$H$10</f>
        <v>PC</v>
      </c>
      <c r="S86" s="53" t="str">
        <f>$I$10</f>
        <v>PC</v>
      </c>
      <c r="T86" s="54" t="s">
        <v>24</v>
      </c>
      <c r="V86" s="51" t="str">
        <f>$B$10</f>
        <v>CAR</v>
      </c>
      <c r="W86" s="52" t="str">
        <f>$C$10</f>
        <v>LGV</v>
      </c>
      <c r="X86" s="52" t="str">
        <f>$D$10</f>
        <v>OGV1</v>
      </c>
      <c r="Y86" s="52" t="str">
        <f>$E$10</f>
        <v>OGV2</v>
      </c>
      <c r="Z86" s="52" t="str">
        <f>$F$10</f>
        <v>PSV</v>
      </c>
      <c r="AA86" s="52" t="str">
        <f>$G$10</f>
        <v>MC</v>
      </c>
      <c r="AB86" s="52" t="str">
        <f>$H$10</f>
        <v>PC</v>
      </c>
      <c r="AC86" s="53" t="str">
        <f>$I$10</f>
        <v>PC</v>
      </c>
      <c r="AD86" s="54" t="s">
        <v>24</v>
      </c>
      <c r="AF86" s="51" t="str">
        <f>$B$10</f>
        <v>CAR</v>
      </c>
      <c r="AG86" s="52" t="str">
        <f>$C$10</f>
        <v>LGV</v>
      </c>
      <c r="AH86" s="52" t="str">
        <f>$D$10</f>
        <v>OGV1</v>
      </c>
      <c r="AI86" s="52" t="str">
        <f>$E$10</f>
        <v>OGV2</v>
      </c>
      <c r="AJ86" s="52" t="str">
        <f>$F$10</f>
        <v>PSV</v>
      </c>
      <c r="AK86" s="52" t="str">
        <f>$G$10</f>
        <v>MC</v>
      </c>
      <c r="AL86" s="52" t="str">
        <f>$H$10</f>
        <v>PC</v>
      </c>
      <c r="AM86" s="53" t="str">
        <f>$I$10</f>
        <v>PC</v>
      </c>
      <c r="AN86" s="54" t="s">
        <v>24</v>
      </c>
      <c r="AP86" s="55"/>
    </row>
    <row r="88" spans="1:42" ht="15.75" customHeight="1">
      <c r="A88" s="56">
        <v>0.29166666666666669</v>
      </c>
      <c r="B88" s="32">
        <v>0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4">
        <v>0</v>
      </c>
      <c r="J88" s="57">
        <f>SUM(B88:I88)</f>
        <v>0</v>
      </c>
      <c r="L88" s="32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4">
        <v>0</v>
      </c>
      <c r="T88" s="57">
        <f>SUM(L88:S88)</f>
        <v>0</v>
      </c>
      <c r="V88" s="32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4">
        <v>0</v>
      </c>
      <c r="AD88" s="57">
        <f>SUM(V88:AC88)</f>
        <v>0</v>
      </c>
      <c r="AF88" s="32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4">
        <v>0</v>
      </c>
      <c r="AN88" s="57">
        <f>SUM(AF88:AM88)</f>
        <v>0</v>
      </c>
      <c r="AP88" s="57">
        <f>SUM(J88+T88+AD88+AN88)</f>
        <v>0</v>
      </c>
    </row>
    <row r="89" spans="1:42" ht="15.75" customHeight="1">
      <c r="A89" s="58">
        <v>0.30208333333333331</v>
      </c>
      <c r="B89" s="36">
        <v>0</v>
      </c>
      <c r="C89" s="37">
        <v>0</v>
      </c>
      <c r="D89" s="37">
        <v>0</v>
      </c>
      <c r="E89" s="37">
        <v>0</v>
      </c>
      <c r="F89" s="37">
        <v>0</v>
      </c>
      <c r="G89" s="37">
        <v>0</v>
      </c>
      <c r="H89" s="37">
        <v>0</v>
      </c>
      <c r="I89" s="40">
        <v>0</v>
      </c>
      <c r="J89" s="59">
        <f>SUM(B89:I89)</f>
        <v>0</v>
      </c>
      <c r="L89" s="36">
        <v>0</v>
      </c>
      <c r="M89" s="37">
        <v>0</v>
      </c>
      <c r="N89" s="37">
        <v>0</v>
      </c>
      <c r="O89" s="37">
        <v>0</v>
      </c>
      <c r="P89" s="37">
        <v>0</v>
      </c>
      <c r="Q89" s="37">
        <v>0</v>
      </c>
      <c r="R89" s="37">
        <v>0</v>
      </c>
      <c r="S89" s="40">
        <v>0</v>
      </c>
      <c r="T89" s="59">
        <f>SUM(L89:S89)</f>
        <v>0</v>
      </c>
      <c r="V89" s="36">
        <v>0</v>
      </c>
      <c r="W89" s="37">
        <v>0</v>
      </c>
      <c r="X89" s="37">
        <v>0</v>
      </c>
      <c r="Y89" s="37">
        <v>0</v>
      </c>
      <c r="Z89" s="37">
        <v>0</v>
      </c>
      <c r="AA89" s="37">
        <v>0</v>
      </c>
      <c r="AB89" s="37">
        <v>0</v>
      </c>
      <c r="AC89" s="40">
        <v>0</v>
      </c>
      <c r="AD89" s="59">
        <f>SUM(V89:AC89)</f>
        <v>0</v>
      </c>
      <c r="AF89" s="36">
        <v>0</v>
      </c>
      <c r="AG89" s="37">
        <v>0</v>
      </c>
      <c r="AH89" s="37">
        <v>0</v>
      </c>
      <c r="AI89" s="37">
        <v>0</v>
      </c>
      <c r="AJ89" s="37">
        <v>0</v>
      </c>
      <c r="AK89" s="37">
        <v>0</v>
      </c>
      <c r="AL89" s="37">
        <v>0</v>
      </c>
      <c r="AM89" s="40">
        <v>0</v>
      </c>
      <c r="AN89" s="59">
        <f>SUM(AF89:AM89)</f>
        <v>0</v>
      </c>
      <c r="AP89" s="59">
        <f>SUM(J89+T89+AD89+AN89)</f>
        <v>0</v>
      </c>
    </row>
    <row r="90" spans="1:42" ht="15.75" customHeight="1">
      <c r="A90" s="58">
        <v>0.3125</v>
      </c>
      <c r="B90" s="36">
        <v>0</v>
      </c>
      <c r="C90" s="37">
        <v>0</v>
      </c>
      <c r="D90" s="37">
        <v>0</v>
      </c>
      <c r="E90" s="37">
        <v>0</v>
      </c>
      <c r="F90" s="37">
        <v>0</v>
      </c>
      <c r="G90" s="37">
        <v>0</v>
      </c>
      <c r="H90" s="37">
        <v>0</v>
      </c>
      <c r="I90" s="40">
        <v>0</v>
      </c>
      <c r="J90" s="59">
        <f>SUM(B90:I90)</f>
        <v>0</v>
      </c>
      <c r="L90" s="36">
        <v>0</v>
      </c>
      <c r="M90" s="37">
        <v>0</v>
      </c>
      <c r="N90" s="37">
        <v>0</v>
      </c>
      <c r="O90" s="37">
        <v>0</v>
      </c>
      <c r="P90" s="37">
        <v>0</v>
      </c>
      <c r="Q90" s="37">
        <v>0</v>
      </c>
      <c r="R90" s="37">
        <v>0</v>
      </c>
      <c r="S90" s="40">
        <v>0</v>
      </c>
      <c r="T90" s="59">
        <f>SUM(L90:S90)</f>
        <v>0</v>
      </c>
      <c r="V90" s="36">
        <v>0</v>
      </c>
      <c r="W90" s="37">
        <v>0</v>
      </c>
      <c r="X90" s="37">
        <v>0</v>
      </c>
      <c r="Y90" s="37">
        <v>0</v>
      </c>
      <c r="Z90" s="37">
        <v>0</v>
      </c>
      <c r="AA90" s="37">
        <v>0</v>
      </c>
      <c r="AB90" s="37">
        <v>0</v>
      </c>
      <c r="AC90" s="40">
        <v>0</v>
      </c>
      <c r="AD90" s="59">
        <f>SUM(V90:AC90)</f>
        <v>0</v>
      </c>
      <c r="AF90" s="36">
        <v>0</v>
      </c>
      <c r="AG90" s="37">
        <v>0</v>
      </c>
      <c r="AH90" s="37">
        <v>0</v>
      </c>
      <c r="AI90" s="37">
        <v>0</v>
      </c>
      <c r="AJ90" s="37">
        <v>0</v>
      </c>
      <c r="AK90" s="37">
        <v>0</v>
      </c>
      <c r="AL90" s="37">
        <v>0</v>
      </c>
      <c r="AM90" s="40">
        <v>0</v>
      </c>
      <c r="AN90" s="59">
        <f>SUM(AF90:AM90)</f>
        <v>0</v>
      </c>
      <c r="AP90" s="59">
        <f>SUM(J90+T90+AD90+AN90)</f>
        <v>0</v>
      </c>
    </row>
    <row r="91" spans="1:42" ht="15.75" customHeight="1">
      <c r="A91" s="60">
        <v>0.32291666666666669</v>
      </c>
      <c r="B91" s="41">
        <v>0</v>
      </c>
      <c r="C91" s="42">
        <v>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3">
        <v>0</v>
      </c>
      <c r="J91" s="61">
        <f>SUM(B91:I91)</f>
        <v>0</v>
      </c>
      <c r="L91" s="41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3">
        <v>0</v>
      </c>
      <c r="T91" s="61">
        <f>SUM(L91:S91)</f>
        <v>0</v>
      </c>
      <c r="V91" s="41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3">
        <v>0</v>
      </c>
      <c r="AD91" s="61">
        <f>SUM(V91:AC91)</f>
        <v>0</v>
      </c>
      <c r="AF91" s="41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3">
        <v>0</v>
      </c>
      <c r="AN91" s="61">
        <f>SUM(AF91:AM91)</f>
        <v>0</v>
      </c>
      <c r="AP91" s="61">
        <f>SUM(J91+T91+AD91+AN91)</f>
        <v>0</v>
      </c>
    </row>
    <row r="92" spans="1:42" ht="15.75" customHeight="1">
      <c r="A92" s="48" t="s">
        <v>29</v>
      </c>
      <c r="B92" s="45">
        <f t="shared" ref="B92:J92" si="60">SUM(B88:B91)</f>
        <v>0</v>
      </c>
      <c r="C92" s="46">
        <f t="shared" si="60"/>
        <v>0</v>
      </c>
      <c r="D92" s="46">
        <f t="shared" si="60"/>
        <v>0</v>
      </c>
      <c r="E92" s="46">
        <f t="shared" si="60"/>
        <v>0</v>
      </c>
      <c r="F92" s="46">
        <f t="shared" si="60"/>
        <v>0</v>
      </c>
      <c r="G92" s="46">
        <f t="shared" si="60"/>
        <v>0</v>
      </c>
      <c r="H92" s="46">
        <f t="shared" si="60"/>
        <v>0</v>
      </c>
      <c r="I92" s="47">
        <f t="shared" si="60"/>
        <v>0</v>
      </c>
      <c r="J92" s="48">
        <f t="shared" si="60"/>
        <v>0</v>
      </c>
      <c r="L92" s="45">
        <f t="shared" ref="L92:T92" si="61">SUM(L88:L91)</f>
        <v>0</v>
      </c>
      <c r="M92" s="46">
        <f t="shared" si="61"/>
        <v>0</v>
      </c>
      <c r="N92" s="46">
        <f t="shared" si="61"/>
        <v>0</v>
      </c>
      <c r="O92" s="46">
        <f t="shared" si="61"/>
        <v>0</v>
      </c>
      <c r="P92" s="46">
        <f t="shared" si="61"/>
        <v>0</v>
      </c>
      <c r="Q92" s="46">
        <f t="shared" si="61"/>
        <v>0</v>
      </c>
      <c r="R92" s="46">
        <f t="shared" si="61"/>
        <v>0</v>
      </c>
      <c r="S92" s="47">
        <f t="shared" si="61"/>
        <v>0</v>
      </c>
      <c r="T92" s="48">
        <f t="shared" si="61"/>
        <v>0</v>
      </c>
      <c r="V92" s="45">
        <f t="shared" ref="V92:AD92" si="62">SUM(V88:V91)</f>
        <v>0</v>
      </c>
      <c r="W92" s="46">
        <f t="shared" si="62"/>
        <v>0</v>
      </c>
      <c r="X92" s="46">
        <f t="shared" si="62"/>
        <v>0</v>
      </c>
      <c r="Y92" s="46">
        <f t="shared" si="62"/>
        <v>0</v>
      </c>
      <c r="Z92" s="46">
        <f t="shared" si="62"/>
        <v>0</v>
      </c>
      <c r="AA92" s="46">
        <f t="shared" si="62"/>
        <v>0</v>
      </c>
      <c r="AB92" s="46">
        <f t="shared" si="62"/>
        <v>0</v>
      </c>
      <c r="AC92" s="47">
        <f t="shared" si="62"/>
        <v>0</v>
      </c>
      <c r="AD92" s="48">
        <f t="shared" si="62"/>
        <v>0</v>
      </c>
      <c r="AF92" s="45">
        <f t="shared" ref="AF92:AN92" si="63">SUM(AF88:AF91)</f>
        <v>0</v>
      </c>
      <c r="AG92" s="46">
        <f t="shared" si="63"/>
        <v>0</v>
      </c>
      <c r="AH92" s="46">
        <f t="shared" si="63"/>
        <v>0</v>
      </c>
      <c r="AI92" s="46">
        <f t="shared" si="63"/>
        <v>0</v>
      </c>
      <c r="AJ92" s="46">
        <f t="shared" si="63"/>
        <v>0</v>
      </c>
      <c r="AK92" s="46">
        <f t="shared" si="63"/>
        <v>0</v>
      </c>
      <c r="AL92" s="46">
        <f t="shared" si="63"/>
        <v>0</v>
      </c>
      <c r="AM92" s="47">
        <f t="shared" si="63"/>
        <v>0</v>
      </c>
      <c r="AN92" s="48">
        <f t="shared" si="63"/>
        <v>0</v>
      </c>
      <c r="AP92" s="48">
        <f>SUM(AP88:AP91)</f>
        <v>0</v>
      </c>
    </row>
    <row r="93" spans="1:42" ht="15.75" customHeight="1">
      <c r="A93" s="56">
        <v>0.33333333333333331</v>
      </c>
      <c r="B93" s="32">
        <v>0</v>
      </c>
      <c r="C93" s="33">
        <v>0</v>
      </c>
      <c r="D93" s="33">
        <v>0</v>
      </c>
      <c r="E93" s="33">
        <v>0</v>
      </c>
      <c r="F93" s="33">
        <v>0</v>
      </c>
      <c r="G93" s="33">
        <v>0</v>
      </c>
      <c r="H93" s="33">
        <v>0</v>
      </c>
      <c r="I93" s="34">
        <v>0</v>
      </c>
      <c r="J93" s="57">
        <f>SUM(B93:I93)</f>
        <v>0</v>
      </c>
      <c r="L93" s="32">
        <v>0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33">
        <v>0</v>
      </c>
      <c r="S93" s="34">
        <v>0</v>
      </c>
      <c r="T93" s="57">
        <f>SUM(L93:S93)</f>
        <v>0</v>
      </c>
      <c r="V93" s="32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4">
        <v>0</v>
      </c>
      <c r="AD93" s="57">
        <f>SUM(V93:AC93)</f>
        <v>0</v>
      </c>
      <c r="AF93" s="32">
        <v>0</v>
      </c>
      <c r="AG93" s="33">
        <v>0</v>
      </c>
      <c r="AH93" s="33">
        <v>0</v>
      </c>
      <c r="AI93" s="33">
        <v>0</v>
      </c>
      <c r="AJ93" s="33">
        <v>0</v>
      </c>
      <c r="AK93" s="33">
        <v>0</v>
      </c>
      <c r="AL93" s="33">
        <v>0</v>
      </c>
      <c r="AM93" s="34">
        <v>0</v>
      </c>
      <c r="AN93" s="57">
        <f>SUM(AF93:AM93)</f>
        <v>0</v>
      </c>
      <c r="AP93" s="57">
        <f>SUM(J93+T93+AD93+AN93)</f>
        <v>0</v>
      </c>
    </row>
    <row r="94" spans="1:42" ht="15.75" customHeight="1">
      <c r="A94" s="58">
        <v>0.34375</v>
      </c>
      <c r="B94" s="36">
        <v>0</v>
      </c>
      <c r="C94" s="37">
        <v>0</v>
      </c>
      <c r="D94" s="37">
        <v>0</v>
      </c>
      <c r="E94" s="37">
        <v>0</v>
      </c>
      <c r="F94" s="37">
        <v>0</v>
      </c>
      <c r="G94" s="37">
        <v>0</v>
      </c>
      <c r="H94" s="37">
        <v>0</v>
      </c>
      <c r="I94" s="40">
        <v>0</v>
      </c>
      <c r="J94" s="59">
        <f>SUM(B94:I94)</f>
        <v>0</v>
      </c>
      <c r="L94" s="36">
        <v>0</v>
      </c>
      <c r="M94" s="37">
        <v>0</v>
      </c>
      <c r="N94" s="37">
        <v>0</v>
      </c>
      <c r="O94" s="37">
        <v>0</v>
      </c>
      <c r="P94" s="37">
        <v>0</v>
      </c>
      <c r="Q94" s="37">
        <v>0</v>
      </c>
      <c r="R94" s="37">
        <v>0</v>
      </c>
      <c r="S94" s="40">
        <v>0</v>
      </c>
      <c r="T94" s="59">
        <f>SUM(L94:S94)</f>
        <v>0</v>
      </c>
      <c r="V94" s="36">
        <v>0</v>
      </c>
      <c r="W94" s="37">
        <v>0</v>
      </c>
      <c r="X94" s="37">
        <v>0</v>
      </c>
      <c r="Y94" s="37">
        <v>0</v>
      </c>
      <c r="Z94" s="37">
        <v>0</v>
      </c>
      <c r="AA94" s="37">
        <v>0</v>
      </c>
      <c r="AB94" s="37">
        <v>0</v>
      </c>
      <c r="AC94" s="40">
        <v>0</v>
      </c>
      <c r="AD94" s="59">
        <f>SUM(V94:AC94)</f>
        <v>0</v>
      </c>
      <c r="AF94" s="36">
        <v>0</v>
      </c>
      <c r="AG94" s="37">
        <v>0</v>
      </c>
      <c r="AH94" s="37">
        <v>0</v>
      </c>
      <c r="AI94" s="37">
        <v>0</v>
      </c>
      <c r="AJ94" s="37">
        <v>0</v>
      </c>
      <c r="AK94" s="37">
        <v>0</v>
      </c>
      <c r="AL94" s="37">
        <v>0</v>
      </c>
      <c r="AM94" s="40">
        <v>0</v>
      </c>
      <c r="AN94" s="59">
        <f>SUM(AF94:AM94)</f>
        <v>0</v>
      </c>
      <c r="AP94" s="59">
        <f>SUM(J94+T94+AD94+AN94)</f>
        <v>0</v>
      </c>
    </row>
    <row r="95" spans="1:42" ht="15.75" customHeight="1">
      <c r="A95" s="58">
        <v>0.35416666666666669</v>
      </c>
      <c r="B95" s="36">
        <v>0</v>
      </c>
      <c r="C95" s="37">
        <v>0</v>
      </c>
      <c r="D95" s="37">
        <v>0</v>
      </c>
      <c r="E95" s="37">
        <v>0</v>
      </c>
      <c r="F95" s="37">
        <v>0</v>
      </c>
      <c r="G95" s="37">
        <v>0</v>
      </c>
      <c r="H95" s="37">
        <v>0</v>
      </c>
      <c r="I95" s="40">
        <v>0</v>
      </c>
      <c r="J95" s="59">
        <f>SUM(B95:I95)</f>
        <v>0</v>
      </c>
      <c r="L95" s="36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40">
        <v>0</v>
      </c>
      <c r="T95" s="59">
        <f>SUM(L95:S95)</f>
        <v>0</v>
      </c>
      <c r="V95" s="36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40">
        <v>0</v>
      </c>
      <c r="AD95" s="59">
        <f>SUM(V95:AC95)</f>
        <v>0</v>
      </c>
      <c r="AF95" s="36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40">
        <v>0</v>
      </c>
      <c r="AN95" s="59">
        <f>SUM(AF95:AM95)</f>
        <v>0</v>
      </c>
      <c r="AP95" s="59">
        <f>SUM(J95+T95+AD95+AN95)</f>
        <v>0</v>
      </c>
    </row>
    <row r="96" spans="1:42" ht="15.75" customHeight="1">
      <c r="A96" s="60">
        <v>0.36458333333333331</v>
      </c>
      <c r="B96" s="41">
        <v>0</v>
      </c>
      <c r="C96" s="42">
        <v>0</v>
      </c>
      <c r="D96" s="42">
        <v>0</v>
      </c>
      <c r="E96" s="42">
        <v>0</v>
      </c>
      <c r="F96" s="42">
        <v>0</v>
      </c>
      <c r="G96" s="42">
        <v>0</v>
      </c>
      <c r="H96" s="42">
        <v>0</v>
      </c>
      <c r="I96" s="43">
        <v>0</v>
      </c>
      <c r="J96" s="61">
        <f>SUM(B96:I96)</f>
        <v>0</v>
      </c>
      <c r="L96" s="41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3">
        <v>0</v>
      </c>
      <c r="T96" s="61">
        <f>SUM(L96:S96)</f>
        <v>0</v>
      </c>
      <c r="V96" s="41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3">
        <v>0</v>
      </c>
      <c r="AD96" s="61">
        <f>SUM(V96:AC96)</f>
        <v>0</v>
      </c>
      <c r="AF96" s="41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3">
        <v>0</v>
      </c>
      <c r="AN96" s="61">
        <f>SUM(AF96:AM96)</f>
        <v>0</v>
      </c>
      <c r="AP96" s="61">
        <f>SUM(J96+T96+AD96+AN96)</f>
        <v>0</v>
      </c>
    </row>
    <row r="97" spans="1:42" ht="15.75" customHeight="1">
      <c r="A97" s="48" t="s">
        <v>29</v>
      </c>
      <c r="B97" s="45">
        <f t="shared" ref="B97:J97" si="64">SUM(B93:B96)</f>
        <v>0</v>
      </c>
      <c r="C97" s="46">
        <f t="shared" si="64"/>
        <v>0</v>
      </c>
      <c r="D97" s="46">
        <f t="shared" si="64"/>
        <v>0</v>
      </c>
      <c r="E97" s="46">
        <f t="shared" si="64"/>
        <v>0</v>
      </c>
      <c r="F97" s="46">
        <f t="shared" si="64"/>
        <v>0</v>
      </c>
      <c r="G97" s="46">
        <f t="shared" si="64"/>
        <v>0</v>
      </c>
      <c r="H97" s="46">
        <f t="shared" si="64"/>
        <v>0</v>
      </c>
      <c r="I97" s="47">
        <f t="shared" si="64"/>
        <v>0</v>
      </c>
      <c r="J97" s="48">
        <f t="shared" si="64"/>
        <v>0</v>
      </c>
      <c r="L97" s="45">
        <f t="shared" ref="L97:T97" si="65">SUM(L93:L96)</f>
        <v>0</v>
      </c>
      <c r="M97" s="46">
        <f t="shared" si="65"/>
        <v>0</v>
      </c>
      <c r="N97" s="46">
        <f t="shared" si="65"/>
        <v>0</v>
      </c>
      <c r="O97" s="46">
        <f t="shared" si="65"/>
        <v>0</v>
      </c>
      <c r="P97" s="46">
        <f t="shared" si="65"/>
        <v>0</v>
      </c>
      <c r="Q97" s="46">
        <f t="shared" si="65"/>
        <v>0</v>
      </c>
      <c r="R97" s="46">
        <f t="shared" si="65"/>
        <v>0</v>
      </c>
      <c r="S97" s="47">
        <f t="shared" si="65"/>
        <v>0</v>
      </c>
      <c r="T97" s="48">
        <f t="shared" si="65"/>
        <v>0</v>
      </c>
      <c r="V97" s="45">
        <f t="shared" ref="V97:AD97" si="66">SUM(V93:V96)</f>
        <v>0</v>
      </c>
      <c r="W97" s="46">
        <f t="shared" si="66"/>
        <v>0</v>
      </c>
      <c r="X97" s="46">
        <f t="shared" si="66"/>
        <v>0</v>
      </c>
      <c r="Y97" s="46">
        <f t="shared" si="66"/>
        <v>0</v>
      </c>
      <c r="Z97" s="46">
        <f t="shared" si="66"/>
        <v>0</v>
      </c>
      <c r="AA97" s="46">
        <f t="shared" si="66"/>
        <v>0</v>
      </c>
      <c r="AB97" s="46">
        <f t="shared" si="66"/>
        <v>0</v>
      </c>
      <c r="AC97" s="47">
        <f t="shared" si="66"/>
        <v>0</v>
      </c>
      <c r="AD97" s="48">
        <f t="shared" si="66"/>
        <v>0</v>
      </c>
      <c r="AF97" s="45">
        <f t="shared" ref="AF97:AN97" si="67">SUM(AF93:AF96)</f>
        <v>0</v>
      </c>
      <c r="AG97" s="46">
        <f t="shared" si="67"/>
        <v>0</v>
      </c>
      <c r="AH97" s="46">
        <f t="shared" si="67"/>
        <v>0</v>
      </c>
      <c r="AI97" s="46">
        <f t="shared" si="67"/>
        <v>0</v>
      </c>
      <c r="AJ97" s="46">
        <f t="shared" si="67"/>
        <v>0</v>
      </c>
      <c r="AK97" s="46">
        <f t="shared" si="67"/>
        <v>0</v>
      </c>
      <c r="AL97" s="46">
        <f t="shared" si="67"/>
        <v>0</v>
      </c>
      <c r="AM97" s="47">
        <f t="shared" si="67"/>
        <v>0</v>
      </c>
      <c r="AN97" s="48">
        <f t="shared" si="67"/>
        <v>0</v>
      </c>
      <c r="AP97" s="48">
        <f>SUM(AP93:AP96)</f>
        <v>0</v>
      </c>
    </row>
    <row r="98" spans="1:42" ht="15.75" customHeight="1">
      <c r="A98" s="56">
        <v>0.375</v>
      </c>
      <c r="B98" s="32">
        <v>0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4">
        <v>0</v>
      </c>
      <c r="J98" s="57">
        <f>SUM(B98:I98)</f>
        <v>0</v>
      </c>
      <c r="L98" s="32">
        <v>0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33">
        <v>0</v>
      </c>
      <c r="S98" s="34">
        <v>0</v>
      </c>
      <c r="T98" s="57">
        <f>SUM(L98:S98)</f>
        <v>0</v>
      </c>
      <c r="V98" s="32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4">
        <v>0</v>
      </c>
      <c r="AD98" s="57">
        <f>SUM(V98:AC98)</f>
        <v>0</v>
      </c>
      <c r="AF98" s="32">
        <v>0</v>
      </c>
      <c r="AG98" s="33">
        <v>0</v>
      </c>
      <c r="AH98" s="33">
        <v>0</v>
      </c>
      <c r="AI98" s="33">
        <v>0</v>
      </c>
      <c r="AJ98" s="33">
        <v>0</v>
      </c>
      <c r="AK98" s="33">
        <v>0</v>
      </c>
      <c r="AL98" s="33">
        <v>0</v>
      </c>
      <c r="AM98" s="34">
        <v>0</v>
      </c>
      <c r="AN98" s="57">
        <f>SUM(AF98:AM98)</f>
        <v>0</v>
      </c>
      <c r="AP98" s="57">
        <f>SUM(J98+T98+AD98+AN98)</f>
        <v>0</v>
      </c>
    </row>
    <row r="99" spans="1:42" ht="15.75" customHeight="1">
      <c r="A99" s="58">
        <v>0.38541666666666669</v>
      </c>
      <c r="B99" s="36">
        <v>0</v>
      </c>
      <c r="C99" s="37">
        <v>0</v>
      </c>
      <c r="D99" s="37">
        <v>0</v>
      </c>
      <c r="E99" s="37">
        <v>0</v>
      </c>
      <c r="F99" s="37">
        <v>0</v>
      </c>
      <c r="G99" s="37">
        <v>0</v>
      </c>
      <c r="H99" s="37">
        <v>0</v>
      </c>
      <c r="I99" s="40">
        <v>0</v>
      </c>
      <c r="J99" s="59">
        <f>SUM(B99:I99)</f>
        <v>0</v>
      </c>
      <c r="L99" s="36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40">
        <v>0</v>
      </c>
      <c r="T99" s="59">
        <f>SUM(L99:S99)</f>
        <v>0</v>
      </c>
      <c r="V99" s="36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40">
        <v>0</v>
      </c>
      <c r="AD99" s="59">
        <f>SUM(V99:AC99)</f>
        <v>0</v>
      </c>
      <c r="AF99" s="36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37">
        <v>0</v>
      </c>
      <c r="AM99" s="40">
        <v>0</v>
      </c>
      <c r="AN99" s="59">
        <f>SUM(AF99:AM99)</f>
        <v>0</v>
      </c>
      <c r="AP99" s="59">
        <f>SUM(J99+T99+AD99+AN99)</f>
        <v>0</v>
      </c>
    </row>
    <row r="100" spans="1:42" ht="15.75" customHeight="1">
      <c r="A100" s="58">
        <v>0.39583333333333331</v>
      </c>
      <c r="B100" s="36">
        <v>0</v>
      </c>
      <c r="C100" s="37">
        <v>0</v>
      </c>
      <c r="D100" s="37">
        <v>0</v>
      </c>
      <c r="E100" s="37">
        <v>0</v>
      </c>
      <c r="F100" s="37">
        <v>0</v>
      </c>
      <c r="G100" s="37">
        <v>0</v>
      </c>
      <c r="H100" s="37">
        <v>0</v>
      </c>
      <c r="I100" s="40">
        <v>0</v>
      </c>
      <c r="J100" s="59">
        <f>SUM(B100:I100)</f>
        <v>0</v>
      </c>
      <c r="L100" s="36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40">
        <v>0</v>
      </c>
      <c r="T100" s="59">
        <f>SUM(L100:S100)</f>
        <v>0</v>
      </c>
      <c r="V100" s="36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40">
        <v>0</v>
      </c>
      <c r="AD100" s="59">
        <f>SUM(V100:AC100)</f>
        <v>0</v>
      </c>
      <c r="AF100" s="36">
        <v>0</v>
      </c>
      <c r="AG100" s="37">
        <v>0</v>
      </c>
      <c r="AH100" s="37">
        <v>0</v>
      </c>
      <c r="AI100" s="37">
        <v>0</v>
      </c>
      <c r="AJ100" s="37">
        <v>0</v>
      </c>
      <c r="AK100" s="37">
        <v>0</v>
      </c>
      <c r="AL100" s="37">
        <v>0</v>
      </c>
      <c r="AM100" s="40">
        <v>0</v>
      </c>
      <c r="AN100" s="59">
        <f>SUM(AF100:AM100)</f>
        <v>0</v>
      </c>
      <c r="AP100" s="59">
        <f>SUM(J100+T100+AD100+AN100)</f>
        <v>0</v>
      </c>
    </row>
    <row r="101" spans="1:42" ht="15.75" customHeight="1">
      <c r="A101" s="60">
        <v>0.40625</v>
      </c>
      <c r="B101" s="41">
        <v>0</v>
      </c>
      <c r="C101" s="42">
        <v>0</v>
      </c>
      <c r="D101" s="42">
        <v>0</v>
      </c>
      <c r="E101" s="42">
        <v>0</v>
      </c>
      <c r="F101" s="42">
        <v>0</v>
      </c>
      <c r="G101" s="42">
        <v>0</v>
      </c>
      <c r="H101" s="42">
        <v>0</v>
      </c>
      <c r="I101" s="43">
        <v>0</v>
      </c>
      <c r="J101" s="61">
        <f>SUM(B101:I101)</f>
        <v>0</v>
      </c>
      <c r="L101" s="41">
        <v>0</v>
      </c>
      <c r="M101" s="42">
        <v>0</v>
      </c>
      <c r="N101" s="42">
        <v>0</v>
      </c>
      <c r="O101" s="42">
        <v>0</v>
      </c>
      <c r="P101" s="42">
        <v>0</v>
      </c>
      <c r="Q101" s="42">
        <v>0</v>
      </c>
      <c r="R101" s="42">
        <v>0</v>
      </c>
      <c r="S101" s="43">
        <v>0</v>
      </c>
      <c r="T101" s="61">
        <f>SUM(L101:S101)</f>
        <v>0</v>
      </c>
      <c r="V101" s="41">
        <v>0</v>
      </c>
      <c r="W101" s="42">
        <v>0</v>
      </c>
      <c r="X101" s="42">
        <v>0</v>
      </c>
      <c r="Y101" s="42">
        <v>0</v>
      </c>
      <c r="Z101" s="42">
        <v>0</v>
      </c>
      <c r="AA101" s="42">
        <v>0</v>
      </c>
      <c r="AB101" s="42">
        <v>0</v>
      </c>
      <c r="AC101" s="43">
        <v>0</v>
      </c>
      <c r="AD101" s="61">
        <f>SUM(V101:AC101)</f>
        <v>0</v>
      </c>
      <c r="AF101" s="41">
        <v>0</v>
      </c>
      <c r="AG101" s="42">
        <v>0</v>
      </c>
      <c r="AH101" s="42">
        <v>0</v>
      </c>
      <c r="AI101" s="42">
        <v>0</v>
      </c>
      <c r="AJ101" s="42">
        <v>0</v>
      </c>
      <c r="AK101" s="42">
        <v>0</v>
      </c>
      <c r="AL101" s="42">
        <v>0</v>
      </c>
      <c r="AM101" s="43">
        <v>0</v>
      </c>
      <c r="AN101" s="61">
        <f>SUM(AF101:AM101)</f>
        <v>0</v>
      </c>
      <c r="AP101" s="61">
        <f>SUM(J101+T101+AD101+AN101)</f>
        <v>0</v>
      </c>
    </row>
    <row r="102" spans="1:42" ht="15.75" customHeight="1">
      <c r="A102" s="48" t="s">
        <v>29</v>
      </c>
      <c r="B102" s="45">
        <f t="shared" ref="B102:J102" si="68">SUM(B98:B101)</f>
        <v>0</v>
      </c>
      <c r="C102" s="46">
        <f t="shared" si="68"/>
        <v>0</v>
      </c>
      <c r="D102" s="46">
        <f t="shared" si="68"/>
        <v>0</v>
      </c>
      <c r="E102" s="46">
        <f t="shared" si="68"/>
        <v>0</v>
      </c>
      <c r="F102" s="46">
        <f t="shared" si="68"/>
        <v>0</v>
      </c>
      <c r="G102" s="46">
        <f t="shared" si="68"/>
        <v>0</v>
      </c>
      <c r="H102" s="46">
        <f t="shared" si="68"/>
        <v>0</v>
      </c>
      <c r="I102" s="47">
        <f t="shared" si="68"/>
        <v>0</v>
      </c>
      <c r="J102" s="48">
        <f t="shared" si="68"/>
        <v>0</v>
      </c>
      <c r="L102" s="45">
        <f t="shared" ref="L102:T102" si="69">SUM(L98:L101)</f>
        <v>0</v>
      </c>
      <c r="M102" s="46">
        <f t="shared" si="69"/>
        <v>0</v>
      </c>
      <c r="N102" s="46">
        <f t="shared" si="69"/>
        <v>0</v>
      </c>
      <c r="O102" s="46">
        <f t="shared" si="69"/>
        <v>0</v>
      </c>
      <c r="P102" s="46">
        <f t="shared" si="69"/>
        <v>0</v>
      </c>
      <c r="Q102" s="46">
        <f t="shared" si="69"/>
        <v>0</v>
      </c>
      <c r="R102" s="46">
        <f t="shared" si="69"/>
        <v>0</v>
      </c>
      <c r="S102" s="47">
        <f t="shared" si="69"/>
        <v>0</v>
      </c>
      <c r="T102" s="48">
        <f t="shared" si="69"/>
        <v>0</v>
      </c>
      <c r="V102" s="45">
        <f t="shared" ref="V102:AD102" si="70">SUM(V98:V101)</f>
        <v>0</v>
      </c>
      <c r="W102" s="46">
        <f t="shared" si="70"/>
        <v>0</v>
      </c>
      <c r="X102" s="46">
        <f t="shared" si="70"/>
        <v>0</v>
      </c>
      <c r="Y102" s="46">
        <f t="shared" si="70"/>
        <v>0</v>
      </c>
      <c r="Z102" s="46">
        <f t="shared" si="70"/>
        <v>0</v>
      </c>
      <c r="AA102" s="46">
        <f t="shared" si="70"/>
        <v>0</v>
      </c>
      <c r="AB102" s="46">
        <f t="shared" si="70"/>
        <v>0</v>
      </c>
      <c r="AC102" s="47">
        <f t="shared" si="70"/>
        <v>0</v>
      </c>
      <c r="AD102" s="48">
        <f t="shared" si="70"/>
        <v>0</v>
      </c>
      <c r="AF102" s="45">
        <f t="shared" ref="AF102:AN102" si="71">SUM(AF98:AF101)</f>
        <v>0</v>
      </c>
      <c r="AG102" s="46">
        <f t="shared" si="71"/>
        <v>0</v>
      </c>
      <c r="AH102" s="46">
        <f t="shared" si="71"/>
        <v>0</v>
      </c>
      <c r="AI102" s="46">
        <f t="shared" si="71"/>
        <v>0</v>
      </c>
      <c r="AJ102" s="46">
        <f t="shared" si="71"/>
        <v>0</v>
      </c>
      <c r="AK102" s="46">
        <f t="shared" si="71"/>
        <v>0</v>
      </c>
      <c r="AL102" s="46">
        <f t="shared" si="71"/>
        <v>0</v>
      </c>
      <c r="AM102" s="47">
        <f t="shared" si="71"/>
        <v>0</v>
      </c>
      <c r="AN102" s="48">
        <f t="shared" si="71"/>
        <v>0</v>
      </c>
      <c r="AP102" s="48">
        <f>SUM(AP98:AP101)</f>
        <v>0</v>
      </c>
    </row>
    <row r="103" spans="1:42" ht="15.75" customHeight="1">
      <c r="A103" s="56">
        <v>0.41666666666666669</v>
      </c>
      <c r="B103" s="32">
        <v>0</v>
      </c>
      <c r="C103" s="33">
        <v>0</v>
      </c>
      <c r="D103" s="33">
        <v>0</v>
      </c>
      <c r="E103" s="33">
        <v>0</v>
      </c>
      <c r="F103" s="33">
        <v>0</v>
      </c>
      <c r="G103" s="33">
        <v>0</v>
      </c>
      <c r="H103" s="33">
        <v>0</v>
      </c>
      <c r="I103" s="34">
        <v>0</v>
      </c>
      <c r="J103" s="57">
        <f>SUM(B103:I103)</f>
        <v>0</v>
      </c>
      <c r="L103" s="32">
        <v>0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33">
        <v>0</v>
      </c>
      <c r="S103" s="34">
        <v>0</v>
      </c>
      <c r="T103" s="57">
        <f>SUM(L103:S103)</f>
        <v>0</v>
      </c>
      <c r="V103" s="32">
        <v>0</v>
      </c>
      <c r="W103" s="33">
        <v>0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34">
        <v>0</v>
      </c>
      <c r="AD103" s="57">
        <f>SUM(V103:AC103)</f>
        <v>0</v>
      </c>
      <c r="AF103" s="32">
        <v>0</v>
      </c>
      <c r="AG103" s="33">
        <v>0</v>
      </c>
      <c r="AH103" s="33">
        <v>0</v>
      </c>
      <c r="AI103" s="33">
        <v>0</v>
      </c>
      <c r="AJ103" s="33">
        <v>0</v>
      </c>
      <c r="AK103" s="33">
        <v>0</v>
      </c>
      <c r="AL103" s="33">
        <v>0</v>
      </c>
      <c r="AM103" s="34">
        <v>0</v>
      </c>
      <c r="AN103" s="57">
        <f>SUM(AF103:AM103)</f>
        <v>0</v>
      </c>
      <c r="AP103" s="57">
        <f>SUM(J103+T103+AD103+AN103)</f>
        <v>0</v>
      </c>
    </row>
    <row r="104" spans="1:42" ht="15.75" customHeight="1">
      <c r="A104" s="58">
        <v>0.42708333333333331</v>
      </c>
      <c r="B104" s="36">
        <v>0</v>
      </c>
      <c r="C104" s="37">
        <v>0</v>
      </c>
      <c r="D104" s="37">
        <v>0</v>
      </c>
      <c r="E104" s="37">
        <v>0</v>
      </c>
      <c r="F104" s="37">
        <v>0</v>
      </c>
      <c r="G104" s="37">
        <v>0</v>
      </c>
      <c r="H104" s="37">
        <v>0</v>
      </c>
      <c r="I104" s="40">
        <v>0</v>
      </c>
      <c r="J104" s="59">
        <f>SUM(B104:I104)</f>
        <v>0</v>
      </c>
      <c r="L104" s="36">
        <v>0</v>
      </c>
      <c r="M104" s="37">
        <v>0</v>
      </c>
      <c r="N104" s="37">
        <v>0</v>
      </c>
      <c r="O104" s="37">
        <v>0</v>
      </c>
      <c r="P104" s="37">
        <v>0</v>
      </c>
      <c r="Q104" s="37">
        <v>0</v>
      </c>
      <c r="R104" s="37">
        <v>0</v>
      </c>
      <c r="S104" s="40">
        <v>0</v>
      </c>
      <c r="T104" s="59">
        <f>SUM(L104:S104)</f>
        <v>0</v>
      </c>
      <c r="V104" s="36">
        <v>0</v>
      </c>
      <c r="W104" s="37">
        <v>0</v>
      </c>
      <c r="X104" s="37">
        <v>0</v>
      </c>
      <c r="Y104" s="37">
        <v>0</v>
      </c>
      <c r="Z104" s="37">
        <v>0</v>
      </c>
      <c r="AA104" s="37">
        <v>0</v>
      </c>
      <c r="AB104" s="37">
        <v>0</v>
      </c>
      <c r="AC104" s="40">
        <v>0</v>
      </c>
      <c r="AD104" s="59">
        <f>SUM(V104:AC104)</f>
        <v>0</v>
      </c>
      <c r="AF104" s="36">
        <v>0</v>
      </c>
      <c r="AG104" s="37">
        <v>0</v>
      </c>
      <c r="AH104" s="37">
        <v>0</v>
      </c>
      <c r="AI104" s="37">
        <v>0</v>
      </c>
      <c r="AJ104" s="37">
        <v>0</v>
      </c>
      <c r="AK104" s="37">
        <v>0</v>
      </c>
      <c r="AL104" s="37">
        <v>0</v>
      </c>
      <c r="AM104" s="40">
        <v>0</v>
      </c>
      <c r="AN104" s="59">
        <f>SUM(AF104:AM104)</f>
        <v>0</v>
      </c>
      <c r="AP104" s="59">
        <f>SUM(J104+T104+AD104+AN104)</f>
        <v>0</v>
      </c>
    </row>
    <row r="105" spans="1:42" ht="15.75" customHeight="1">
      <c r="A105" s="58">
        <v>0.4375</v>
      </c>
      <c r="B105" s="36">
        <v>0</v>
      </c>
      <c r="C105" s="37">
        <v>0</v>
      </c>
      <c r="D105" s="37">
        <v>0</v>
      </c>
      <c r="E105" s="37">
        <v>0</v>
      </c>
      <c r="F105" s="37">
        <v>0</v>
      </c>
      <c r="G105" s="37">
        <v>0</v>
      </c>
      <c r="H105" s="37">
        <v>0</v>
      </c>
      <c r="I105" s="40">
        <v>0</v>
      </c>
      <c r="J105" s="59">
        <f>SUM(B105:I105)</f>
        <v>0</v>
      </c>
      <c r="L105" s="36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40">
        <v>0</v>
      </c>
      <c r="T105" s="59">
        <f>SUM(L105:S105)</f>
        <v>0</v>
      </c>
      <c r="V105" s="36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40">
        <v>0</v>
      </c>
      <c r="AD105" s="59">
        <f>SUM(V105:AC105)</f>
        <v>0</v>
      </c>
      <c r="AF105" s="36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40">
        <v>0</v>
      </c>
      <c r="AN105" s="59">
        <f>SUM(AF105:AM105)</f>
        <v>0</v>
      </c>
      <c r="AP105" s="59">
        <f>SUM(J105+T105+AD105+AN105)</f>
        <v>0</v>
      </c>
    </row>
    <row r="106" spans="1:42" ht="15.75" customHeight="1">
      <c r="A106" s="60">
        <v>0.44791666666666669</v>
      </c>
      <c r="B106" s="41">
        <v>0</v>
      </c>
      <c r="C106" s="42">
        <v>0</v>
      </c>
      <c r="D106" s="42">
        <v>0</v>
      </c>
      <c r="E106" s="42">
        <v>0</v>
      </c>
      <c r="F106" s="42">
        <v>0</v>
      </c>
      <c r="G106" s="42">
        <v>0</v>
      </c>
      <c r="H106" s="42">
        <v>0</v>
      </c>
      <c r="I106" s="43">
        <v>0</v>
      </c>
      <c r="J106" s="61">
        <f>SUM(B106:I106)</f>
        <v>0</v>
      </c>
      <c r="L106" s="41">
        <v>0</v>
      </c>
      <c r="M106" s="42">
        <v>0</v>
      </c>
      <c r="N106" s="42">
        <v>0</v>
      </c>
      <c r="O106" s="42">
        <v>0</v>
      </c>
      <c r="P106" s="42">
        <v>0</v>
      </c>
      <c r="Q106" s="42">
        <v>0</v>
      </c>
      <c r="R106" s="42">
        <v>0</v>
      </c>
      <c r="S106" s="43">
        <v>0</v>
      </c>
      <c r="T106" s="61">
        <f>SUM(L106:S106)</f>
        <v>0</v>
      </c>
      <c r="V106" s="41">
        <v>0</v>
      </c>
      <c r="W106" s="42">
        <v>0</v>
      </c>
      <c r="X106" s="42">
        <v>0</v>
      </c>
      <c r="Y106" s="42">
        <v>0</v>
      </c>
      <c r="Z106" s="42">
        <v>0</v>
      </c>
      <c r="AA106" s="42">
        <v>0</v>
      </c>
      <c r="AB106" s="42">
        <v>0</v>
      </c>
      <c r="AC106" s="43">
        <v>0</v>
      </c>
      <c r="AD106" s="61">
        <f>SUM(V106:AC106)</f>
        <v>0</v>
      </c>
      <c r="AF106" s="41">
        <v>0</v>
      </c>
      <c r="AG106" s="42">
        <v>0</v>
      </c>
      <c r="AH106" s="42">
        <v>0</v>
      </c>
      <c r="AI106" s="42">
        <v>0</v>
      </c>
      <c r="AJ106" s="42">
        <v>0</v>
      </c>
      <c r="AK106" s="42">
        <v>0</v>
      </c>
      <c r="AL106" s="42">
        <v>0</v>
      </c>
      <c r="AM106" s="43">
        <v>0</v>
      </c>
      <c r="AN106" s="61">
        <f>SUM(AF106:AM106)</f>
        <v>0</v>
      </c>
      <c r="AP106" s="61">
        <f>SUM(J106+T106+AD106+AN106)</f>
        <v>0</v>
      </c>
    </row>
    <row r="107" spans="1:42" ht="15.75" customHeight="1">
      <c r="A107" s="48" t="s">
        <v>29</v>
      </c>
      <c r="B107" s="45">
        <f t="shared" ref="B107:J107" si="72">SUM(B103:B106)</f>
        <v>0</v>
      </c>
      <c r="C107" s="46">
        <f t="shared" si="72"/>
        <v>0</v>
      </c>
      <c r="D107" s="46">
        <f t="shared" si="72"/>
        <v>0</v>
      </c>
      <c r="E107" s="46">
        <f t="shared" si="72"/>
        <v>0</v>
      </c>
      <c r="F107" s="46">
        <f t="shared" si="72"/>
        <v>0</v>
      </c>
      <c r="G107" s="46">
        <f t="shared" si="72"/>
        <v>0</v>
      </c>
      <c r="H107" s="46">
        <f t="shared" si="72"/>
        <v>0</v>
      </c>
      <c r="I107" s="47">
        <f t="shared" si="72"/>
        <v>0</v>
      </c>
      <c r="J107" s="48">
        <f t="shared" si="72"/>
        <v>0</v>
      </c>
      <c r="L107" s="45">
        <f t="shared" ref="L107:T107" si="73">SUM(L103:L106)</f>
        <v>0</v>
      </c>
      <c r="M107" s="46">
        <f t="shared" si="73"/>
        <v>0</v>
      </c>
      <c r="N107" s="46">
        <f t="shared" si="73"/>
        <v>0</v>
      </c>
      <c r="O107" s="46">
        <f t="shared" si="73"/>
        <v>0</v>
      </c>
      <c r="P107" s="46">
        <f t="shared" si="73"/>
        <v>0</v>
      </c>
      <c r="Q107" s="46">
        <f t="shared" si="73"/>
        <v>0</v>
      </c>
      <c r="R107" s="46">
        <f t="shared" si="73"/>
        <v>0</v>
      </c>
      <c r="S107" s="47">
        <f t="shared" si="73"/>
        <v>0</v>
      </c>
      <c r="T107" s="48">
        <f t="shared" si="73"/>
        <v>0</v>
      </c>
      <c r="V107" s="45">
        <f t="shared" ref="V107:AD107" si="74">SUM(V103:V106)</f>
        <v>0</v>
      </c>
      <c r="W107" s="46">
        <f t="shared" si="74"/>
        <v>0</v>
      </c>
      <c r="X107" s="46">
        <f t="shared" si="74"/>
        <v>0</v>
      </c>
      <c r="Y107" s="46">
        <f t="shared" si="74"/>
        <v>0</v>
      </c>
      <c r="Z107" s="46">
        <f t="shared" si="74"/>
        <v>0</v>
      </c>
      <c r="AA107" s="46">
        <f t="shared" si="74"/>
        <v>0</v>
      </c>
      <c r="AB107" s="46">
        <f t="shared" si="74"/>
        <v>0</v>
      </c>
      <c r="AC107" s="47">
        <f t="shared" si="74"/>
        <v>0</v>
      </c>
      <c r="AD107" s="48">
        <f t="shared" si="74"/>
        <v>0</v>
      </c>
      <c r="AF107" s="45">
        <f t="shared" ref="AF107:AN107" si="75">SUM(AF103:AF106)</f>
        <v>0</v>
      </c>
      <c r="AG107" s="46">
        <f t="shared" si="75"/>
        <v>0</v>
      </c>
      <c r="AH107" s="46">
        <f t="shared" si="75"/>
        <v>0</v>
      </c>
      <c r="AI107" s="46">
        <f t="shared" si="75"/>
        <v>0</v>
      </c>
      <c r="AJ107" s="46">
        <f t="shared" si="75"/>
        <v>0</v>
      </c>
      <c r="AK107" s="46">
        <f t="shared" si="75"/>
        <v>0</v>
      </c>
      <c r="AL107" s="46">
        <f t="shared" si="75"/>
        <v>0</v>
      </c>
      <c r="AM107" s="47">
        <f t="shared" si="75"/>
        <v>0</v>
      </c>
      <c r="AN107" s="48">
        <f t="shared" si="75"/>
        <v>0</v>
      </c>
      <c r="AP107" s="48">
        <f>SUM(AP103:AP106)</f>
        <v>0</v>
      </c>
    </row>
    <row r="108" spans="1:42" ht="15.75" customHeight="1">
      <c r="A108" s="56">
        <v>0.45833333333333331</v>
      </c>
      <c r="B108" s="32">
        <v>0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4">
        <v>0</v>
      </c>
      <c r="J108" s="57">
        <f>SUM(B108:I108)</f>
        <v>0</v>
      </c>
      <c r="L108" s="32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34">
        <v>0</v>
      </c>
      <c r="T108" s="57">
        <f>SUM(L108:S108)</f>
        <v>0</v>
      </c>
      <c r="V108" s="32">
        <v>0</v>
      </c>
      <c r="W108" s="33">
        <v>0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34">
        <v>0</v>
      </c>
      <c r="AD108" s="57">
        <f>SUM(V108:AC108)</f>
        <v>0</v>
      </c>
      <c r="AF108" s="32">
        <v>0</v>
      </c>
      <c r="AG108" s="33">
        <v>0</v>
      </c>
      <c r="AH108" s="33">
        <v>0</v>
      </c>
      <c r="AI108" s="33">
        <v>0</v>
      </c>
      <c r="AJ108" s="33">
        <v>0</v>
      </c>
      <c r="AK108" s="33">
        <v>0</v>
      </c>
      <c r="AL108" s="33">
        <v>0</v>
      </c>
      <c r="AM108" s="34">
        <v>0</v>
      </c>
      <c r="AN108" s="57">
        <f>SUM(AF108:AM108)</f>
        <v>0</v>
      </c>
      <c r="AP108" s="57">
        <f>SUM(J108+T108+AD108+AN108)</f>
        <v>0</v>
      </c>
    </row>
    <row r="109" spans="1:42" ht="15.75" customHeight="1">
      <c r="A109" s="58">
        <v>0.46875</v>
      </c>
      <c r="B109" s="36">
        <v>0</v>
      </c>
      <c r="C109" s="37">
        <v>0</v>
      </c>
      <c r="D109" s="37">
        <v>0</v>
      </c>
      <c r="E109" s="37">
        <v>0</v>
      </c>
      <c r="F109" s="37">
        <v>0</v>
      </c>
      <c r="G109" s="37">
        <v>0</v>
      </c>
      <c r="H109" s="37">
        <v>0</v>
      </c>
      <c r="I109" s="40">
        <v>0</v>
      </c>
      <c r="J109" s="59">
        <f>SUM(B109:I109)</f>
        <v>0</v>
      </c>
      <c r="L109" s="36">
        <v>0</v>
      </c>
      <c r="M109" s="37">
        <v>0</v>
      </c>
      <c r="N109" s="37">
        <v>0</v>
      </c>
      <c r="O109" s="37">
        <v>0</v>
      </c>
      <c r="P109" s="37">
        <v>0</v>
      </c>
      <c r="Q109" s="37">
        <v>0</v>
      </c>
      <c r="R109" s="37">
        <v>0</v>
      </c>
      <c r="S109" s="40">
        <v>0</v>
      </c>
      <c r="T109" s="59">
        <f>SUM(L109:S109)</f>
        <v>0</v>
      </c>
      <c r="V109" s="36">
        <v>0</v>
      </c>
      <c r="W109" s="37">
        <v>0</v>
      </c>
      <c r="X109" s="37">
        <v>0</v>
      </c>
      <c r="Y109" s="37">
        <v>0</v>
      </c>
      <c r="Z109" s="37">
        <v>0</v>
      </c>
      <c r="AA109" s="37">
        <v>0</v>
      </c>
      <c r="AB109" s="37">
        <v>0</v>
      </c>
      <c r="AC109" s="40">
        <v>0</v>
      </c>
      <c r="AD109" s="59">
        <f>SUM(V109:AC109)</f>
        <v>0</v>
      </c>
      <c r="AF109" s="36">
        <v>0</v>
      </c>
      <c r="AG109" s="37">
        <v>0</v>
      </c>
      <c r="AH109" s="37">
        <v>0</v>
      </c>
      <c r="AI109" s="37">
        <v>0</v>
      </c>
      <c r="AJ109" s="37">
        <v>0</v>
      </c>
      <c r="AK109" s="37">
        <v>0</v>
      </c>
      <c r="AL109" s="37">
        <v>0</v>
      </c>
      <c r="AM109" s="40">
        <v>0</v>
      </c>
      <c r="AN109" s="59">
        <f>SUM(AF109:AM109)</f>
        <v>0</v>
      </c>
      <c r="AP109" s="59">
        <f>SUM(J109+T109+AD109+AN109)</f>
        <v>0</v>
      </c>
    </row>
    <row r="110" spans="1:42" ht="15.75" customHeight="1">
      <c r="A110" s="58">
        <v>0.47916666666666669</v>
      </c>
      <c r="B110" s="36">
        <v>0</v>
      </c>
      <c r="C110" s="37">
        <v>0</v>
      </c>
      <c r="D110" s="37">
        <v>0</v>
      </c>
      <c r="E110" s="37">
        <v>0</v>
      </c>
      <c r="F110" s="37">
        <v>0</v>
      </c>
      <c r="G110" s="37">
        <v>0</v>
      </c>
      <c r="H110" s="37">
        <v>0</v>
      </c>
      <c r="I110" s="40">
        <v>0</v>
      </c>
      <c r="J110" s="59">
        <f>SUM(B110:I110)</f>
        <v>0</v>
      </c>
      <c r="L110" s="36">
        <v>0</v>
      </c>
      <c r="M110" s="37">
        <v>0</v>
      </c>
      <c r="N110" s="37">
        <v>0</v>
      </c>
      <c r="O110" s="37">
        <v>0</v>
      </c>
      <c r="P110" s="37">
        <v>0</v>
      </c>
      <c r="Q110" s="37">
        <v>0</v>
      </c>
      <c r="R110" s="37">
        <v>0</v>
      </c>
      <c r="S110" s="40">
        <v>0</v>
      </c>
      <c r="T110" s="59">
        <f>SUM(L110:S110)</f>
        <v>0</v>
      </c>
      <c r="V110" s="36">
        <v>0</v>
      </c>
      <c r="W110" s="37">
        <v>0</v>
      </c>
      <c r="X110" s="37">
        <v>0</v>
      </c>
      <c r="Y110" s="37">
        <v>0</v>
      </c>
      <c r="Z110" s="37">
        <v>0</v>
      </c>
      <c r="AA110" s="37">
        <v>0</v>
      </c>
      <c r="AB110" s="37">
        <v>0</v>
      </c>
      <c r="AC110" s="40">
        <v>0</v>
      </c>
      <c r="AD110" s="59">
        <f>SUM(V110:AC110)</f>
        <v>0</v>
      </c>
      <c r="AF110" s="36">
        <v>0</v>
      </c>
      <c r="AG110" s="37">
        <v>0</v>
      </c>
      <c r="AH110" s="37">
        <v>0</v>
      </c>
      <c r="AI110" s="37">
        <v>0</v>
      </c>
      <c r="AJ110" s="37">
        <v>0</v>
      </c>
      <c r="AK110" s="37">
        <v>0</v>
      </c>
      <c r="AL110" s="37">
        <v>0</v>
      </c>
      <c r="AM110" s="40">
        <v>0</v>
      </c>
      <c r="AN110" s="59">
        <f>SUM(AF110:AM110)</f>
        <v>0</v>
      </c>
      <c r="AP110" s="59">
        <f>SUM(J110+T110+AD110+AN110)</f>
        <v>0</v>
      </c>
    </row>
    <row r="111" spans="1:42" ht="15.75" customHeight="1">
      <c r="A111" s="60">
        <v>0.48958333333333331</v>
      </c>
      <c r="B111" s="41">
        <v>0</v>
      </c>
      <c r="C111" s="42">
        <v>0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3">
        <v>0</v>
      </c>
      <c r="J111" s="61">
        <f>SUM(B111:I111)</f>
        <v>0</v>
      </c>
      <c r="L111" s="41">
        <v>0</v>
      </c>
      <c r="M111" s="42">
        <v>0</v>
      </c>
      <c r="N111" s="42">
        <v>0</v>
      </c>
      <c r="O111" s="42">
        <v>0</v>
      </c>
      <c r="P111" s="42">
        <v>0</v>
      </c>
      <c r="Q111" s="42">
        <v>0</v>
      </c>
      <c r="R111" s="42">
        <v>0</v>
      </c>
      <c r="S111" s="43">
        <v>0</v>
      </c>
      <c r="T111" s="61">
        <f>SUM(L111:S111)</f>
        <v>0</v>
      </c>
      <c r="V111" s="41">
        <v>0</v>
      </c>
      <c r="W111" s="42">
        <v>0</v>
      </c>
      <c r="X111" s="42">
        <v>0</v>
      </c>
      <c r="Y111" s="42">
        <v>0</v>
      </c>
      <c r="Z111" s="42">
        <v>0</v>
      </c>
      <c r="AA111" s="42">
        <v>0</v>
      </c>
      <c r="AB111" s="42">
        <v>0</v>
      </c>
      <c r="AC111" s="43">
        <v>0</v>
      </c>
      <c r="AD111" s="61">
        <f>SUM(V111:AC111)</f>
        <v>0</v>
      </c>
      <c r="AF111" s="41">
        <v>0</v>
      </c>
      <c r="AG111" s="42">
        <v>0</v>
      </c>
      <c r="AH111" s="42">
        <v>0</v>
      </c>
      <c r="AI111" s="42">
        <v>0</v>
      </c>
      <c r="AJ111" s="42">
        <v>0</v>
      </c>
      <c r="AK111" s="42">
        <v>0</v>
      </c>
      <c r="AL111" s="42">
        <v>0</v>
      </c>
      <c r="AM111" s="43">
        <v>0</v>
      </c>
      <c r="AN111" s="61">
        <f>SUM(AF111:AM111)</f>
        <v>0</v>
      </c>
      <c r="AP111" s="61">
        <f>SUM(J111+T111+AD111+AN111)</f>
        <v>0</v>
      </c>
    </row>
    <row r="112" spans="1:42" ht="15.75" customHeight="1">
      <c r="A112" s="48" t="s">
        <v>29</v>
      </c>
      <c r="B112" s="45">
        <f t="shared" ref="B112:J112" si="76">SUM(B108:B111)</f>
        <v>0</v>
      </c>
      <c r="C112" s="46">
        <f t="shared" si="76"/>
        <v>0</v>
      </c>
      <c r="D112" s="46">
        <f t="shared" si="76"/>
        <v>0</v>
      </c>
      <c r="E112" s="46">
        <f t="shared" si="76"/>
        <v>0</v>
      </c>
      <c r="F112" s="46">
        <f t="shared" si="76"/>
        <v>0</v>
      </c>
      <c r="G112" s="46">
        <f t="shared" si="76"/>
        <v>0</v>
      </c>
      <c r="H112" s="46">
        <f t="shared" si="76"/>
        <v>0</v>
      </c>
      <c r="I112" s="47">
        <f t="shared" si="76"/>
        <v>0</v>
      </c>
      <c r="J112" s="48">
        <f t="shared" si="76"/>
        <v>0</v>
      </c>
      <c r="L112" s="45">
        <f t="shared" ref="L112:T112" si="77">SUM(L108:L111)</f>
        <v>0</v>
      </c>
      <c r="M112" s="46">
        <f t="shared" si="77"/>
        <v>0</v>
      </c>
      <c r="N112" s="46">
        <f t="shared" si="77"/>
        <v>0</v>
      </c>
      <c r="O112" s="46">
        <f t="shared" si="77"/>
        <v>0</v>
      </c>
      <c r="P112" s="46">
        <f t="shared" si="77"/>
        <v>0</v>
      </c>
      <c r="Q112" s="46">
        <f t="shared" si="77"/>
        <v>0</v>
      </c>
      <c r="R112" s="46">
        <f t="shared" si="77"/>
        <v>0</v>
      </c>
      <c r="S112" s="47">
        <f t="shared" si="77"/>
        <v>0</v>
      </c>
      <c r="T112" s="48">
        <f t="shared" si="77"/>
        <v>0</v>
      </c>
      <c r="V112" s="45">
        <f t="shared" ref="V112:AD112" si="78">SUM(V108:V111)</f>
        <v>0</v>
      </c>
      <c r="W112" s="46">
        <f t="shared" si="78"/>
        <v>0</v>
      </c>
      <c r="X112" s="46">
        <f t="shared" si="78"/>
        <v>0</v>
      </c>
      <c r="Y112" s="46">
        <f t="shared" si="78"/>
        <v>0</v>
      </c>
      <c r="Z112" s="46">
        <f t="shared" si="78"/>
        <v>0</v>
      </c>
      <c r="AA112" s="46">
        <f t="shared" si="78"/>
        <v>0</v>
      </c>
      <c r="AB112" s="46">
        <f t="shared" si="78"/>
        <v>0</v>
      </c>
      <c r="AC112" s="47">
        <f t="shared" si="78"/>
        <v>0</v>
      </c>
      <c r="AD112" s="48">
        <f t="shared" si="78"/>
        <v>0</v>
      </c>
      <c r="AF112" s="45">
        <f t="shared" ref="AF112:AN112" si="79">SUM(AF108:AF111)</f>
        <v>0</v>
      </c>
      <c r="AG112" s="46">
        <f t="shared" si="79"/>
        <v>0</v>
      </c>
      <c r="AH112" s="46">
        <f t="shared" si="79"/>
        <v>0</v>
      </c>
      <c r="AI112" s="46">
        <f t="shared" si="79"/>
        <v>0</v>
      </c>
      <c r="AJ112" s="46">
        <f t="shared" si="79"/>
        <v>0</v>
      </c>
      <c r="AK112" s="46">
        <f t="shared" si="79"/>
        <v>0</v>
      </c>
      <c r="AL112" s="46">
        <f t="shared" si="79"/>
        <v>0</v>
      </c>
      <c r="AM112" s="47">
        <f t="shared" si="79"/>
        <v>0</v>
      </c>
      <c r="AN112" s="48">
        <f t="shared" si="79"/>
        <v>0</v>
      </c>
      <c r="AP112" s="48">
        <f>SUM(AP108:AP111)</f>
        <v>0</v>
      </c>
    </row>
    <row r="113" spans="1:42" ht="15.75" customHeight="1">
      <c r="A113" s="56">
        <v>0.5</v>
      </c>
      <c r="B113" s="32">
        <v>0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4">
        <v>0</v>
      </c>
      <c r="J113" s="57">
        <f>SUM(B113:I113)</f>
        <v>0</v>
      </c>
      <c r="L113" s="32">
        <v>0</v>
      </c>
      <c r="M113" s="33">
        <v>0</v>
      </c>
      <c r="N113" s="33">
        <v>0</v>
      </c>
      <c r="O113" s="33">
        <v>0</v>
      </c>
      <c r="P113" s="33">
        <v>0</v>
      </c>
      <c r="Q113" s="33">
        <v>0</v>
      </c>
      <c r="R113" s="33">
        <v>0</v>
      </c>
      <c r="S113" s="34">
        <v>0</v>
      </c>
      <c r="T113" s="57">
        <f>SUM(L113:S113)</f>
        <v>0</v>
      </c>
      <c r="V113" s="32">
        <v>0</v>
      </c>
      <c r="W113" s="33">
        <v>0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34">
        <v>0</v>
      </c>
      <c r="AD113" s="57">
        <f>SUM(V113:AC113)</f>
        <v>0</v>
      </c>
      <c r="AF113" s="32">
        <v>0</v>
      </c>
      <c r="AG113" s="33">
        <v>0</v>
      </c>
      <c r="AH113" s="33">
        <v>0</v>
      </c>
      <c r="AI113" s="33">
        <v>0</v>
      </c>
      <c r="AJ113" s="33">
        <v>0</v>
      </c>
      <c r="AK113" s="33">
        <v>0</v>
      </c>
      <c r="AL113" s="33">
        <v>0</v>
      </c>
      <c r="AM113" s="34">
        <v>0</v>
      </c>
      <c r="AN113" s="57">
        <f>SUM(AF113:AM113)</f>
        <v>0</v>
      </c>
      <c r="AP113" s="57">
        <f>SUM(J113+T113+AD113+AN113)</f>
        <v>0</v>
      </c>
    </row>
    <row r="114" spans="1:42" ht="15.75" customHeight="1">
      <c r="A114" s="58">
        <v>0.51041666666666663</v>
      </c>
      <c r="B114" s="36">
        <v>0</v>
      </c>
      <c r="C114" s="37">
        <v>0</v>
      </c>
      <c r="D114" s="37">
        <v>0</v>
      </c>
      <c r="E114" s="37">
        <v>0</v>
      </c>
      <c r="F114" s="37">
        <v>0</v>
      </c>
      <c r="G114" s="37">
        <v>0</v>
      </c>
      <c r="H114" s="37">
        <v>0</v>
      </c>
      <c r="I114" s="40">
        <v>0</v>
      </c>
      <c r="J114" s="59">
        <f>SUM(B114:I114)</f>
        <v>0</v>
      </c>
      <c r="L114" s="36">
        <v>0</v>
      </c>
      <c r="M114" s="37">
        <v>0</v>
      </c>
      <c r="N114" s="37">
        <v>0</v>
      </c>
      <c r="O114" s="37">
        <v>0</v>
      </c>
      <c r="P114" s="37">
        <v>0</v>
      </c>
      <c r="Q114" s="37">
        <v>0</v>
      </c>
      <c r="R114" s="37">
        <v>0</v>
      </c>
      <c r="S114" s="40">
        <v>0</v>
      </c>
      <c r="T114" s="59">
        <f>SUM(L114:S114)</f>
        <v>0</v>
      </c>
      <c r="V114" s="36">
        <v>0</v>
      </c>
      <c r="W114" s="37">
        <v>0</v>
      </c>
      <c r="X114" s="37">
        <v>0</v>
      </c>
      <c r="Y114" s="37">
        <v>0</v>
      </c>
      <c r="Z114" s="37">
        <v>0</v>
      </c>
      <c r="AA114" s="37">
        <v>0</v>
      </c>
      <c r="AB114" s="37">
        <v>0</v>
      </c>
      <c r="AC114" s="40">
        <v>0</v>
      </c>
      <c r="AD114" s="59">
        <f>SUM(V114:AC114)</f>
        <v>0</v>
      </c>
      <c r="AF114" s="36">
        <v>0</v>
      </c>
      <c r="AG114" s="37">
        <v>0</v>
      </c>
      <c r="AH114" s="37">
        <v>0</v>
      </c>
      <c r="AI114" s="37">
        <v>0</v>
      </c>
      <c r="AJ114" s="37">
        <v>0</v>
      </c>
      <c r="AK114" s="37">
        <v>0</v>
      </c>
      <c r="AL114" s="37">
        <v>0</v>
      </c>
      <c r="AM114" s="40">
        <v>0</v>
      </c>
      <c r="AN114" s="59">
        <f>SUM(AF114:AM114)</f>
        <v>0</v>
      </c>
      <c r="AP114" s="59">
        <f>SUM(J114+T114+AD114+AN114)</f>
        <v>0</v>
      </c>
    </row>
    <row r="115" spans="1:42" ht="15.75" customHeight="1">
      <c r="A115" s="58">
        <v>0.52083333333333337</v>
      </c>
      <c r="B115" s="36">
        <v>0</v>
      </c>
      <c r="C115" s="37">
        <v>0</v>
      </c>
      <c r="D115" s="37">
        <v>0</v>
      </c>
      <c r="E115" s="37">
        <v>0</v>
      </c>
      <c r="F115" s="37">
        <v>0</v>
      </c>
      <c r="G115" s="37">
        <v>0</v>
      </c>
      <c r="H115" s="37">
        <v>0</v>
      </c>
      <c r="I115" s="40">
        <v>0</v>
      </c>
      <c r="J115" s="59">
        <f>SUM(B115:I115)</f>
        <v>0</v>
      </c>
      <c r="L115" s="36">
        <v>0</v>
      </c>
      <c r="M115" s="37">
        <v>0</v>
      </c>
      <c r="N115" s="37">
        <v>0</v>
      </c>
      <c r="O115" s="37">
        <v>0</v>
      </c>
      <c r="P115" s="37">
        <v>0</v>
      </c>
      <c r="Q115" s="37">
        <v>0</v>
      </c>
      <c r="R115" s="37">
        <v>0</v>
      </c>
      <c r="S115" s="40">
        <v>0</v>
      </c>
      <c r="T115" s="59">
        <f>SUM(L115:S115)</f>
        <v>0</v>
      </c>
      <c r="V115" s="36">
        <v>0</v>
      </c>
      <c r="W115" s="37">
        <v>0</v>
      </c>
      <c r="X115" s="37">
        <v>0</v>
      </c>
      <c r="Y115" s="37">
        <v>0</v>
      </c>
      <c r="Z115" s="37">
        <v>0</v>
      </c>
      <c r="AA115" s="37">
        <v>0</v>
      </c>
      <c r="AB115" s="37">
        <v>0</v>
      </c>
      <c r="AC115" s="40">
        <v>0</v>
      </c>
      <c r="AD115" s="59">
        <f>SUM(V115:AC115)</f>
        <v>0</v>
      </c>
      <c r="AF115" s="36">
        <v>0</v>
      </c>
      <c r="AG115" s="37">
        <v>0</v>
      </c>
      <c r="AH115" s="37">
        <v>0</v>
      </c>
      <c r="AI115" s="37">
        <v>0</v>
      </c>
      <c r="AJ115" s="37">
        <v>0</v>
      </c>
      <c r="AK115" s="37">
        <v>0</v>
      </c>
      <c r="AL115" s="37">
        <v>0</v>
      </c>
      <c r="AM115" s="40">
        <v>0</v>
      </c>
      <c r="AN115" s="59">
        <f>SUM(AF115:AM115)</f>
        <v>0</v>
      </c>
      <c r="AP115" s="59">
        <f>SUM(J115+T115+AD115+AN115)</f>
        <v>0</v>
      </c>
    </row>
    <row r="116" spans="1:42" ht="15.75" customHeight="1">
      <c r="A116" s="60">
        <v>0.53125</v>
      </c>
      <c r="B116" s="41">
        <v>0</v>
      </c>
      <c r="C116" s="42">
        <v>0</v>
      </c>
      <c r="D116" s="42">
        <v>0</v>
      </c>
      <c r="E116" s="42">
        <v>0</v>
      </c>
      <c r="F116" s="42">
        <v>0</v>
      </c>
      <c r="G116" s="42">
        <v>0</v>
      </c>
      <c r="H116" s="42">
        <v>0</v>
      </c>
      <c r="I116" s="43">
        <v>0</v>
      </c>
      <c r="J116" s="61">
        <f>SUM(B116:I116)</f>
        <v>0</v>
      </c>
      <c r="L116" s="41">
        <v>0</v>
      </c>
      <c r="M116" s="42">
        <v>0</v>
      </c>
      <c r="N116" s="42">
        <v>0</v>
      </c>
      <c r="O116" s="42">
        <v>0</v>
      </c>
      <c r="P116" s="42">
        <v>0</v>
      </c>
      <c r="Q116" s="42">
        <v>0</v>
      </c>
      <c r="R116" s="42">
        <v>0</v>
      </c>
      <c r="S116" s="43">
        <v>0</v>
      </c>
      <c r="T116" s="61">
        <f>SUM(L116:S116)</f>
        <v>0</v>
      </c>
      <c r="V116" s="41">
        <v>0</v>
      </c>
      <c r="W116" s="42">
        <v>0</v>
      </c>
      <c r="X116" s="42">
        <v>0</v>
      </c>
      <c r="Y116" s="42">
        <v>0</v>
      </c>
      <c r="Z116" s="42">
        <v>0</v>
      </c>
      <c r="AA116" s="42">
        <v>0</v>
      </c>
      <c r="AB116" s="42">
        <v>0</v>
      </c>
      <c r="AC116" s="43">
        <v>0</v>
      </c>
      <c r="AD116" s="61">
        <f>SUM(V116:AC116)</f>
        <v>0</v>
      </c>
      <c r="AF116" s="41">
        <v>0</v>
      </c>
      <c r="AG116" s="42">
        <v>0</v>
      </c>
      <c r="AH116" s="42">
        <v>0</v>
      </c>
      <c r="AI116" s="42">
        <v>0</v>
      </c>
      <c r="AJ116" s="42">
        <v>0</v>
      </c>
      <c r="AK116" s="42">
        <v>0</v>
      </c>
      <c r="AL116" s="42">
        <v>0</v>
      </c>
      <c r="AM116" s="43">
        <v>0</v>
      </c>
      <c r="AN116" s="61">
        <f>SUM(AF116:AM116)</f>
        <v>0</v>
      </c>
      <c r="AP116" s="61">
        <f>SUM(J116+T116+AD116+AN116)</f>
        <v>0</v>
      </c>
    </row>
    <row r="117" spans="1:42" ht="15.75" customHeight="1">
      <c r="A117" s="48" t="s">
        <v>29</v>
      </c>
      <c r="B117" s="45">
        <f t="shared" ref="B117:J117" si="80">SUM(B113:B116)</f>
        <v>0</v>
      </c>
      <c r="C117" s="46">
        <f t="shared" si="80"/>
        <v>0</v>
      </c>
      <c r="D117" s="46">
        <f t="shared" si="80"/>
        <v>0</v>
      </c>
      <c r="E117" s="46">
        <f t="shared" si="80"/>
        <v>0</v>
      </c>
      <c r="F117" s="46">
        <f t="shared" si="80"/>
        <v>0</v>
      </c>
      <c r="G117" s="46">
        <f t="shared" si="80"/>
        <v>0</v>
      </c>
      <c r="H117" s="46">
        <f t="shared" si="80"/>
        <v>0</v>
      </c>
      <c r="I117" s="47">
        <f t="shared" si="80"/>
        <v>0</v>
      </c>
      <c r="J117" s="48">
        <f t="shared" si="80"/>
        <v>0</v>
      </c>
      <c r="L117" s="45">
        <f t="shared" ref="L117:T117" si="81">SUM(L113:L116)</f>
        <v>0</v>
      </c>
      <c r="M117" s="46">
        <f t="shared" si="81"/>
        <v>0</v>
      </c>
      <c r="N117" s="46">
        <f t="shared" si="81"/>
        <v>0</v>
      </c>
      <c r="O117" s="46">
        <f t="shared" si="81"/>
        <v>0</v>
      </c>
      <c r="P117" s="46">
        <f t="shared" si="81"/>
        <v>0</v>
      </c>
      <c r="Q117" s="46">
        <f t="shared" si="81"/>
        <v>0</v>
      </c>
      <c r="R117" s="46">
        <f t="shared" si="81"/>
        <v>0</v>
      </c>
      <c r="S117" s="47">
        <f t="shared" si="81"/>
        <v>0</v>
      </c>
      <c r="T117" s="48">
        <f t="shared" si="81"/>
        <v>0</v>
      </c>
      <c r="V117" s="45">
        <f t="shared" ref="V117:AD117" si="82">SUM(V113:V116)</f>
        <v>0</v>
      </c>
      <c r="W117" s="46">
        <f t="shared" si="82"/>
        <v>0</v>
      </c>
      <c r="X117" s="46">
        <f t="shared" si="82"/>
        <v>0</v>
      </c>
      <c r="Y117" s="46">
        <f t="shared" si="82"/>
        <v>0</v>
      </c>
      <c r="Z117" s="46">
        <f t="shared" si="82"/>
        <v>0</v>
      </c>
      <c r="AA117" s="46">
        <f t="shared" si="82"/>
        <v>0</v>
      </c>
      <c r="AB117" s="46">
        <f t="shared" si="82"/>
        <v>0</v>
      </c>
      <c r="AC117" s="47">
        <f t="shared" si="82"/>
        <v>0</v>
      </c>
      <c r="AD117" s="48">
        <f t="shared" si="82"/>
        <v>0</v>
      </c>
      <c r="AF117" s="45">
        <f t="shared" ref="AF117:AN117" si="83">SUM(AF113:AF116)</f>
        <v>0</v>
      </c>
      <c r="AG117" s="46">
        <f t="shared" si="83"/>
        <v>0</v>
      </c>
      <c r="AH117" s="46">
        <f t="shared" si="83"/>
        <v>0</v>
      </c>
      <c r="AI117" s="46">
        <f t="shared" si="83"/>
        <v>0</v>
      </c>
      <c r="AJ117" s="46">
        <f t="shared" si="83"/>
        <v>0</v>
      </c>
      <c r="AK117" s="46">
        <f t="shared" si="83"/>
        <v>0</v>
      </c>
      <c r="AL117" s="46">
        <f t="shared" si="83"/>
        <v>0</v>
      </c>
      <c r="AM117" s="47">
        <f t="shared" si="83"/>
        <v>0</v>
      </c>
      <c r="AN117" s="48">
        <f t="shared" si="83"/>
        <v>0</v>
      </c>
      <c r="AP117" s="48">
        <f>SUM(AP113:AP116)</f>
        <v>0</v>
      </c>
    </row>
    <row r="119" spans="1:42" ht="15.75" customHeight="1">
      <c r="A119" s="48" t="s">
        <v>30</v>
      </c>
      <c r="B119" s="45">
        <f t="shared" ref="B119:J119" si="84">SUM(B117+B112+B107+B102+B97+B92)</f>
        <v>0</v>
      </c>
      <c r="C119" s="46">
        <f t="shared" si="84"/>
        <v>0</v>
      </c>
      <c r="D119" s="46">
        <f t="shared" si="84"/>
        <v>0</v>
      </c>
      <c r="E119" s="46">
        <f t="shared" si="84"/>
        <v>0</v>
      </c>
      <c r="F119" s="46">
        <f t="shared" si="84"/>
        <v>0</v>
      </c>
      <c r="G119" s="46">
        <f t="shared" si="84"/>
        <v>0</v>
      </c>
      <c r="H119" s="46">
        <f t="shared" si="84"/>
        <v>0</v>
      </c>
      <c r="I119" s="47">
        <f t="shared" si="84"/>
        <v>0</v>
      </c>
      <c r="J119" s="48">
        <f t="shared" si="84"/>
        <v>0</v>
      </c>
      <c r="L119" s="45">
        <f t="shared" ref="L119:T119" si="85">SUM(L117+L112+L107+L102+L97+L92)</f>
        <v>0</v>
      </c>
      <c r="M119" s="46">
        <f t="shared" si="85"/>
        <v>0</v>
      </c>
      <c r="N119" s="46">
        <f t="shared" si="85"/>
        <v>0</v>
      </c>
      <c r="O119" s="46">
        <f t="shared" si="85"/>
        <v>0</v>
      </c>
      <c r="P119" s="46">
        <f t="shared" si="85"/>
        <v>0</v>
      </c>
      <c r="Q119" s="46">
        <f t="shared" si="85"/>
        <v>0</v>
      </c>
      <c r="R119" s="46">
        <f t="shared" si="85"/>
        <v>0</v>
      </c>
      <c r="S119" s="47">
        <f t="shared" si="85"/>
        <v>0</v>
      </c>
      <c r="T119" s="48">
        <f t="shared" si="85"/>
        <v>0</v>
      </c>
      <c r="V119" s="45">
        <f t="shared" ref="V119:AD119" si="86">SUM(V117+V112+V107+V102+V97+V92)</f>
        <v>0</v>
      </c>
      <c r="W119" s="46">
        <f t="shared" si="86"/>
        <v>0</v>
      </c>
      <c r="X119" s="46">
        <f t="shared" si="86"/>
        <v>0</v>
      </c>
      <c r="Y119" s="46">
        <f t="shared" si="86"/>
        <v>0</v>
      </c>
      <c r="Z119" s="46">
        <f t="shared" si="86"/>
        <v>0</v>
      </c>
      <c r="AA119" s="46">
        <f t="shared" si="86"/>
        <v>0</v>
      </c>
      <c r="AB119" s="46">
        <f t="shared" si="86"/>
        <v>0</v>
      </c>
      <c r="AC119" s="47">
        <f t="shared" si="86"/>
        <v>0</v>
      </c>
      <c r="AD119" s="48">
        <f t="shared" si="86"/>
        <v>0</v>
      </c>
      <c r="AF119" s="45">
        <f t="shared" ref="AF119:AN119" si="87">SUM(AF117+AF112+AF107+AF102+AF97+AF92)</f>
        <v>0</v>
      </c>
      <c r="AG119" s="46">
        <f t="shared" si="87"/>
        <v>0</v>
      </c>
      <c r="AH119" s="46">
        <f t="shared" si="87"/>
        <v>0</v>
      </c>
      <c r="AI119" s="46">
        <f t="shared" si="87"/>
        <v>0</v>
      </c>
      <c r="AJ119" s="46">
        <f t="shared" si="87"/>
        <v>0</v>
      </c>
      <c r="AK119" s="46">
        <f t="shared" si="87"/>
        <v>0</v>
      </c>
      <c r="AL119" s="46">
        <f t="shared" si="87"/>
        <v>0</v>
      </c>
      <c r="AM119" s="47">
        <f t="shared" si="87"/>
        <v>0</v>
      </c>
      <c r="AN119" s="48">
        <f t="shared" si="87"/>
        <v>0</v>
      </c>
      <c r="AP119" s="48">
        <f>SUM(AP117+AP112+AP107+AP102+AP97+AP92)</f>
        <v>0</v>
      </c>
    </row>
    <row r="121" spans="1:42" ht="15.75" customHeight="1">
      <c r="A121" s="44" t="s">
        <v>14</v>
      </c>
      <c r="B121" s="44" t="str">
        <f>$N$9</f>
        <v>Arm B - River Path</v>
      </c>
    </row>
    <row r="122" spans="1:42" ht="15.75" customHeight="1">
      <c r="B122" s="45" t="s">
        <v>16</v>
      </c>
      <c r="C122" s="46"/>
      <c r="D122" s="46" t="str">
        <f>$D$9</f>
        <v>Arm A - Wapping Road</v>
      </c>
      <c r="E122" s="46"/>
      <c r="F122" s="46"/>
      <c r="G122" s="46"/>
      <c r="H122" s="46"/>
      <c r="I122" s="47"/>
      <c r="J122" s="48"/>
      <c r="L122" s="45" t="s">
        <v>16</v>
      </c>
      <c r="M122" s="46"/>
      <c r="N122" s="46" t="str">
        <f>$N$9</f>
        <v>Arm B - River Path</v>
      </c>
      <c r="O122" s="46"/>
      <c r="P122" s="46"/>
      <c r="Q122" s="46"/>
      <c r="R122" s="46"/>
      <c r="S122" s="47"/>
      <c r="T122" s="48"/>
      <c r="V122" s="45" t="s">
        <v>16</v>
      </c>
      <c r="W122" s="46"/>
      <c r="X122" s="46" t="str">
        <f>$X$9</f>
        <v>Arm C - Commerical Road</v>
      </c>
      <c r="Y122" s="46"/>
      <c r="Z122" s="46"/>
      <c r="AA122" s="46"/>
      <c r="AB122" s="46"/>
      <c r="AC122" s="47"/>
      <c r="AD122" s="48"/>
      <c r="AF122" s="45" t="s">
        <v>16</v>
      </c>
      <c r="AG122" s="46"/>
      <c r="AH122" s="46" t="str">
        <f>$AH$9</f>
        <v>Arm D - Cumberland Road</v>
      </c>
      <c r="AI122" s="46"/>
      <c r="AJ122" s="46"/>
      <c r="AK122" s="46"/>
      <c r="AL122" s="46"/>
      <c r="AM122" s="47"/>
      <c r="AN122" s="48"/>
      <c r="AP122" s="49" t="s">
        <v>28</v>
      </c>
    </row>
    <row r="123" spans="1:42" s="50" customFormat="1" ht="15.75" customHeight="1">
      <c r="B123" s="51" t="str">
        <f>$B$10</f>
        <v>CAR</v>
      </c>
      <c r="C123" s="52" t="str">
        <f>$C$10</f>
        <v>LGV</v>
      </c>
      <c r="D123" s="52" t="str">
        <f>$D$10</f>
        <v>OGV1</v>
      </c>
      <c r="E123" s="52" t="str">
        <f>$E$10</f>
        <v>OGV2</v>
      </c>
      <c r="F123" s="52" t="str">
        <f>$F$10</f>
        <v>PSV</v>
      </c>
      <c r="G123" s="52" t="str">
        <f>$G$10</f>
        <v>MC</v>
      </c>
      <c r="H123" s="52" t="str">
        <f>$H$10</f>
        <v>PC</v>
      </c>
      <c r="I123" s="53" t="str">
        <f>$I$10</f>
        <v>PC</v>
      </c>
      <c r="J123" s="54" t="s">
        <v>24</v>
      </c>
      <c r="L123" s="51" t="str">
        <f>$B$10</f>
        <v>CAR</v>
      </c>
      <c r="M123" s="52" t="str">
        <f>$C$10</f>
        <v>LGV</v>
      </c>
      <c r="N123" s="52" t="str">
        <f>$D$10</f>
        <v>OGV1</v>
      </c>
      <c r="O123" s="52" t="str">
        <f>$E$10</f>
        <v>OGV2</v>
      </c>
      <c r="P123" s="52" t="str">
        <f>$F$10</f>
        <v>PSV</v>
      </c>
      <c r="Q123" s="52" t="str">
        <f>$G$10</f>
        <v>MC</v>
      </c>
      <c r="R123" s="52" t="str">
        <f>$H$10</f>
        <v>PC</v>
      </c>
      <c r="S123" s="53" t="str">
        <f>$I$10</f>
        <v>PC</v>
      </c>
      <c r="T123" s="54" t="s">
        <v>24</v>
      </c>
      <c r="V123" s="51" t="str">
        <f>$B$10</f>
        <v>CAR</v>
      </c>
      <c r="W123" s="52" t="str">
        <f>$C$10</f>
        <v>LGV</v>
      </c>
      <c r="X123" s="52" t="str">
        <f>$D$10</f>
        <v>OGV1</v>
      </c>
      <c r="Y123" s="52" t="str">
        <f>$E$10</f>
        <v>OGV2</v>
      </c>
      <c r="Z123" s="52" t="str">
        <f>$F$10</f>
        <v>PSV</v>
      </c>
      <c r="AA123" s="52" t="str">
        <f>$G$10</f>
        <v>MC</v>
      </c>
      <c r="AB123" s="52" t="str">
        <f>$H$10</f>
        <v>PC</v>
      </c>
      <c r="AC123" s="53" t="str">
        <f>$I$10</f>
        <v>PC</v>
      </c>
      <c r="AD123" s="54" t="s">
        <v>24</v>
      </c>
      <c r="AF123" s="51" t="str">
        <f>$B$10</f>
        <v>CAR</v>
      </c>
      <c r="AG123" s="52" t="str">
        <f>$C$10</f>
        <v>LGV</v>
      </c>
      <c r="AH123" s="52" t="str">
        <f>$D$10</f>
        <v>OGV1</v>
      </c>
      <c r="AI123" s="52" t="str">
        <f>$E$10</f>
        <v>OGV2</v>
      </c>
      <c r="AJ123" s="52" t="str">
        <f>$F$10</f>
        <v>PSV</v>
      </c>
      <c r="AK123" s="52" t="str">
        <f>$G$10</f>
        <v>MC</v>
      </c>
      <c r="AL123" s="52" t="str">
        <f>$H$10</f>
        <v>PC</v>
      </c>
      <c r="AM123" s="53" t="str">
        <f>$I$10</f>
        <v>PC</v>
      </c>
      <c r="AN123" s="54" t="s">
        <v>24</v>
      </c>
      <c r="AP123" s="55"/>
    </row>
    <row r="125" spans="1:42" ht="15.75" customHeight="1">
      <c r="A125" s="56">
        <v>0.54166666666666663</v>
      </c>
      <c r="B125" s="32">
        <v>0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4">
        <v>0</v>
      </c>
      <c r="J125" s="57">
        <f>SUM(B125:I125)</f>
        <v>0</v>
      </c>
      <c r="L125" s="32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4">
        <v>0</v>
      </c>
      <c r="T125" s="57">
        <f>SUM(L125:S125)</f>
        <v>0</v>
      </c>
      <c r="V125" s="32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4">
        <v>0</v>
      </c>
      <c r="AD125" s="57">
        <f>SUM(V125:AC125)</f>
        <v>0</v>
      </c>
      <c r="AF125" s="32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4">
        <v>0</v>
      </c>
      <c r="AN125" s="57">
        <f>SUM(AF125:AM125)</f>
        <v>0</v>
      </c>
      <c r="AP125" s="57">
        <f>SUM(J125+T125+AD125+AN125)</f>
        <v>0</v>
      </c>
    </row>
    <row r="126" spans="1:42" ht="15.75" customHeight="1">
      <c r="A126" s="58">
        <v>0.55208333333333337</v>
      </c>
      <c r="B126" s="36">
        <v>0</v>
      </c>
      <c r="C126" s="37">
        <v>0</v>
      </c>
      <c r="D126" s="37">
        <v>0</v>
      </c>
      <c r="E126" s="37">
        <v>0</v>
      </c>
      <c r="F126" s="37">
        <v>0</v>
      </c>
      <c r="G126" s="37">
        <v>0</v>
      </c>
      <c r="H126" s="37">
        <v>0</v>
      </c>
      <c r="I126" s="40">
        <v>0</v>
      </c>
      <c r="J126" s="59">
        <f>SUM(B126:I126)</f>
        <v>0</v>
      </c>
      <c r="L126" s="36">
        <v>0</v>
      </c>
      <c r="M126" s="37">
        <v>0</v>
      </c>
      <c r="N126" s="37">
        <v>0</v>
      </c>
      <c r="O126" s="37">
        <v>0</v>
      </c>
      <c r="P126" s="37">
        <v>0</v>
      </c>
      <c r="Q126" s="37">
        <v>0</v>
      </c>
      <c r="R126" s="37">
        <v>0</v>
      </c>
      <c r="S126" s="40">
        <v>0</v>
      </c>
      <c r="T126" s="59">
        <f>SUM(L126:S126)</f>
        <v>0</v>
      </c>
      <c r="V126" s="36">
        <v>0</v>
      </c>
      <c r="W126" s="37">
        <v>0</v>
      </c>
      <c r="X126" s="37">
        <v>0</v>
      </c>
      <c r="Y126" s="37">
        <v>0</v>
      </c>
      <c r="Z126" s="37">
        <v>0</v>
      </c>
      <c r="AA126" s="37">
        <v>0</v>
      </c>
      <c r="AB126" s="37">
        <v>0</v>
      </c>
      <c r="AC126" s="40">
        <v>0</v>
      </c>
      <c r="AD126" s="59">
        <f>SUM(V126:AC126)</f>
        <v>0</v>
      </c>
      <c r="AF126" s="36">
        <v>0</v>
      </c>
      <c r="AG126" s="37">
        <v>0</v>
      </c>
      <c r="AH126" s="37">
        <v>0</v>
      </c>
      <c r="AI126" s="37">
        <v>0</v>
      </c>
      <c r="AJ126" s="37">
        <v>0</v>
      </c>
      <c r="AK126" s="37">
        <v>0</v>
      </c>
      <c r="AL126" s="37">
        <v>0</v>
      </c>
      <c r="AM126" s="40">
        <v>0</v>
      </c>
      <c r="AN126" s="59">
        <f>SUM(AF126:AM126)</f>
        <v>0</v>
      </c>
      <c r="AP126" s="59">
        <f>SUM(J126+T126+AD126+AN126)</f>
        <v>0</v>
      </c>
    </row>
    <row r="127" spans="1:42" ht="15.75" customHeight="1">
      <c r="A127" s="58">
        <v>0.5625</v>
      </c>
      <c r="B127" s="36">
        <v>0</v>
      </c>
      <c r="C127" s="37">
        <v>0</v>
      </c>
      <c r="D127" s="37">
        <v>0</v>
      </c>
      <c r="E127" s="37">
        <v>0</v>
      </c>
      <c r="F127" s="37">
        <v>0</v>
      </c>
      <c r="G127" s="37">
        <v>0</v>
      </c>
      <c r="H127" s="37">
        <v>0</v>
      </c>
      <c r="I127" s="40">
        <v>0</v>
      </c>
      <c r="J127" s="59">
        <f>SUM(B127:I127)</f>
        <v>0</v>
      </c>
      <c r="L127" s="36">
        <v>0</v>
      </c>
      <c r="M127" s="37">
        <v>0</v>
      </c>
      <c r="N127" s="37">
        <v>0</v>
      </c>
      <c r="O127" s="37">
        <v>0</v>
      </c>
      <c r="P127" s="37">
        <v>0</v>
      </c>
      <c r="Q127" s="37">
        <v>0</v>
      </c>
      <c r="R127" s="37">
        <v>0</v>
      </c>
      <c r="S127" s="40">
        <v>0</v>
      </c>
      <c r="T127" s="59">
        <f>SUM(L127:S127)</f>
        <v>0</v>
      </c>
      <c r="V127" s="36">
        <v>0</v>
      </c>
      <c r="W127" s="37">
        <v>0</v>
      </c>
      <c r="X127" s="37">
        <v>0</v>
      </c>
      <c r="Y127" s="37">
        <v>0</v>
      </c>
      <c r="Z127" s="37">
        <v>0</v>
      </c>
      <c r="AA127" s="37">
        <v>0</v>
      </c>
      <c r="AB127" s="37">
        <v>0</v>
      </c>
      <c r="AC127" s="40">
        <v>0</v>
      </c>
      <c r="AD127" s="59">
        <f>SUM(V127:AC127)</f>
        <v>0</v>
      </c>
      <c r="AF127" s="36">
        <v>0</v>
      </c>
      <c r="AG127" s="37">
        <v>0</v>
      </c>
      <c r="AH127" s="37">
        <v>0</v>
      </c>
      <c r="AI127" s="37">
        <v>0</v>
      </c>
      <c r="AJ127" s="37">
        <v>0</v>
      </c>
      <c r="AK127" s="37">
        <v>0</v>
      </c>
      <c r="AL127" s="37">
        <v>0</v>
      </c>
      <c r="AM127" s="40">
        <v>0</v>
      </c>
      <c r="AN127" s="59">
        <f>SUM(AF127:AM127)</f>
        <v>0</v>
      </c>
      <c r="AP127" s="59">
        <f>SUM(J127+T127+AD127+AN127)</f>
        <v>0</v>
      </c>
    </row>
    <row r="128" spans="1:42" ht="15.75" customHeight="1">
      <c r="A128" s="60">
        <v>0.57291666666666663</v>
      </c>
      <c r="B128" s="41">
        <v>0</v>
      </c>
      <c r="C128" s="42">
        <v>0</v>
      </c>
      <c r="D128" s="42">
        <v>0</v>
      </c>
      <c r="E128" s="42">
        <v>0</v>
      </c>
      <c r="F128" s="42">
        <v>0</v>
      </c>
      <c r="G128" s="42">
        <v>0</v>
      </c>
      <c r="H128" s="42">
        <v>0</v>
      </c>
      <c r="I128" s="43">
        <v>0</v>
      </c>
      <c r="J128" s="61">
        <f>SUM(B128:I128)</f>
        <v>0</v>
      </c>
      <c r="L128" s="41">
        <v>0</v>
      </c>
      <c r="M128" s="42">
        <v>0</v>
      </c>
      <c r="N128" s="42">
        <v>0</v>
      </c>
      <c r="O128" s="42">
        <v>0</v>
      </c>
      <c r="P128" s="42">
        <v>0</v>
      </c>
      <c r="Q128" s="42">
        <v>0</v>
      </c>
      <c r="R128" s="42">
        <v>0</v>
      </c>
      <c r="S128" s="43">
        <v>0</v>
      </c>
      <c r="T128" s="61">
        <f>SUM(L128:S128)</f>
        <v>0</v>
      </c>
      <c r="V128" s="41">
        <v>0</v>
      </c>
      <c r="W128" s="42">
        <v>0</v>
      </c>
      <c r="X128" s="42">
        <v>0</v>
      </c>
      <c r="Y128" s="42">
        <v>0</v>
      </c>
      <c r="Z128" s="42">
        <v>0</v>
      </c>
      <c r="AA128" s="42">
        <v>0</v>
      </c>
      <c r="AB128" s="42">
        <v>0</v>
      </c>
      <c r="AC128" s="43">
        <v>0</v>
      </c>
      <c r="AD128" s="61">
        <f>SUM(V128:AC128)</f>
        <v>0</v>
      </c>
      <c r="AF128" s="41">
        <v>0</v>
      </c>
      <c r="AG128" s="42">
        <v>0</v>
      </c>
      <c r="AH128" s="42">
        <v>0</v>
      </c>
      <c r="AI128" s="42">
        <v>0</v>
      </c>
      <c r="AJ128" s="42">
        <v>0</v>
      </c>
      <c r="AK128" s="42">
        <v>0</v>
      </c>
      <c r="AL128" s="42">
        <v>0</v>
      </c>
      <c r="AM128" s="43">
        <v>0</v>
      </c>
      <c r="AN128" s="61">
        <f>SUM(AF128:AM128)</f>
        <v>0</v>
      </c>
      <c r="AP128" s="61">
        <f>SUM(J128+T128+AD128+AN128)</f>
        <v>0</v>
      </c>
    </row>
    <row r="129" spans="1:42" ht="15.75" customHeight="1">
      <c r="A129" s="48" t="s">
        <v>29</v>
      </c>
      <c r="B129" s="45">
        <f t="shared" ref="B129:J129" si="88">SUM(B125:B128)</f>
        <v>0</v>
      </c>
      <c r="C129" s="46">
        <f t="shared" si="88"/>
        <v>0</v>
      </c>
      <c r="D129" s="46">
        <f t="shared" si="88"/>
        <v>0</v>
      </c>
      <c r="E129" s="46">
        <f t="shared" si="88"/>
        <v>0</v>
      </c>
      <c r="F129" s="46">
        <f t="shared" si="88"/>
        <v>0</v>
      </c>
      <c r="G129" s="46">
        <f t="shared" si="88"/>
        <v>0</v>
      </c>
      <c r="H129" s="46">
        <f t="shared" si="88"/>
        <v>0</v>
      </c>
      <c r="I129" s="47">
        <f t="shared" si="88"/>
        <v>0</v>
      </c>
      <c r="J129" s="48">
        <f t="shared" si="88"/>
        <v>0</v>
      </c>
      <c r="L129" s="45">
        <f t="shared" ref="L129:T129" si="89">SUM(L125:L128)</f>
        <v>0</v>
      </c>
      <c r="M129" s="46">
        <f t="shared" si="89"/>
        <v>0</v>
      </c>
      <c r="N129" s="46">
        <f t="shared" si="89"/>
        <v>0</v>
      </c>
      <c r="O129" s="46">
        <f t="shared" si="89"/>
        <v>0</v>
      </c>
      <c r="P129" s="46">
        <f t="shared" si="89"/>
        <v>0</v>
      </c>
      <c r="Q129" s="46">
        <f t="shared" si="89"/>
        <v>0</v>
      </c>
      <c r="R129" s="46">
        <f t="shared" si="89"/>
        <v>0</v>
      </c>
      <c r="S129" s="47">
        <f t="shared" si="89"/>
        <v>0</v>
      </c>
      <c r="T129" s="48">
        <f t="shared" si="89"/>
        <v>0</v>
      </c>
      <c r="V129" s="45">
        <f t="shared" ref="V129:AD129" si="90">SUM(V125:V128)</f>
        <v>0</v>
      </c>
      <c r="W129" s="46">
        <f t="shared" si="90"/>
        <v>0</v>
      </c>
      <c r="X129" s="46">
        <f t="shared" si="90"/>
        <v>0</v>
      </c>
      <c r="Y129" s="46">
        <f t="shared" si="90"/>
        <v>0</v>
      </c>
      <c r="Z129" s="46">
        <f t="shared" si="90"/>
        <v>0</v>
      </c>
      <c r="AA129" s="46">
        <f t="shared" si="90"/>
        <v>0</v>
      </c>
      <c r="AB129" s="46">
        <f t="shared" si="90"/>
        <v>0</v>
      </c>
      <c r="AC129" s="47">
        <f t="shared" si="90"/>
        <v>0</v>
      </c>
      <c r="AD129" s="48">
        <f t="shared" si="90"/>
        <v>0</v>
      </c>
      <c r="AF129" s="45">
        <f t="shared" ref="AF129:AN129" si="91">SUM(AF125:AF128)</f>
        <v>0</v>
      </c>
      <c r="AG129" s="46">
        <f t="shared" si="91"/>
        <v>0</v>
      </c>
      <c r="AH129" s="46">
        <f t="shared" si="91"/>
        <v>0</v>
      </c>
      <c r="AI129" s="46">
        <f t="shared" si="91"/>
        <v>0</v>
      </c>
      <c r="AJ129" s="46">
        <f t="shared" si="91"/>
        <v>0</v>
      </c>
      <c r="AK129" s="46">
        <f t="shared" si="91"/>
        <v>0</v>
      </c>
      <c r="AL129" s="46">
        <f t="shared" si="91"/>
        <v>0</v>
      </c>
      <c r="AM129" s="47">
        <f t="shared" si="91"/>
        <v>0</v>
      </c>
      <c r="AN129" s="48">
        <f t="shared" si="91"/>
        <v>0</v>
      </c>
      <c r="AP129" s="48">
        <f>SUM(AP125:AP128)</f>
        <v>0</v>
      </c>
    </row>
    <row r="130" spans="1:42" ht="15.75" customHeight="1">
      <c r="A130" s="56">
        <v>0.58333333333333337</v>
      </c>
      <c r="B130" s="32">
        <v>0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4">
        <v>0</v>
      </c>
      <c r="J130" s="57">
        <f>SUM(B130:I130)</f>
        <v>0</v>
      </c>
      <c r="L130" s="32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34">
        <v>0</v>
      </c>
      <c r="T130" s="57">
        <f>SUM(L130:S130)</f>
        <v>0</v>
      </c>
      <c r="V130" s="32">
        <v>0</v>
      </c>
      <c r="W130" s="33">
        <v>0</v>
      </c>
      <c r="X130" s="33">
        <v>0</v>
      </c>
      <c r="Y130" s="33">
        <v>0</v>
      </c>
      <c r="Z130" s="33">
        <v>0</v>
      </c>
      <c r="AA130" s="33">
        <v>0</v>
      </c>
      <c r="AB130" s="33">
        <v>0</v>
      </c>
      <c r="AC130" s="34">
        <v>0</v>
      </c>
      <c r="AD130" s="57">
        <f>SUM(V130:AC130)</f>
        <v>0</v>
      </c>
      <c r="AF130" s="32">
        <v>0</v>
      </c>
      <c r="AG130" s="33">
        <v>0</v>
      </c>
      <c r="AH130" s="33">
        <v>0</v>
      </c>
      <c r="AI130" s="33">
        <v>0</v>
      </c>
      <c r="AJ130" s="33">
        <v>0</v>
      </c>
      <c r="AK130" s="33">
        <v>0</v>
      </c>
      <c r="AL130" s="33">
        <v>1</v>
      </c>
      <c r="AM130" s="34">
        <v>0</v>
      </c>
      <c r="AN130" s="57">
        <f>SUM(AF130:AM130)</f>
        <v>1</v>
      </c>
      <c r="AP130" s="57">
        <f>SUM(J130+T130+AD130+AN130)</f>
        <v>1</v>
      </c>
    </row>
    <row r="131" spans="1:42" ht="15.75" customHeight="1">
      <c r="A131" s="58">
        <v>0.59375</v>
      </c>
      <c r="B131" s="36">
        <v>0</v>
      </c>
      <c r="C131" s="37">
        <v>0</v>
      </c>
      <c r="D131" s="37">
        <v>0</v>
      </c>
      <c r="E131" s="37">
        <v>0</v>
      </c>
      <c r="F131" s="37">
        <v>0</v>
      </c>
      <c r="G131" s="37">
        <v>0</v>
      </c>
      <c r="H131" s="37">
        <v>0</v>
      </c>
      <c r="I131" s="40">
        <v>0</v>
      </c>
      <c r="J131" s="59">
        <f>SUM(B131:I131)</f>
        <v>0</v>
      </c>
      <c r="L131" s="36">
        <v>0</v>
      </c>
      <c r="M131" s="37">
        <v>0</v>
      </c>
      <c r="N131" s="37">
        <v>0</v>
      </c>
      <c r="O131" s="37">
        <v>0</v>
      </c>
      <c r="P131" s="37">
        <v>0</v>
      </c>
      <c r="Q131" s="37">
        <v>0</v>
      </c>
      <c r="R131" s="37">
        <v>0</v>
      </c>
      <c r="S131" s="40">
        <v>0</v>
      </c>
      <c r="T131" s="59">
        <f>SUM(L131:S131)</f>
        <v>0</v>
      </c>
      <c r="V131" s="36">
        <v>0</v>
      </c>
      <c r="W131" s="37">
        <v>0</v>
      </c>
      <c r="X131" s="37">
        <v>0</v>
      </c>
      <c r="Y131" s="37">
        <v>0</v>
      </c>
      <c r="Z131" s="37">
        <v>0</v>
      </c>
      <c r="AA131" s="37">
        <v>0</v>
      </c>
      <c r="AB131" s="37">
        <v>0</v>
      </c>
      <c r="AC131" s="40">
        <v>0</v>
      </c>
      <c r="AD131" s="59">
        <f>SUM(V131:AC131)</f>
        <v>0</v>
      </c>
      <c r="AF131" s="36">
        <v>0</v>
      </c>
      <c r="AG131" s="37">
        <v>0</v>
      </c>
      <c r="AH131" s="37">
        <v>0</v>
      </c>
      <c r="AI131" s="37">
        <v>0</v>
      </c>
      <c r="AJ131" s="37">
        <v>0</v>
      </c>
      <c r="AK131" s="37">
        <v>0</v>
      </c>
      <c r="AL131" s="37">
        <v>3</v>
      </c>
      <c r="AM131" s="40">
        <v>0</v>
      </c>
      <c r="AN131" s="59">
        <f>SUM(AF131:AM131)</f>
        <v>3</v>
      </c>
      <c r="AP131" s="59">
        <f>SUM(J131+T131+AD131+AN131)</f>
        <v>3</v>
      </c>
    </row>
    <row r="132" spans="1:42" ht="15.75" customHeight="1">
      <c r="A132" s="58">
        <v>0.60416666666666663</v>
      </c>
      <c r="B132" s="36">
        <v>0</v>
      </c>
      <c r="C132" s="37">
        <v>0</v>
      </c>
      <c r="D132" s="37">
        <v>0</v>
      </c>
      <c r="E132" s="37">
        <v>0</v>
      </c>
      <c r="F132" s="37">
        <v>0</v>
      </c>
      <c r="G132" s="37">
        <v>0</v>
      </c>
      <c r="H132" s="37">
        <v>0</v>
      </c>
      <c r="I132" s="40">
        <v>0</v>
      </c>
      <c r="J132" s="59">
        <f>SUM(B132:I132)</f>
        <v>0</v>
      </c>
      <c r="L132" s="36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40">
        <v>0</v>
      </c>
      <c r="T132" s="59">
        <f>SUM(L132:S132)</f>
        <v>0</v>
      </c>
      <c r="V132" s="36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40">
        <v>0</v>
      </c>
      <c r="AD132" s="59">
        <f>SUM(V132:AC132)</f>
        <v>0</v>
      </c>
      <c r="AF132" s="36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40">
        <v>0</v>
      </c>
      <c r="AN132" s="59">
        <f>SUM(AF132:AM132)</f>
        <v>0</v>
      </c>
      <c r="AP132" s="59">
        <f>SUM(J132+T132+AD132+AN132)</f>
        <v>0</v>
      </c>
    </row>
    <row r="133" spans="1:42" ht="15.75" customHeight="1">
      <c r="A133" s="60">
        <v>0.61458333333333337</v>
      </c>
      <c r="B133" s="41">
        <v>0</v>
      </c>
      <c r="C133" s="42">
        <v>0</v>
      </c>
      <c r="D133" s="42">
        <v>0</v>
      </c>
      <c r="E133" s="42">
        <v>0</v>
      </c>
      <c r="F133" s="42">
        <v>0</v>
      </c>
      <c r="G133" s="42">
        <v>0</v>
      </c>
      <c r="H133" s="42">
        <v>0</v>
      </c>
      <c r="I133" s="43">
        <v>0</v>
      </c>
      <c r="J133" s="61">
        <f>SUM(B133:I133)</f>
        <v>0</v>
      </c>
      <c r="L133" s="41">
        <v>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3">
        <v>0</v>
      </c>
      <c r="T133" s="61">
        <f>SUM(L133:S133)</f>
        <v>0</v>
      </c>
      <c r="V133" s="41">
        <v>0</v>
      </c>
      <c r="W133" s="42">
        <v>0</v>
      </c>
      <c r="X133" s="42">
        <v>0</v>
      </c>
      <c r="Y133" s="42">
        <v>0</v>
      </c>
      <c r="Z133" s="42">
        <v>0</v>
      </c>
      <c r="AA133" s="42">
        <v>0</v>
      </c>
      <c r="AB133" s="42">
        <v>0</v>
      </c>
      <c r="AC133" s="43">
        <v>0</v>
      </c>
      <c r="AD133" s="61">
        <f>SUM(V133:AC133)</f>
        <v>0</v>
      </c>
      <c r="AF133" s="41">
        <v>0</v>
      </c>
      <c r="AG133" s="42">
        <v>0</v>
      </c>
      <c r="AH133" s="42">
        <v>0</v>
      </c>
      <c r="AI133" s="42">
        <v>0</v>
      </c>
      <c r="AJ133" s="42">
        <v>0</v>
      </c>
      <c r="AK133" s="42">
        <v>0</v>
      </c>
      <c r="AL133" s="42">
        <v>0</v>
      </c>
      <c r="AM133" s="43">
        <v>0</v>
      </c>
      <c r="AN133" s="61">
        <f>SUM(AF133:AM133)</f>
        <v>0</v>
      </c>
      <c r="AP133" s="61">
        <f>SUM(J133+T133+AD133+AN133)</f>
        <v>0</v>
      </c>
    </row>
    <row r="134" spans="1:42" ht="15.75" customHeight="1">
      <c r="A134" s="48" t="s">
        <v>29</v>
      </c>
      <c r="B134" s="45">
        <f t="shared" ref="B134:J134" si="92">SUM(B130:B133)</f>
        <v>0</v>
      </c>
      <c r="C134" s="46">
        <f t="shared" si="92"/>
        <v>0</v>
      </c>
      <c r="D134" s="46">
        <f t="shared" si="92"/>
        <v>0</v>
      </c>
      <c r="E134" s="46">
        <f t="shared" si="92"/>
        <v>0</v>
      </c>
      <c r="F134" s="46">
        <f t="shared" si="92"/>
        <v>0</v>
      </c>
      <c r="G134" s="46">
        <f t="shared" si="92"/>
        <v>0</v>
      </c>
      <c r="H134" s="46">
        <f t="shared" si="92"/>
        <v>0</v>
      </c>
      <c r="I134" s="47">
        <f t="shared" si="92"/>
        <v>0</v>
      </c>
      <c r="J134" s="48">
        <f t="shared" si="92"/>
        <v>0</v>
      </c>
      <c r="L134" s="45">
        <f t="shared" ref="L134:T134" si="93">SUM(L130:L133)</f>
        <v>0</v>
      </c>
      <c r="M134" s="46">
        <f t="shared" si="93"/>
        <v>0</v>
      </c>
      <c r="N134" s="46">
        <f t="shared" si="93"/>
        <v>0</v>
      </c>
      <c r="O134" s="46">
        <f t="shared" si="93"/>
        <v>0</v>
      </c>
      <c r="P134" s="46">
        <f t="shared" si="93"/>
        <v>0</v>
      </c>
      <c r="Q134" s="46">
        <f t="shared" si="93"/>
        <v>0</v>
      </c>
      <c r="R134" s="46">
        <f t="shared" si="93"/>
        <v>0</v>
      </c>
      <c r="S134" s="47">
        <f t="shared" si="93"/>
        <v>0</v>
      </c>
      <c r="T134" s="48">
        <f t="shared" si="93"/>
        <v>0</v>
      </c>
      <c r="V134" s="45">
        <f t="shared" ref="V134:AD134" si="94">SUM(V130:V133)</f>
        <v>0</v>
      </c>
      <c r="W134" s="46">
        <f t="shared" si="94"/>
        <v>0</v>
      </c>
      <c r="X134" s="46">
        <f t="shared" si="94"/>
        <v>0</v>
      </c>
      <c r="Y134" s="46">
        <f t="shared" si="94"/>
        <v>0</v>
      </c>
      <c r="Z134" s="46">
        <f t="shared" si="94"/>
        <v>0</v>
      </c>
      <c r="AA134" s="46">
        <f t="shared" si="94"/>
        <v>0</v>
      </c>
      <c r="AB134" s="46">
        <f t="shared" si="94"/>
        <v>0</v>
      </c>
      <c r="AC134" s="47">
        <f t="shared" si="94"/>
        <v>0</v>
      </c>
      <c r="AD134" s="48">
        <f t="shared" si="94"/>
        <v>0</v>
      </c>
      <c r="AF134" s="45">
        <f t="shared" ref="AF134:AN134" si="95">SUM(AF130:AF133)</f>
        <v>0</v>
      </c>
      <c r="AG134" s="46">
        <f t="shared" si="95"/>
        <v>0</v>
      </c>
      <c r="AH134" s="46">
        <f t="shared" si="95"/>
        <v>0</v>
      </c>
      <c r="AI134" s="46">
        <f t="shared" si="95"/>
        <v>0</v>
      </c>
      <c r="AJ134" s="46">
        <f t="shared" si="95"/>
        <v>0</v>
      </c>
      <c r="AK134" s="46">
        <f t="shared" si="95"/>
        <v>0</v>
      </c>
      <c r="AL134" s="46">
        <f t="shared" si="95"/>
        <v>4</v>
      </c>
      <c r="AM134" s="47">
        <f t="shared" si="95"/>
        <v>0</v>
      </c>
      <c r="AN134" s="48">
        <f t="shared" si="95"/>
        <v>4</v>
      </c>
      <c r="AP134" s="48">
        <f>SUM(AP130:AP133)</f>
        <v>4</v>
      </c>
    </row>
    <row r="135" spans="1:42" ht="15.75" customHeight="1">
      <c r="A135" s="56">
        <v>0.625</v>
      </c>
      <c r="B135" s="32">
        <v>0</v>
      </c>
      <c r="C135" s="33">
        <v>0</v>
      </c>
      <c r="D135" s="33">
        <v>0</v>
      </c>
      <c r="E135" s="33">
        <v>0</v>
      </c>
      <c r="F135" s="33">
        <v>0</v>
      </c>
      <c r="G135" s="33">
        <v>0</v>
      </c>
      <c r="H135" s="33">
        <v>0</v>
      </c>
      <c r="I135" s="34">
        <v>0</v>
      </c>
      <c r="J135" s="57">
        <f>SUM(B135:I135)</f>
        <v>0</v>
      </c>
      <c r="L135" s="32">
        <v>0</v>
      </c>
      <c r="M135" s="33">
        <v>0</v>
      </c>
      <c r="N135" s="33">
        <v>0</v>
      </c>
      <c r="O135" s="33">
        <v>0</v>
      </c>
      <c r="P135" s="33">
        <v>0</v>
      </c>
      <c r="Q135" s="33">
        <v>0</v>
      </c>
      <c r="R135" s="33">
        <v>0</v>
      </c>
      <c r="S135" s="34">
        <v>0</v>
      </c>
      <c r="T135" s="57">
        <f>SUM(L135:S135)</f>
        <v>0</v>
      </c>
      <c r="V135" s="32">
        <v>0</v>
      </c>
      <c r="W135" s="33">
        <v>0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34">
        <v>0</v>
      </c>
      <c r="AD135" s="57">
        <f>SUM(V135:AC135)</f>
        <v>0</v>
      </c>
      <c r="AF135" s="32">
        <v>0</v>
      </c>
      <c r="AG135" s="33">
        <v>0</v>
      </c>
      <c r="AH135" s="33">
        <v>0</v>
      </c>
      <c r="AI135" s="33">
        <v>0</v>
      </c>
      <c r="AJ135" s="33">
        <v>0</v>
      </c>
      <c r="AK135" s="33">
        <v>0</v>
      </c>
      <c r="AL135" s="33">
        <v>3</v>
      </c>
      <c r="AM135" s="34">
        <v>0</v>
      </c>
      <c r="AN135" s="57">
        <f>SUM(AF135:AM135)</f>
        <v>3</v>
      </c>
      <c r="AP135" s="57">
        <f>SUM(J135+T135+AD135+AN135)</f>
        <v>3</v>
      </c>
    </row>
    <row r="136" spans="1:42" ht="15.75" customHeight="1">
      <c r="A136" s="58">
        <v>0.63541666666666663</v>
      </c>
      <c r="B136" s="36">
        <v>0</v>
      </c>
      <c r="C136" s="37">
        <v>0</v>
      </c>
      <c r="D136" s="37">
        <v>0</v>
      </c>
      <c r="E136" s="37">
        <v>0</v>
      </c>
      <c r="F136" s="37">
        <v>0</v>
      </c>
      <c r="G136" s="37">
        <v>0</v>
      </c>
      <c r="H136" s="37">
        <v>0</v>
      </c>
      <c r="I136" s="40">
        <v>0</v>
      </c>
      <c r="J136" s="59">
        <f>SUM(B136:I136)</f>
        <v>0</v>
      </c>
      <c r="L136" s="36">
        <v>0</v>
      </c>
      <c r="M136" s="37">
        <v>0</v>
      </c>
      <c r="N136" s="37">
        <v>0</v>
      </c>
      <c r="O136" s="37">
        <v>0</v>
      </c>
      <c r="P136" s="37">
        <v>0</v>
      </c>
      <c r="Q136" s="37">
        <v>0</v>
      </c>
      <c r="R136" s="37">
        <v>0</v>
      </c>
      <c r="S136" s="40">
        <v>0</v>
      </c>
      <c r="T136" s="59">
        <f>SUM(L136:S136)</f>
        <v>0</v>
      </c>
      <c r="V136" s="36">
        <v>0</v>
      </c>
      <c r="W136" s="37">
        <v>0</v>
      </c>
      <c r="X136" s="37">
        <v>0</v>
      </c>
      <c r="Y136" s="37">
        <v>0</v>
      </c>
      <c r="Z136" s="37">
        <v>0</v>
      </c>
      <c r="AA136" s="37">
        <v>0</v>
      </c>
      <c r="AB136" s="37">
        <v>0</v>
      </c>
      <c r="AC136" s="40">
        <v>0</v>
      </c>
      <c r="AD136" s="59">
        <f>SUM(V136:AC136)</f>
        <v>0</v>
      </c>
      <c r="AF136" s="36">
        <v>0</v>
      </c>
      <c r="AG136" s="37">
        <v>0</v>
      </c>
      <c r="AH136" s="37">
        <v>0</v>
      </c>
      <c r="AI136" s="37">
        <v>0</v>
      </c>
      <c r="AJ136" s="37">
        <v>0</v>
      </c>
      <c r="AK136" s="37">
        <v>0</v>
      </c>
      <c r="AL136" s="37">
        <v>3</v>
      </c>
      <c r="AM136" s="40">
        <v>0</v>
      </c>
      <c r="AN136" s="59">
        <f>SUM(AF136:AM136)</f>
        <v>3</v>
      </c>
      <c r="AP136" s="59">
        <f>SUM(J136+T136+AD136+AN136)</f>
        <v>3</v>
      </c>
    </row>
    <row r="137" spans="1:42" ht="15.75" customHeight="1">
      <c r="A137" s="58">
        <v>0.64583333333333337</v>
      </c>
      <c r="B137" s="36">
        <v>0</v>
      </c>
      <c r="C137" s="37">
        <v>0</v>
      </c>
      <c r="D137" s="37">
        <v>0</v>
      </c>
      <c r="E137" s="37">
        <v>0</v>
      </c>
      <c r="F137" s="37">
        <v>0</v>
      </c>
      <c r="G137" s="37">
        <v>0</v>
      </c>
      <c r="H137" s="37">
        <v>0</v>
      </c>
      <c r="I137" s="40">
        <v>0</v>
      </c>
      <c r="J137" s="59">
        <f>SUM(B137:I137)</f>
        <v>0</v>
      </c>
      <c r="L137" s="36">
        <v>0</v>
      </c>
      <c r="M137" s="37">
        <v>0</v>
      </c>
      <c r="N137" s="37">
        <v>0</v>
      </c>
      <c r="O137" s="37">
        <v>0</v>
      </c>
      <c r="P137" s="37">
        <v>0</v>
      </c>
      <c r="Q137" s="37">
        <v>0</v>
      </c>
      <c r="R137" s="37">
        <v>0</v>
      </c>
      <c r="S137" s="40">
        <v>0</v>
      </c>
      <c r="T137" s="59">
        <f>SUM(L137:S137)</f>
        <v>0</v>
      </c>
      <c r="V137" s="36">
        <v>0</v>
      </c>
      <c r="W137" s="37">
        <v>0</v>
      </c>
      <c r="X137" s="37">
        <v>0</v>
      </c>
      <c r="Y137" s="37">
        <v>0</v>
      </c>
      <c r="Z137" s="37">
        <v>0</v>
      </c>
      <c r="AA137" s="37">
        <v>0</v>
      </c>
      <c r="AB137" s="37">
        <v>0</v>
      </c>
      <c r="AC137" s="40">
        <v>0</v>
      </c>
      <c r="AD137" s="59">
        <f>SUM(V137:AC137)</f>
        <v>0</v>
      </c>
      <c r="AF137" s="36">
        <v>0</v>
      </c>
      <c r="AG137" s="37">
        <v>0</v>
      </c>
      <c r="AH137" s="37">
        <v>0</v>
      </c>
      <c r="AI137" s="37">
        <v>0</v>
      </c>
      <c r="AJ137" s="37">
        <v>0</v>
      </c>
      <c r="AK137" s="37">
        <v>0</v>
      </c>
      <c r="AL137" s="37">
        <v>1</v>
      </c>
      <c r="AM137" s="40">
        <v>0</v>
      </c>
      <c r="AN137" s="59">
        <f>SUM(AF137:AM137)</f>
        <v>1</v>
      </c>
      <c r="AP137" s="59">
        <f>SUM(J137+T137+AD137+AN137)</f>
        <v>1</v>
      </c>
    </row>
    <row r="138" spans="1:42" ht="15.75" customHeight="1">
      <c r="A138" s="60">
        <v>0.65625</v>
      </c>
      <c r="B138" s="41">
        <v>0</v>
      </c>
      <c r="C138" s="42">
        <v>0</v>
      </c>
      <c r="D138" s="42">
        <v>0</v>
      </c>
      <c r="E138" s="42">
        <v>0</v>
      </c>
      <c r="F138" s="42">
        <v>0</v>
      </c>
      <c r="G138" s="42">
        <v>0</v>
      </c>
      <c r="H138" s="42">
        <v>0</v>
      </c>
      <c r="I138" s="43">
        <v>0</v>
      </c>
      <c r="J138" s="61">
        <f>SUM(B138:I138)</f>
        <v>0</v>
      </c>
      <c r="L138" s="41">
        <v>0</v>
      </c>
      <c r="M138" s="42">
        <v>0</v>
      </c>
      <c r="N138" s="42">
        <v>0</v>
      </c>
      <c r="O138" s="42">
        <v>0</v>
      </c>
      <c r="P138" s="42">
        <v>0</v>
      </c>
      <c r="Q138" s="42">
        <v>0</v>
      </c>
      <c r="R138" s="42">
        <v>0</v>
      </c>
      <c r="S138" s="43">
        <v>0</v>
      </c>
      <c r="T138" s="61">
        <f>SUM(L138:S138)</f>
        <v>0</v>
      </c>
      <c r="V138" s="41">
        <v>0</v>
      </c>
      <c r="W138" s="42">
        <v>0</v>
      </c>
      <c r="X138" s="42">
        <v>0</v>
      </c>
      <c r="Y138" s="42">
        <v>0</v>
      </c>
      <c r="Z138" s="42">
        <v>0</v>
      </c>
      <c r="AA138" s="42">
        <v>0</v>
      </c>
      <c r="AB138" s="42">
        <v>0</v>
      </c>
      <c r="AC138" s="43">
        <v>0</v>
      </c>
      <c r="AD138" s="61">
        <f>SUM(V138:AC138)</f>
        <v>0</v>
      </c>
      <c r="AF138" s="41">
        <v>0</v>
      </c>
      <c r="AG138" s="42">
        <v>0</v>
      </c>
      <c r="AH138" s="42">
        <v>0</v>
      </c>
      <c r="AI138" s="42">
        <v>0</v>
      </c>
      <c r="AJ138" s="42">
        <v>0</v>
      </c>
      <c r="AK138" s="42">
        <v>0</v>
      </c>
      <c r="AL138" s="42">
        <v>0</v>
      </c>
      <c r="AM138" s="43">
        <v>0</v>
      </c>
      <c r="AN138" s="61">
        <f>SUM(AF138:AM138)</f>
        <v>0</v>
      </c>
      <c r="AP138" s="61">
        <f>SUM(J138+T138+AD138+AN138)</f>
        <v>0</v>
      </c>
    </row>
    <row r="139" spans="1:42" ht="15.75" customHeight="1">
      <c r="A139" s="48" t="s">
        <v>29</v>
      </c>
      <c r="B139" s="45">
        <f t="shared" ref="B139:J139" si="96">SUM(B135:B138)</f>
        <v>0</v>
      </c>
      <c r="C139" s="46">
        <f t="shared" si="96"/>
        <v>0</v>
      </c>
      <c r="D139" s="46">
        <f t="shared" si="96"/>
        <v>0</v>
      </c>
      <c r="E139" s="46">
        <f t="shared" si="96"/>
        <v>0</v>
      </c>
      <c r="F139" s="46">
        <f t="shared" si="96"/>
        <v>0</v>
      </c>
      <c r="G139" s="46">
        <f t="shared" si="96"/>
        <v>0</v>
      </c>
      <c r="H139" s="46">
        <f t="shared" si="96"/>
        <v>0</v>
      </c>
      <c r="I139" s="47">
        <f t="shared" si="96"/>
        <v>0</v>
      </c>
      <c r="J139" s="48">
        <f t="shared" si="96"/>
        <v>0</v>
      </c>
      <c r="L139" s="45">
        <f t="shared" ref="L139:T139" si="97">SUM(L135:L138)</f>
        <v>0</v>
      </c>
      <c r="M139" s="46">
        <f t="shared" si="97"/>
        <v>0</v>
      </c>
      <c r="N139" s="46">
        <f t="shared" si="97"/>
        <v>0</v>
      </c>
      <c r="O139" s="46">
        <f t="shared" si="97"/>
        <v>0</v>
      </c>
      <c r="P139" s="46">
        <f t="shared" si="97"/>
        <v>0</v>
      </c>
      <c r="Q139" s="46">
        <f t="shared" si="97"/>
        <v>0</v>
      </c>
      <c r="R139" s="46">
        <f t="shared" si="97"/>
        <v>0</v>
      </c>
      <c r="S139" s="47">
        <f t="shared" si="97"/>
        <v>0</v>
      </c>
      <c r="T139" s="48">
        <f t="shared" si="97"/>
        <v>0</v>
      </c>
      <c r="V139" s="45">
        <f t="shared" ref="V139:AD139" si="98">SUM(V135:V138)</f>
        <v>0</v>
      </c>
      <c r="W139" s="46">
        <f t="shared" si="98"/>
        <v>0</v>
      </c>
      <c r="X139" s="46">
        <f t="shared" si="98"/>
        <v>0</v>
      </c>
      <c r="Y139" s="46">
        <f t="shared" si="98"/>
        <v>0</v>
      </c>
      <c r="Z139" s="46">
        <f t="shared" si="98"/>
        <v>0</v>
      </c>
      <c r="AA139" s="46">
        <f t="shared" si="98"/>
        <v>0</v>
      </c>
      <c r="AB139" s="46">
        <f t="shared" si="98"/>
        <v>0</v>
      </c>
      <c r="AC139" s="47">
        <f t="shared" si="98"/>
        <v>0</v>
      </c>
      <c r="AD139" s="48">
        <f t="shared" si="98"/>
        <v>0</v>
      </c>
      <c r="AF139" s="45">
        <f t="shared" ref="AF139:AN139" si="99">SUM(AF135:AF138)</f>
        <v>0</v>
      </c>
      <c r="AG139" s="46">
        <f t="shared" si="99"/>
        <v>0</v>
      </c>
      <c r="AH139" s="46">
        <f t="shared" si="99"/>
        <v>0</v>
      </c>
      <c r="AI139" s="46">
        <f t="shared" si="99"/>
        <v>0</v>
      </c>
      <c r="AJ139" s="46">
        <f t="shared" si="99"/>
        <v>0</v>
      </c>
      <c r="AK139" s="46">
        <f t="shared" si="99"/>
        <v>0</v>
      </c>
      <c r="AL139" s="46">
        <f t="shared" si="99"/>
        <v>7</v>
      </c>
      <c r="AM139" s="47">
        <f t="shared" si="99"/>
        <v>0</v>
      </c>
      <c r="AN139" s="48">
        <f t="shared" si="99"/>
        <v>7</v>
      </c>
      <c r="AP139" s="48">
        <f>SUM(AP135:AP138)</f>
        <v>7</v>
      </c>
    </row>
    <row r="140" spans="1:42" ht="15.75" customHeight="1">
      <c r="A140" s="56">
        <v>0.66666666666666663</v>
      </c>
      <c r="B140" s="32">
        <v>0</v>
      </c>
      <c r="C140" s="33">
        <v>0</v>
      </c>
      <c r="D140" s="33">
        <v>0</v>
      </c>
      <c r="E140" s="33">
        <v>0</v>
      </c>
      <c r="F140" s="33">
        <v>0</v>
      </c>
      <c r="G140" s="33">
        <v>0</v>
      </c>
      <c r="H140" s="33">
        <v>0</v>
      </c>
      <c r="I140" s="34">
        <v>0</v>
      </c>
      <c r="J140" s="57">
        <f>SUM(B140:I140)</f>
        <v>0</v>
      </c>
      <c r="L140" s="32">
        <v>0</v>
      </c>
      <c r="M140" s="33">
        <v>0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4">
        <v>0</v>
      </c>
      <c r="T140" s="57">
        <f>SUM(L140:S140)</f>
        <v>0</v>
      </c>
      <c r="V140" s="32">
        <v>0</v>
      </c>
      <c r="W140" s="33">
        <v>0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34">
        <v>0</v>
      </c>
      <c r="AD140" s="57">
        <f>SUM(V140:AC140)</f>
        <v>0</v>
      </c>
      <c r="AF140" s="32">
        <v>0</v>
      </c>
      <c r="AG140" s="33">
        <v>0</v>
      </c>
      <c r="AH140" s="33">
        <v>0</v>
      </c>
      <c r="AI140" s="33">
        <v>0</v>
      </c>
      <c r="AJ140" s="33">
        <v>0</v>
      </c>
      <c r="AK140" s="33">
        <v>0</v>
      </c>
      <c r="AL140" s="33">
        <v>2</v>
      </c>
      <c r="AM140" s="34">
        <v>0</v>
      </c>
      <c r="AN140" s="57">
        <f>SUM(AF140:AM140)</f>
        <v>2</v>
      </c>
      <c r="AP140" s="57">
        <f>SUM(J140+T140+AD140+AN140)</f>
        <v>2</v>
      </c>
    </row>
    <row r="141" spans="1:42" ht="15.75" customHeight="1">
      <c r="A141" s="58">
        <v>0.67708333333333337</v>
      </c>
      <c r="B141" s="36">
        <v>0</v>
      </c>
      <c r="C141" s="37">
        <v>0</v>
      </c>
      <c r="D141" s="37">
        <v>0</v>
      </c>
      <c r="E141" s="37">
        <v>0</v>
      </c>
      <c r="F141" s="37">
        <v>0</v>
      </c>
      <c r="G141" s="37">
        <v>0</v>
      </c>
      <c r="H141" s="37">
        <v>0</v>
      </c>
      <c r="I141" s="40">
        <v>0</v>
      </c>
      <c r="J141" s="59">
        <f>SUM(B141:I141)</f>
        <v>0</v>
      </c>
      <c r="L141" s="36">
        <v>0</v>
      </c>
      <c r="M141" s="37">
        <v>0</v>
      </c>
      <c r="N141" s="37">
        <v>0</v>
      </c>
      <c r="O141" s="37">
        <v>0</v>
      </c>
      <c r="P141" s="37">
        <v>0</v>
      </c>
      <c r="Q141" s="37">
        <v>0</v>
      </c>
      <c r="R141" s="37">
        <v>0</v>
      </c>
      <c r="S141" s="40">
        <v>0</v>
      </c>
      <c r="T141" s="59">
        <f>SUM(L141:S141)</f>
        <v>0</v>
      </c>
      <c r="V141" s="36">
        <v>0</v>
      </c>
      <c r="W141" s="37">
        <v>0</v>
      </c>
      <c r="X141" s="37">
        <v>0</v>
      </c>
      <c r="Y141" s="37">
        <v>0</v>
      </c>
      <c r="Z141" s="37">
        <v>0</v>
      </c>
      <c r="AA141" s="37">
        <v>0</v>
      </c>
      <c r="AB141" s="37">
        <v>0</v>
      </c>
      <c r="AC141" s="40">
        <v>0</v>
      </c>
      <c r="AD141" s="59">
        <f>SUM(V141:AC141)</f>
        <v>0</v>
      </c>
      <c r="AF141" s="36">
        <v>0</v>
      </c>
      <c r="AG141" s="37">
        <v>0</v>
      </c>
      <c r="AH141" s="37">
        <v>0</v>
      </c>
      <c r="AI141" s="37">
        <v>0</v>
      </c>
      <c r="AJ141" s="37">
        <v>0</v>
      </c>
      <c r="AK141" s="37">
        <v>0</v>
      </c>
      <c r="AL141" s="37">
        <v>1</v>
      </c>
      <c r="AM141" s="40">
        <v>0</v>
      </c>
      <c r="AN141" s="59">
        <f>SUM(AF141:AM141)</f>
        <v>1</v>
      </c>
      <c r="AP141" s="59">
        <f>SUM(J141+T141+AD141+AN141)</f>
        <v>1</v>
      </c>
    </row>
    <row r="142" spans="1:42" ht="15.75" customHeight="1">
      <c r="A142" s="58">
        <v>0.6875</v>
      </c>
      <c r="B142" s="36">
        <v>0</v>
      </c>
      <c r="C142" s="37">
        <v>0</v>
      </c>
      <c r="D142" s="37">
        <v>0</v>
      </c>
      <c r="E142" s="37">
        <v>0</v>
      </c>
      <c r="F142" s="37">
        <v>0</v>
      </c>
      <c r="G142" s="37">
        <v>0</v>
      </c>
      <c r="H142" s="37">
        <v>0</v>
      </c>
      <c r="I142" s="40">
        <v>0</v>
      </c>
      <c r="J142" s="59">
        <f>SUM(B142:I142)</f>
        <v>0</v>
      </c>
      <c r="L142" s="36">
        <v>0</v>
      </c>
      <c r="M142" s="37">
        <v>0</v>
      </c>
      <c r="N142" s="37">
        <v>0</v>
      </c>
      <c r="O142" s="37">
        <v>0</v>
      </c>
      <c r="P142" s="37">
        <v>0</v>
      </c>
      <c r="Q142" s="37">
        <v>0</v>
      </c>
      <c r="R142" s="37">
        <v>0</v>
      </c>
      <c r="S142" s="40">
        <v>0</v>
      </c>
      <c r="T142" s="59">
        <f>SUM(L142:S142)</f>
        <v>0</v>
      </c>
      <c r="V142" s="36">
        <v>0</v>
      </c>
      <c r="W142" s="37">
        <v>0</v>
      </c>
      <c r="X142" s="37">
        <v>0</v>
      </c>
      <c r="Y142" s="37">
        <v>0</v>
      </c>
      <c r="Z142" s="37">
        <v>0</v>
      </c>
      <c r="AA142" s="37">
        <v>0</v>
      </c>
      <c r="AB142" s="37">
        <v>0</v>
      </c>
      <c r="AC142" s="40">
        <v>0</v>
      </c>
      <c r="AD142" s="59">
        <f>SUM(V142:AC142)</f>
        <v>0</v>
      </c>
      <c r="AF142" s="36">
        <v>0</v>
      </c>
      <c r="AG142" s="37">
        <v>0</v>
      </c>
      <c r="AH142" s="37">
        <v>0</v>
      </c>
      <c r="AI142" s="37">
        <v>0</v>
      </c>
      <c r="AJ142" s="37">
        <v>0</v>
      </c>
      <c r="AK142" s="37">
        <v>0</v>
      </c>
      <c r="AL142" s="37">
        <v>4</v>
      </c>
      <c r="AM142" s="40">
        <v>0</v>
      </c>
      <c r="AN142" s="59">
        <f>SUM(AF142:AM142)</f>
        <v>4</v>
      </c>
      <c r="AP142" s="59">
        <f>SUM(J142+T142+AD142+AN142)</f>
        <v>4</v>
      </c>
    </row>
    <row r="143" spans="1:42" ht="15.75" customHeight="1">
      <c r="A143" s="60">
        <v>0.69791666666666663</v>
      </c>
      <c r="B143" s="41">
        <v>0</v>
      </c>
      <c r="C143" s="42">
        <v>0</v>
      </c>
      <c r="D143" s="42">
        <v>0</v>
      </c>
      <c r="E143" s="42">
        <v>0</v>
      </c>
      <c r="F143" s="42">
        <v>0</v>
      </c>
      <c r="G143" s="42">
        <v>0</v>
      </c>
      <c r="H143" s="42">
        <v>0</v>
      </c>
      <c r="I143" s="43">
        <v>0</v>
      </c>
      <c r="J143" s="61">
        <f>SUM(B143:I143)</f>
        <v>0</v>
      </c>
      <c r="L143" s="41">
        <v>0</v>
      </c>
      <c r="M143" s="42">
        <v>0</v>
      </c>
      <c r="N143" s="42">
        <v>0</v>
      </c>
      <c r="O143" s="42">
        <v>0</v>
      </c>
      <c r="P143" s="42">
        <v>0</v>
      </c>
      <c r="Q143" s="42">
        <v>0</v>
      </c>
      <c r="R143" s="42">
        <v>0</v>
      </c>
      <c r="S143" s="43">
        <v>0</v>
      </c>
      <c r="T143" s="61">
        <f>SUM(L143:S143)</f>
        <v>0</v>
      </c>
      <c r="V143" s="41">
        <v>0</v>
      </c>
      <c r="W143" s="42">
        <v>0</v>
      </c>
      <c r="X143" s="42">
        <v>0</v>
      </c>
      <c r="Y143" s="42">
        <v>0</v>
      </c>
      <c r="Z143" s="42">
        <v>0</v>
      </c>
      <c r="AA143" s="42">
        <v>0</v>
      </c>
      <c r="AB143" s="42">
        <v>0</v>
      </c>
      <c r="AC143" s="43">
        <v>0</v>
      </c>
      <c r="AD143" s="61">
        <f>SUM(V143:AC143)</f>
        <v>0</v>
      </c>
      <c r="AF143" s="41">
        <v>0</v>
      </c>
      <c r="AG143" s="42">
        <v>0</v>
      </c>
      <c r="AH143" s="42">
        <v>0</v>
      </c>
      <c r="AI143" s="42">
        <v>0</v>
      </c>
      <c r="AJ143" s="42">
        <v>0</v>
      </c>
      <c r="AK143" s="42">
        <v>0</v>
      </c>
      <c r="AL143" s="42">
        <v>1</v>
      </c>
      <c r="AM143" s="43">
        <v>0</v>
      </c>
      <c r="AN143" s="61">
        <f>SUM(AF143:AM143)</f>
        <v>1</v>
      </c>
      <c r="AP143" s="61">
        <f>SUM(J143+T143+AD143+AN143)</f>
        <v>1</v>
      </c>
    </row>
    <row r="144" spans="1:42" ht="15.75" customHeight="1">
      <c r="A144" s="48" t="s">
        <v>29</v>
      </c>
      <c r="B144" s="45">
        <f t="shared" ref="B144:J144" si="100">SUM(B140:B143)</f>
        <v>0</v>
      </c>
      <c r="C144" s="46">
        <f t="shared" si="100"/>
        <v>0</v>
      </c>
      <c r="D144" s="46">
        <f t="shared" si="100"/>
        <v>0</v>
      </c>
      <c r="E144" s="46">
        <f t="shared" si="100"/>
        <v>0</v>
      </c>
      <c r="F144" s="46">
        <f t="shared" si="100"/>
        <v>0</v>
      </c>
      <c r="G144" s="46">
        <f t="shared" si="100"/>
        <v>0</v>
      </c>
      <c r="H144" s="46">
        <f t="shared" si="100"/>
        <v>0</v>
      </c>
      <c r="I144" s="47">
        <f t="shared" si="100"/>
        <v>0</v>
      </c>
      <c r="J144" s="48">
        <f t="shared" si="100"/>
        <v>0</v>
      </c>
      <c r="L144" s="45">
        <f t="shared" ref="L144:T144" si="101">SUM(L140:L143)</f>
        <v>0</v>
      </c>
      <c r="M144" s="46">
        <f t="shared" si="101"/>
        <v>0</v>
      </c>
      <c r="N144" s="46">
        <f t="shared" si="101"/>
        <v>0</v>
      </c>
      <c r="O144" s="46">
        <f t="shared" si="101"/>
        <v>0</v>
      </c>
      <c r="P144" s="46">
        <f t="shared" si="101"/>
        <v>0</v>
      </c>
      <c r="Q144" s="46">
        <f t="shared" si="101"/>
        <v>0</v>
      </c>
      <c r="R144" s="46">
        <f t="shared" si="101"/>
        <v>0</v>
      </c>
      <c r="S144" s="47">
        <f t="shared" si="101"/>
        <v>0</v>
      </c>
      <c r="T144" s="48">
        <f t="shared" si="101"/>
        <v>0</v>
      </c>
      <c r="V144" s="45">
        <f t="shared" ref="V144:AD144" si="102">SUM(V140:V143)</f>
        <v>0</v>
      </c>
      <c r="W144" s="46">
        <f t="shared" si="102"/>
        <v>0</v>
      </c>
      <c r="X144" s="46">
        <f t="shared" si="102"/>
        <v>0</v>
      </c>
      <c r="Y144" s="46">
        <f t="shared" si="102"/>
        <v>0</v>
      </c>
      <c r="Z144" s="46">
        <f t="shared" si="102"/>
        <v>0</v>
      </c>
      <c r="AA144" s="46">
        <f t="shared" si="102"/>
        <v>0</v>
      </c>
      <c r="AB144" s="46">
        <f t="shared" si="102"/>
        <v>0</v>
      </c>
      <c r="AC144" s="47">
        <f t="shared" si="102"/>
        <v>0</v>
      </c>
      <c r="AD144" s="48">
        <f t="shared" si="102"/>
        <v>0</v>
      </c>
      <c r="AF144" s="45">
        <f t="shared" ref="AF144:AN144" si="103">SUM(AF140:AF143)</f>
        <v>0</v>
      </c>
      <c r="AG144" s="46">
        <f t="shared" si="103"/>
        <v>0</v>
      </c>
      <c r="AH144" s="46">
        <f t="shared" si="103"/>
        <v>0</v>
      </c>
      <c r="AI144" s="46">
        <f t="shared" si="103"/>
        <v>0</v>
      </c>
      <c r="AJ144" s="46">
        <f t="shared" si="103"/>
        <v>0</v>
      </c>
      <c r="AK144" s="46">
        <f t="shared" si="103"/>
        <v>0</v>
      </c>
      <c r="AL144" s="46">
        <f t="shared" si="103"/>
        <v>8</v>
      </c>
      <c r="AM144" s="47">
        <f t="shared" si="103"/>
        <v>0</v>
      </c>
      <c r="AN144" s="48">
        <f t="shared" si="103"/>
        <v>8</v>
      </c>
      <c r="AP144" s="48">
        <f>SUM(AP140:AP143)</f>
        <v>8</v>
      </c>
    </row>
    <row r="145" spans="1:42" ht="15.75" customHeight="1">
      <c r="A145" s="56">
        <v>0.70833333333333337</v>
      </c>
      <c r="B145" s="32">
        <v>0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4">
        <v>0</v>
      </c>
      <c r="J145" s="57">
        <f>SUM(B145:I145)</f>
        <v>0</v>
      </c>
      <c r="L145" s="32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4">
        <v>0</v>
      </c>
      <c r="T145" s="57">
        <f>SUM(L145:S145)</f>
        <v>0</v>
      </c>
      <c r="V145" s="32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4">
        <v>0</v>
      </c>
      <c r="AD145" s="57">
        <f>SUM(V145:AC145)</f>
        <v>0</v>
      </c>
      <c r="AF145" s="32">
        <v>0</v>
      </c>
      <c r="AG145" s="33">
        <v>0</v>
      </c>
      <c r="AH145" s="33">
        <v>0</v>
      </c>
      <c r="AI145" s="33">
        <v>0</v>
      </c>
      <c r="AJ145" s="33">
        <v>0</v>
      </c>
      <c r="AK145" s="33">
        <v>0</v>
      </c>
      <c r="AL145" s="33">
        <v>7</v>
      </c>
      <c r="AM145" s="34">
        <v>1</v>
      </c>
      <c r="AN145" s="57">
        <f>SUM(AF145:AM145)</f>
        <v>8</v>
      </c>
      <c r="AP145" s="57">
        <f>SUM(J145+T145+AD145+AN145)</f>
        <v>8</v>
      </c>
    </row>
    <row r="146" spans="1:42" ht="15.75" customHeight="1">
      <c r="A146" s="58">
        <v>0.71875</v>
      </c>
      <c r="B146" s="36">
        <v>0</v>
      </c>
      <c r="C146" s="37">
        <v>0</v>
      </c>
      <c r="D146" s="37">
        <v>0</v>
      </c>
      <c r="E146" s="37">
        <v>0</v>
      </c>
      <c r="F146" s="37">
        <v>0</v>
      </c>
      <c r="G146" s="37">
        <v>0</v>
      </c>
      <c r="H146" s="37">
        <v>0</v>
      </c>
      <c r="I146" s="40">
        <v>0</v>
      </c>
      <c r="J146" s="59">
        <f>SUM(B146:I146)</f>
        <v>0</v>
      </c>
      <c r="L146" s="36">
        <v>0</v>
      </c>
      <c r="M146" s="37">
        <v>0</v>
      </c>
      <c r="N146" s="37">
        <v>0</v>
      </c>
      <c r="O146" s="37">
        <v>0</v>
      </c>
      <c r="P146" s="37">
        <v>0</v>
      </c>
      <c r="Q146" s="37">
        <v>0</v>
      </c>
      <c r="R146" s="37">
        <v>0</v>
      </c>
      <c r="S146" s="40">
        <v>0</v>
      </c>
      <c r="T146" s="59">
        <f>SUM(L146:S146)</f>
        <v>0</v>
      </c>
      <c r="V146" s="36">
        <v>0</v>
      </c>
      <c r="W146" s="37">
        <v>0</v>
      </c>
      <c r="X146" s="37">
        <v>0</v>
      </c>
      <c r="Y146" s="37">
        <v>0</v>
      </c>
      <c r="Z146" s="37">
        <v>0</v>
      </c>
      <c r="AA146" s="37">
        <v>0</v>
      </c>
      <c r="AB146" s="37">
        <v>0</v>
      </c>
      <c r="AC146" s="40">
        <v>0</v>
      </c>
      <c r="AD146" s="59">
        <f>SUM(V146:AC146)</f>
        <v>0</v>
      </c>
      <c r="AF146" s="36">
        <v>0</v>
      </c>
      <c r="AG146" s="37">
        <v>0</v>
      </c>
      <c r="AH146" s="37">
        <v>0</v>
      </c>
      <c r="AI146" s="37">
        <v>0</v>
      </c>
      <c r="AJ146" s="37">
        <v>0</v>
      </c>
      <c r="AK146" s="37">
        <v>0</v>
      </c>
      <c r="AL146" s="37">
        <v>7</v>
      </c>
      <c r="AM146" s="40">
        <v>1</v>
      </c>
      <c r="AN146" s="59">
        <f>SUM(AF146:AM146)</f>
        <v>8</v>
      </c>
      <c r="AP146" s="59">
        <f>SUM(J146+T146+AD146+AN146)</f>
        <v>8</v>
      </c>
    </row>
    <row r="147" spans="1:42" ht="15.75" customHeight="1">
      <c r="A147" s="58">
        <v>0.72916666666666663</v>
      </c>
      <c r="B147" s="36">
        <v>0</v>
      </c>
      <c r="C147" s="37">
        <v>0</v>
      </c>
      <c r="D147" s="37">
        <v>0</v>
      </c>
      <c r="E147" s="37">
        <v>0</v>
      </c>
      <c r="F147" s="37">
        <v>0</v>
      </c>
      <c r="G147" s="37">
        <v>0</v>
      </c>
      <c r="H147" s="37">
        <v>0</v>
      </c>
      <c r="I147" s="40">
        <v>0</v>
      </c>
      <c r="J147" s="59">
        <f>SUM(B147:I147)</f>
        <v>0</v>
      </c>
      <c r="L147" s="36">
        <v>0</v>
      </c>
      <c r="M147" s="37">
        <v>0</v>
      </c>
      <c r="N147" s="37">
        <v>0</v>
      </c>
      <c r="O147" s="37">
        <v>0</v>
      </c>
      <c r="P147" s="37">
        <v>0</v>
      </c>
      <c r="Q147" s="37">
        <v>0</v>
      </c>
      <c r="R147" s="37">
        <v>0</v>
      </c>
      <c r="S147" s="40">
        <v>0</v>
      </c>
      <c r="T147" s="59">
        <f>SUM(L147:S147)</f>
        <v>0</v>
      </c>
      <c r="V147" s="36">
        <v>0</v>
      </c>
      <c r="W147" s="37">
        <v>0</v>
      </c>
      <c r="X147" s="37">
        <v>0</v>
      </c>
      <c r="Y147" s="37">
        <v>0</v>
      </c>
      <c r="Z147" s="37">
        <v>0</v>
      </c>
      <c r="AA147" s="37">
        <v>0</v>
      </c>
      <c r="AB147" s="37">
        <v>0</v>
      </c>
      <c r="AC147" s="40">
        <v>0</v>
      </c>
      <c r="AD147" s="59">
        <f>SUM(V147:AC147)</f>
        <v>0</v>
      </c>
      <c r="AF147" s="36">
        <v>0</v>
      </c>
      <c r="AG147" s="37">
        <v>0</v>
      </c>
      <c r="AH147" s="37">
        <v>0</v>
      </c>
      <c r="AI147" s="37">
        <v>0</v>
      </c>
      <c r="AJ147" s="37">
        <v>0</v>
      </c>
      <c r="AK147" s="37">
        <v>0</v>
      </c>
      <c r="AL147" s="37">
        <v>4</v>
      </c>
      <c r="AM147" s="40">
        <v>1</v>
      </c>
      <c r="AN147" s="59">
        <f>SUM(AF147:AM147)</f>
        <v>5</v>
      </c>
      <c r="AP147" s="59">
        <f>SUM(J147+T147+AD147+AN147)</f>
        <v>5</v>
      </c>
    </row>
    <row r="148" spans="1:42" ht="15.75" customHeight="1">
      <c r="A148" s="60">
        <v>0.73958333333333337</v>
      </c>
      <c r="B148" s="41">
        <v>0</v>
      </c>
      <c r="C148" s="42">
        <v>0</v>
      </c>
      <c r="D148" s="42">
        <v>0</v>
      </c>
      <c r="E148" s="42">
        <v>0</v>
      </c>
      <c r="F148" s="42">
        <v>0</v>
      </c>
      <c r="G148" s="42">
        <v>0</v>
      </c>
      <c r="H148" s="42">
        <v>0</v>
      </c>
      <c r="I148" s="43">
        <v>0</v>
      </c>
      <c r="J148" s="61">
        <f>SUM(B148:I148)</f>
        <v>0</v>
      </c>
      <c r="L148" s="41">
        <v>0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0</v>
      </c>
      <c r="S148" s="43">
        <v>0</v>
      </c>
      <c r="T148" s="61">
        <f>SUM(L148:S148)</f>
        <v>0</v>
      </c>
      <c r="V148" s="41">
        <v>0</v>
      </c>
      <c r="W148" s="42">
        <v>0</v>
      </c>
      <c r="X148" s="42">
        <v>0</v>
      </c>
      <c r="Y148" s="42">
        <v>0</v>
      </c>
      <c r="Z148" s="42">
        <v>0</v>
      </c>
      <c r="AA148" s="42">
        <v>0</v>
      </c>
      <c r="AB148" s="42">
        <v>0</v>
      </c>
      <c r="AC148" s="43">
        <v>0</v>
      </c>
      <c r="AD148" s="61">
        <f>SUM(V148:AC148)</f>
        <v>0</v>
      </c>
      <c r="AF148" s="41">
        <v>0</v>
      </c>
      <c r="AG148" s="42">
        <v>0</v>
      </c>
      <c r="AH148" s="42">
        <v>0</v>
      </c>
      <c r="AI148" s="42">
        <v>0</v>
      </c>
      <c r="AJ148" s="42">
        <v>0</v>
      </c>
      <c r="AK148" s="42">
        <v>0</v>
      </c>
      <c r="AL148" s="42">
        <v>7</v>
      </c>
      <c r="AM148" s="43">
        <v>1</v>
      </c>
      <c r="AN148" s="61">
        <f>SUM(AF148:AM148)</f>
        <v>8</v>
      </c>
      <c r="AP148" s="61">
        <f>SUM(J148+T148+AD148+AN148)</f>
        <v>8</v>
      </c>
    </row>
    <row r="149" spans="1:42" ht="15.75" customHeight="1">
      <c r="A149" s="48" t="s">
        <v>29</v>
      </c>
      <c r="B149" s="45">
        <f t="shared" ref="B149:J149" si="104">SUM(B145:B148)</f>
        <v>0</v>
      </c>
      <c r="C149" s="46">
        <f t="shared" si="104"/>
        <v>0</v>
      </c>
      <c r="D149" s="46">
        <f t="shared" si="104"/>
        <v>0</v>
      </c>
      <c r="E149" s="46">
        <f t="shared" si="104"/>
        <v>0</v>
      </c>
      <c r="F149" s="46">
        <f t="shared" si="104"/>
        <v>0</v>
      </c>
      <c r="G149" s="46">
        <f t="shared" si="104"/>
        <v>0</v>
      </c>
      <c r="H149" s="46">
        <f t="shared" si="104"/>
        <v>0</v>
      </c>
      <c r="I149" s="47">
        <f t="shared" si="104"/>
        <v>0</v>
      </c>
      <c r="J149" s="48">
        <f t="shared" si="104"/>
        <v>0</v>
      </c>
      <c r="L149" s="45">
        <f t="shared" ref="L149:T149" si="105">SUM(L145:L148)</f>
        <v>0</v>
      </c>
      <c r="M149" s="46">
        <f t="shared" si="105"/>
        <v>0</v>
      </c>
      <c r="N149" s="46">
        <f t="shared" si="105"/>
        <v>0</v>
      </c>
      <c r="O149" s="46">
        <f t="shared" si="105"/>
        <v>0</v>
      </c>
      <c r="P149" s="46">
        <f t="shared" si="105"/>
        <v>0</v>
      </c>
      <c r="Q149" s="46">
        <f t="shared" si="105"/>
        <v>0</v>
      </c>
      <c r="R149" s="46">
        <f t="shared" si="105"/>
        <v>0</v>
      </c>
      <c r="S149" s="47">
        <f t="shared" si="105"/>
        <v>0</v>
      </c>
      <c r="T149" s="48">
        <f t="shared" si="105"/>
        <v>0</v>
      </c>
      <c r="V149" s="45">
        <f t="shared" ref="V149:AD149" si="106">SUM(V145:V148)</f>
        <v>0</v>
      </c>
      <c r="W149" s="46">
        <f t="shared" si="106"/>
        <v>0</v>
      </c>
      <c r="X149" s="46">
        <f t="shared" si="106"/>
        <v>0</v>
      </c>
      <c r="Y149" s="46">
        <f t="shared" si="106"/>
        <v>0</v>
      </c>
      <c r="Z149" s="46">
        <f t="shared" si="106"/>
        <v>0</v>
      </c>
      <c r="AA149" s="46">
        <f t="shared" si="106"/>
        <v>0</v>
      </c>
      <c r="AB149" s="46">
        <f t="shared" si="106"/>
        <v>0</v>
      </c>
      <c r="AC149" s="47">
        <f t="shared" si="106"/>
        <v>0</v>
      </c>
      <c r="AD149" s="48">
        <f t="shared" si="106"/>
        <v>0</v>
      </c>
      <c r="AF149" s="45">
        <f t="shared" ref="AF149:AN149" si="107">SUM(AF145:AF148)</f>
        <v>0</v>
      </c>
      <c r="AG149" s="46">
        <f t="shared" si="107"/>
        <v>0</v>
      </c>
      <c r="AH149" s="46">
        <f t="shared" si="107"/>
        <v>0</v>
      </c>
      <c r="AI149" s="46">
        <f t="shared" si="107"/>
        <v>0</v>
      </c>
      <c r="AJ149" s="46">
        <f t="shared" si="107"/>
        <v>0</v>
      </c>
      <c r="AK149" s="46">
        <f t="shared" si="107"/>
        <v>0</v>
      </c>
      <c r="AL149" s="46">
        <f t="shared" si="107"/>
        <v>25</v>
      </c>
      <c r="AM149" s="47">
        <f t="shared" si="107"/>
        <v>4</v>
      </c>
      <c r="AN149" s="48">
        <f t="shared" si="107"/>
        <v>29</v>
      </c>
      <c r="AP149" s="48">
        <f>SUM(AP145:AP148)</f>
        <v>29</v>
      </c>
    </row>
    <row r="150" spans="1:42" ht="15.75" customHeight="1">
      <c r="A150" s="56">
        <v>0.75</v>
      </c>
      <c r="B150" s="32">
        <v>0</v>
      </c>
      <c r="C150" s="33">
        <v>0</v>
      </c>
      <c r="D150" s="33">
        <v>0</v>
      </c>
      <c r="E150" s="33">
        <v>0</v>
      </c>
      <c r="F150" s="33">
        <v>0</v>
      </c>
      <c r="G150" s="33">
        <v>0</v>
      </c>
      <c r="H150" s="33">
        <v>0</v>
      </c>
      <c r="I150" s="34">
        <v>0</v>
      </c>
      <c r="J150" s="57">
        <f>SUM(B150:I150)</f>
        <v>0</v>
      </c>
      <c r="L150" s="32">
        <v>0</v>
      </c>
      <c r="M150" s="33">
        <v>0</v>
      </c>
      <c r="N150" s="33">
        <v>0</v>
      </c>
      <c r="O150" s="33">
        <v>0</v>
      </c>
      <c r="P150" s="33">
        <v>0</v>
      </c>
      <c r="Q150" s="33">
        <v>0</v>
      </c>
      <c r="R150" s="33">
        <v>0</v>
      </c>
      <c r="S150" s="34">
        <v>0</v>
      </c>
      <c r="T150" s="57">
        <f>SUM(L150:S150)</f>
        <v>0</v>
      </c>
      <c r="V150" s="32">
        <v>0</v>
      </c>
      <c r="W150" s="33">
        <v>0</v>
      </c>
      <c r="X150" s="33">
        <v>0</v>
      </c>
      <c r="Y150" s="33">
        <v>0</v>
      </c>
      <c r="Z150" s="33">
        <v>0</v>
      </c>
      <c r="AA150" s="33">
        <v>0</v>
      </c>
      <c r="AB150" s="33">
        <v>0</v>
      </c>
      <c r="AC150" s="34">
        <v>0</v>
      </c>
      <c r="AD150" s="57">
        <f>SUM(V150:AC150)</f>
        <v>0</v>
      </c>
      <c r="AF150" s="32">
        <v>0</v>
      </c>
      <c r="AG150" s="33">
        <v>0</v>
      </c>
      <c r="AH150" s="33">
        <v>0</v>
      </c>
      <c r="AI150" s="33">
        <v>0</v>
      </c>
      <c r="AJ150" s="33">
        <v>0</v>
      </c>
      <c r="AK150" s="33">
        <v>0</v>
      </c>
      <c r="AL150" s="33">
        <v>6</v>
      </c>
      <c r="AM150" s="34">
        <v>0</v>
      </c>
      <c r="AN150" s="57">
        <f>SUM(AF150:AM150)</f>
        <v>6</v>
      </c>
      <c r="AP150" s="57">
        <f>SUM(J150+T150+AD150+AN150)</f>
        <v>6</v>
      </c>
    </row>
    <row r="151" spans="1:42" ht="15.75" customHeight="1">
      <c r="A151" s="58">
        <v>0.76041666666666663</v>
      </c>
      <c r="B151" s="36">
        <v>0</v>
      </c>
      <c r="C151" s="37">
        <v>0</v>
      </c>
      <c r="D151" s="37">
        <v>0</v>
      </c>
      <c r="E151" s="37">
        <v>0</v>
      </c>
      <c r="F151" s="37">
        <v>0</v>
      </c>
      <c r="G151" s="37">
        <v>0</v>
      </c>
      <c r="H151" s="37">
        <v>1</v>
      </c>
      <c r="I151" s="40">
        <v>0</v>
      </c>
      <c r="J151" s="59">
        <f>SUM(B151:I151)</f>
        <v>1</v>
      </c>
      <c r="L151" s="36">
        <v>0</v>
      </c>
      <c r="M151" s="37">
        <v>0</v>
      </c>
      <c r="N151" s="37">
        <v>0</v>
      </c>
      <c r="O151" s="37">
        <v>0</v>
      </c>
      <c r="P151" s="37">
        <v>0</v>
      </c>
      <c r="Q151" s="37">
        <v>0</v>
      </c>
      <c r="R151" s="37">
        <v>0</v>
      </c>
      <c r="S151" s="40">
        <v>0</v>
      </c>
      <c r="T151" s="59">
        <f>SUM(L151:S151)</f>
        <v>0</v>
      </c>
      <c r="V151" s="36">
        <v>0</v>
      </c>
      <c r="W151" s="37">
        <v>0</v>
      </c>
      <c r="X151" s="37">
        <v>0</v>
      </c>
      <c r="Y151" s="37">
        <v>0</v>
      </c>
      <c r="Z151" s="37">
        <v>0</v>
      </c>
      <c r="AA151" s="37">
        <v>0</v>
      </c>
      <c r="AB151" s="37">
        <v>0</v>
      </c>
      <c r="AC151" s="40">
        <v>0</v>
      </c>
      <c r="AD151" s="59">
        <f>SUM(V151:AC151)</f>
        <v>0</v>
      </c>
      <c r="AF151" s="36">
        <v>0</v>
      </c>
      <c r="AG151" s="37">
        <v>0</v>
      </c>
      <c r="AH151" s="37">
        <v>0</v>
      </c>
      <c r="AI151" s="37">
        <v>0</v>
      </c>
      <c r="AJ151" s="37">
        <v>0</v>
      </c>
      <c r="AK151" s="37">
        <v>0</v>
      </c>
      <c r="AL151" s="37">
        <v>9</v>
      </c>
      <c r="AM151" s="40">
        <v>0</v>
      </c>
      <c r="AN151" s="59">
        <f>SUM(AF151:AM151)</f>
        <v>9</v>
      </c>
      <c r="AP151" s="59">
        <f>SUM(J151+T151+AD151+AN151)</f>
        <v>10</v>
      </c>
    </row>
    <row r="152" spans="1:42" ht="15.75" customHeight="1">
      <c r="A152" s="58">
        <v>0.77083333333333337</v>
      </c>
      <c r="B152" s="36">
        <v>0</v>
      </c>
      <c r="C152" s="37">
        <v>0</v>
      </c>
      <c r="D152" s="37">
        <v>0</v>
      </c>
      <c r="E152" s="37">
        <v>0</v>
      </c>
      <c r="F152" s="37">
        <v>0</v>
      </c>
      <c r="G152" s="37">
        <v>0</v>
      </c>
      <c r="H152" s="37">
        <v>0</v>
      </c>
      <c r="I152" s="40">
        <v>0</v>
      </c>
      <c r="J152" s="59">
        <f>SUM(B152:I152)</f>
        <v>0</v>
      </c>
      <c r="L152" s="36">
        <v>0</v>
      </c>
      <c r="M152" s="37">
        <v>0</v>
      </c>
      <c r="N152" s="37">
        <v>0</v>
      </c>
      <c r="O152" s="37">
        <v>0</v>
      </c>
      <c r="P152" s="37">
        <v>0</v>
      </c>
      <c r="Q152" s="37">
        <v>0</v>
      </c>
      <c r="R152" s="37">
        <v>0</v>
      </c>
      <c r="S152" s="40">
        <v>0</v>
      </c>
      <c r="T152" s="59">
        <f>SUM(L152:S152)</f>
        <v>0</v>
      </c>
      <c r="V152" s="36">
        <v>0</v>
      </c>
      <c r="W152" s="37">
        <v>0</v>
      </c>
      <c r="X152" s="37">
        <v>0</v>
      </c>
      <c r="Y152" s="37">
        <v>0</v>
      </c>
      <c r="Z152" s="37">
        <v>0</v>
      </c>
      <c r="AA152" s="37">
        <v>0</v>
      </c>
      <c r="AB152" s="37">
        <v>0</v>
      </c>
      <c r="AC152" s="40">
        <v>0</v>
      </c>
      <c r="AD152" s="59">
        <f>SUM(V152:AC152)</f>
        <v>0</v>
      </c>
      <c r="AF152" s="36">
        <v>0</v>
      </c>
      <c r="AG152" s="37">
        <v>0</v>
      </c>
      <c r="AH152" s="37">
        <v>0</v>
      </c>
      <c r="AI152" s="37">
        <v>0</v>
      </c>
      <c r="AJ152" s="37">
        <v>0</v>
      </c>
      <c r="AK152" s="37">
        <v>0</v>
      </c>
      <c r="AL152" s="37">
        <v>1</v>
      </c>
      <c r="AM152" s="40">
        <v>0</v>
      </c>
      <c r="AN152" s="59">
        <f>SUM(AF152:AM152)</f>
        <v>1</v>
      </c>
      <c r="AP152" s="59">
        <f>SUM(J152+T152+AD152+AN152)</f>
        <v>1</v>
      </c>
    </row>
    <row r="153" spans="1:42" ht="15.75" customHeight="1">
      <c r="A153" s="60">
        <v>0.78125</v>
      </c>
      <c r="B153" s="41">
        <v>0</v>
      </c>
      <c r="C153" s="42">
        <v>0</v>
      </c>
      <c r="D153" s="42">
        <v>0</v>
      </c>
      <c r="E153" s="42">
        <v>0</v>
      </c>
      <c r="F153" s="42">
        <v>0</v>
      </c>
      <c r="G153" s="42">
        <v>0</v>
      </c>
      <c r="H153" s="42">
        <v>0</v>
      </c>
      <c r="I153" s="43">
        <v>0</v>
      </c>
      <c r="J153" s="61">
        <f>SUM(B153:I153)</f>
        <v>0</v>
      </c>
      <c r="L153" s="41">
        <v>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0</v>
      </c>
      <c r="S153" s="43">
        <v>0</v>
      </c>
      <c r="T153" s="61">
        <f>SUM(L153:S153)</f>
        <v>0</v>
      </c>
      <c r="V153" s="41">
        <v>0</v>
      </c>
      <c r="W153" s="42">
        <v>0</v>
      </c>
      <c r="X153" s="42">
        <v>0</v>
      </c>
      <c r="Y153" s="42">
        <v>0</v>
      </c>
      <c r="Z153" s="42">
        <v>0</v>
      </c>
      <c r="AA153" s="42">
        <v>0</v>
      </c>
      <c r="AB153" s="42">
        <v>0</v>
      </c>
      <c r="AC153" s="43">
        <v>0</v>
      </c>
      <c r="AD153" s="61">
        <f>SUM(V153:AC153)</f>
        <v>0</v>
      </c>
      <c r="AF153" s="41">
        <v>0</v>
      </c>
      <c r="AG153" s="42">
        <v>0</v>
      </c>
      <c r="AH153" s="42">
        <v>0</v>
      </c>
      <c r="AI153" s="42">
        <v>0</v>
      </c>
      <c r="AJ153" s="42">
        <v>0</v>
      </c>
      <c r="AK153" s="42">
        <v>0</v>
      </c>
      <c r="AL153" s="42">
        <v>2</v>
      </c>
      <c r="AM153" s="43">
        <v>0</v>
      </c>
      <c r="AN153" s="61">
        <f>SUM(AF153:AM153)</f>
        <v>2</v>
      </c>
      <c r="AP153" s="61">
        <f>SUM(J153+T153+AD153+AN153)</f>
        <v>2</v>
      </c>
    </row>
    <row r="154" spans="1:42" ht="15.75" customHeight="1">
      <c r="A154" s="48" t="s">
        <v>29</v>
      </c>
      <c r="B154" s="45">
        <f t="shared" ref="B154:J154" si="108">SUM(B150:B153)</f>
        <v>0</v>
      </c>
      <c r="C154" s="46">
        <f t="shared" si="108"/>
        <v>0</v>
      </c>
      <c r="D154" s="46">
        <f t="shared" si="108"/>
        <v>0</v>
      </c>
      <c r="E154" s="46">
        <f t="shared" si="108"/>
        <v>0</v>
      </c>
      <c r="F154" s="46">
        <f t="shared" si="108"/>
        <v>0</v>
      </c>
      <c r="G154" s="46">
        <f t="shared" si="108"/>
        <v>0</v>
      </c>
      <c r="H154" s="46">
        <f t="shared" si="108"/>
        <v>1</v>
      </c>
      <c r="I154" s="47">
        <f t="shared" si="108"/>
        <v>0</v>
      </c>
      <c r="J154" s="48">
        <f t="shared" si="108"/>
        <v>1</v>
      </c>
      <c r="L154" s="45">
        <f t="shared" ref="L154:T154" si="109">SUM(L150:L153)</f>
        <v>0</v>
      </c>
      <c r="M154" s="46">
        <f t="shared" si="109"/>
        <v>0</v>
      </c>
      <c r="N154" s="46">
        <f t="shared" si="109"/>
        <v>0</v>
      </c>
      <c r="O154" s="46">
        <f t="shared" si="109"/>
        <v>0</v>
      </c>
      <c r="P154" s="46">
        <f t="shared" si="109"/>
        <v>0</v>
      </c>
      <c r="Q154" s="46">
        <f t="shared" si="109"/>
        <v>0</v>
      </c>
      <c r="R154" s="46">
        <f t="shared" si="109"/>
        <v>0</v>
      </c>
      <c r="S154" s="47">
        <f t="shared" si="109"/>
        <v>0</v>
      </c>
      <c r="T154" s="48">
        <f t="shared" si="109"/>
        <v>0</v>
      </c>
      <c r="V154" s="45">
        <f t="shared" ref="V154:AD154" si="110">SUM(V150:V153)</f>
        <v>0</v>
      </c>
      <c r="W154" s="46">
        <f t="shared" si="110"/>
        <v>0</v>
      </c>
      <c r="X154" s="46">
        <f t="shared" si="110"/>
        <v>0</v>
      </c>
      <c r="Y154" s="46">
        <f t="shared" si="110"/>
        <v>0</v>
      </c>
      <c r="Z154" s="46">
        <f t="shared" si="110"/>
        <v>0</v>
      </c>
      <c r="AA154" s="46">
        <f t="shared" si="110"/>
        <v>0</v>
      </c>
      <c r="AB154" s="46">
        <f t="shared" si="110"/>
        <v>0</v>
      </c>
      <c r="AC154" s="47">
        <f t="shared" si="110"/>
        <v>0</v>
      </c>
      <c r="AD154" s="48">
        <f t="shared" si="110"/>
        <v>0</v>
      </c>
      <c r="AF154" s="45">
        <f t="shared" ref="AF154:AN154" si="111">SUM(AF150:AF153)</f>
        <v>0</v>
      </c>
      <c r="AG154" s="46">
        <f t="shared" si="111"/>
        <v>0</v>
      </c>
      <c r="AH154" s="46">
        <f t="shared" si="111"/>
        <v>0</v>
      </c>
      <c r="AI154" s="46">
        <f t="shared" si="111"/>
        <v>0</v>
      </c>
      <c r="AJ154" s="46">
        <f t="shared" si="111"/>
        <v>0</v>
      </c>
      <c r="AK154" s="46">
        <f t="shared" si="111"/>
        <v>0</v>
      </c>
      <c r="AL154" s="46">
        <f t="shared" si="111"/>
        <v>18</v>
      </c>
      <c r="AM154" s="47">
        <f t="shared" si="111"/>
        <v>0</v>
      </c>
      <c r="AN154" s="48">
        <f t="shared" si="111"/>
        <v>18</v>
      </c>
      <c r="AP154" s="48">
        <f>SUM(AP150:AP153)</f>
        <v>19</v>
      </c>
    </row>
    <row r="156" spans="1:42" ht="15.75" customHeight="1">
      <c r="A156" s="48" t="s">
        <v>30</v>
      </c>
      <c r="B156" s="45">
        <f t="shared" ref="B156:J156" si="112">SUM(B154+B149+B144+B139+B134+B129)</f>
        <v>0</v>
      </c>
      <c r="C156" s="46">
        <f t="shared" si="112"/>
        <v>0</v>
      </c>
      <c r="D156" s="46">
        <f t="shared" si="112"/>
        <v>0</v>
      </c>
      <c r="E156" s="46">
        <f t="shared" si="112"/>
        <v>0</v>
      </c>
      <c r="F156" s="46">
        <f t="shared" si="112"/>
        <v>0</v>
      </c>
      <c r="G156" s="46">
        <f t="shared" si="112"/>
        <v>0</v>
      </c>
      <c r="H156" s="46">
        <f t="shared" si="112"/>
        <v>1</v>
      </c>
      <c r="I156" s="47">
        <f t="shared" si="112"/>
        <v>0</v>
      </c>
      <c r="J156" s="48">
        <f t="shared" si="112"/>
        <v>1</v>
      </c>
      <c r="L156" s="45">
        <f t="shared" ref="L156:T156" si="113">SUM(L154+L149+L144+L139+L134+L129)</f>
        <v>0</v>
      </c>
      <c r="M156" s="46">
        <f t="shared" si="113"/>
        <v>0</v>
      </c>
      <c r="N156" s="46">
        <f t="shared" si="113"/>
        <v>0</v>
      </c>
      <c r="O156" s="46">
        <f t="shared" si="113"/>
        <v>0</v>
      </c>
      <c r="P156" s="46">
        <f t="shared" si="113"/>
        <v>0</v>
      </c>
      <c r="Q156" s="46">
        <f t="shared" si="113"/>
        <v>0</v>
      </c>
      <c r="R156" s="46">
        <f t="shared" si="113"/>
        <v>0</v>
      </c>
      <c r="S156" s="47">
        <f t="shared" si="113"/>
        <v>0</v>
      </c>
      <c r="T156" s="48">
        <f t="shared" si="113"/>
        <v>0</v>
      </c>
      <c r="V156" s="45">
        <f t="shared" ref="V156:AD156" si="114">SUM(V154+V149+V144+V139+V134+V129)</f>
        <v>0</v>
      </c>
      <c r="W156" s="46">
        <f t="shared" si="114"/>
        <v>0</v>
      </c>
      <c r="X156" s="46">
        <f t="shared" si="114"/>
        <v>0</v>
      </c>
      <c r="Y156" s="46">
        <f t="shared" si="114"/>
        <v>0</v>
      </c>
      <c r="Z156" s="46">
        <f t="shared" si="114"/>
        <v>0</v>
      </c>
      <c r="AA156" s="46">
        <f t="shared" si="114"/>
        <v>0</v>
      </c>
      <c r="AB156" s="46">
        <f t="shared" si="114"/>
        <v>0</v>
      </c>
      <c r="AC156" s="47">
        <f t="shared" si="114"/>
        <v>0</v>
      </c>
      <c r="AD156" s="48">
        <f t="shared" si="114"/>
        <v>0</v>
      </c>
      <c r="AF156" s="45">
        <f t="shared" ref="AF156:AN156" si="115">SUM(AF154+AF149+AF144+AF139+AF134+AF129)</f>
        <v>0</v>
      </c>
      <c r="AG156" s="46">
        <f t="shared" si="115"/>
        <v>0</v>
      </c>
      <c r="AH156" s="46">
        <f t="shared" si="115"/>
        <v>0</v>
      </c>
      <c r="AI156" s="46">
        <f t="shared" si="115"/>
        <v>0</v>
      </c>
      <c r="AJ156" s="46">
        <f t="shared" si="115"/>
        <v>0</v>
      </c>
      <c r="AK156" s="46">
        <f t="shared" si="115"/>
        <v>0</v>
      </c>
      <c r="AL156" s="46">
        <f t="shared" si="115"/>
        <v>62</v>
      </c>
      <c r="AM156" s="47">
        <f t="shared" si="115"/>
        <v>4</v>
      </c>
      <c r="AN156" s="48">
        <f t="shared" si="115"/>
        <v>66</v>
      </c>
      <c r="AP156" s="48">
        <f>SUM(AP154+AP149+AP144+AP139+AP134+AP129)</f>
        <v>67</v>
      </c>
    </row>
    <row r="158" spans="1:42" ht="15.75" customHeight="1">
      <c r="A158" s="48" t="s">
        <v>24</v>
      </c>
      <c r="B158" s="45">
        <f t="shared" ref="B158:J158" si="116">SUM(B119+B156)</f>
        <v>0</v>
      </c>
      <c r="C158" s="46">
        <f t="shared" si="116"/>
        <v>0</v>
      </c>
      <c r="D158" s="46">
        <f t="shared" si="116"/>
        <v>0</v>
      </c>
      <c r="E158" s="46">
        <f t="shared" si="116"/>
        <v>0</v>
      </c>
      <c r="F158" s="46">
        <f t="shared" si="116"/>
        <v>0</v>
      </c>
      <c r="G158" s="46">
        <f t="shared" si="116"/>
        <v>0</v>
      </c>
      <c r="H158" s="46">
        <f t="shared" si="116"/>
        <v>1</v>
      </c>
      <c r="I158" s="47">
        <f t="shared" si="116"/>
        <v>0</v>
      </c>
      <c r="J158" s="48">
        <f t="shared" si="116"/>
        <v>1</v>
      </c>
      <c r="L158" s="45">
        <f t="shared" ref="L158:T158" si="117">SUM(L119+L156)</f>
        <v>0</v>
      </c>
      <c r="M158" s="46">
        <f t="shared" si="117"/>
        <v>0</v>
      </c>
      <c r="N158" s="46">
        <f t="shared" si="117"/>
        <v>0</v>
      </c>
      <c r="O158" s="46">
        <f t="shared" si="117"/>
        <v>0</v>
      </c>
      <c r="P158" s="46">
        <f t="shared" si="117"/>
        <v>0</v>
      </c>
      <c r="Q158" s="46">
        <f t="shared" si="117"/>
        <v>0</v>
      </c>
      <c r="R158" s="46">
        <f t="shared" si="117"/>
        <v>0</v>
      </c>
      <c r="S158" s="47">
        <f t="shared" si="117"/>
        <v>0</v>
      </c>
      <c r="T158" s="48">
        <f t="shared" si="117"/>
        <v>0</v>
      </c>
      <c r="V158" s="45">
        <f t="shared" ref="V158:AD158" si="118">SUM(V119+V156)</f>
        <v>0</v>
      </c>
      <c r="W158" s="46">
        <f t="shared" si="118"/>
        <v>0</v>
      </c>
      <c r="X158" s="46">
        <f t="shared" si="118"/>
        <v>0</v>
      </c>
      <c r="Y158" s="46">
        <f t="shared" si="118"/>
        <v>0</v>
      </c>
      <c r="Z158" s="46">
        <f t="shared" si="118"/>
        <v>0</v>
      </c>
      <c r="AA158" s="46">
        <f t="shared" si="118"/>
        <v>0</v>
      </c>
      <c r="AB158" s="46">
        <f t="shared" si="118"/>
        <v>0</v>
      </c>
      <c r="AC158" s="47">
        <f t="shared" si="118"/>
        <v>0</v>
      </c>
      <c r="AD158" s="48">
        <f t="shared" si="118"/>
        <v>0</v>
      </c>
      <c r="AF158" s="45">
        <f t="shared" ref="AF158:AN158" si="119">SUM(AF119+AF156)</f>
        <v>0</v>
      </c>
      <c r="AG158" s="46">
        <f t="shared" si="119"/>
        <v>0</v>
      </c>
      <c r="AH158" s="46">
        <f t="shared" si="119"/>
        <v>0</v>
      </c>
      <c r="AI158" s="46">
        <f t="shared" si="119"/>
        <v>0</v>
      </c>
      <c r="AJ158" s="46">
        <f t="shared" si="119"/>
        <v>0</v>
      </c>
      <c r="AK158" s="46">
        <f t="shared" si="119"/>
        <v>0</v>
      </c>
      <c r="AL158" s="46">
        <f t="shared" si="119"/>
        <v>62</v>
      </c>
      <c r="AM158" s="47">
        <f t="shared" si="119"/>
        <v>4</v>
      </c>
      <c r="AN158" s="48">
        <f t="shared" si="119"/>
        <v>66</v>
      </c>
      <c r="AP158" s="48">
        <f>SUM(AP119+AP156)</f>
        <v>67</v>
      </c>
    </row>
    <row r="160" spans="1:42" ht="15.75" customHeight="1">
      <c r="A160" s="44" t="s">
        <v>14</v>
      </c>
      <c r="B160" s="44" t="str">
        <f>$X$9</f>
        <v>Arm C - Commerical Road</v>
      </c>
    </row>
    <row r="161" spans="1:42" ht="15.75" customHeight="1">
      <c r="B161" s="45" t="s">
        <v>16</v>
      </c>
      <c r="C161" s="46"/>
      <c r="D161" s="46" t="str">
        <f>$D$9</f>
        <v>Arm A - Wapping Road</v>
      </c>
      <c r="E161" s="46"/>
      <c r="F161" s="46"/>
      <c r="G161" s="46"/>
      <c r="H161" s="46"/>
      <c r="I161" s="47"/>
      <c r="J161" s="48"/>
      <c r="L161" s="45" t="s">
        <v>16</v>
      </c>
      <c r="M161" s="46"/>
      <c r="N161" s="46" t="str">
        <f>$N$9</f>
        <v>Arm B - River Path</v>
      </c>
      <c r="O161" s="46"/>
      <c r="P161" s="46"/>
      <c r="Q161" s="46"/>
      <c r="R161" s="46"/>
      <c r="S161" s="47"/>
      <c r="T161" s="48"/>
      <c r="V161" s="45" t="s">
        <v>16</v>
      </c>
      <c r="W161" s="46"/>
      <c r="X161" s="46" t="str">
        <f>$X$9</f>
        <v>Arm C - Commerical Road</v>
      </c>
      <c r="Y161" s="46"/>
      <c r="Z161" s="46"/>
      <c r="AA161" s="46"/>
      <c r="AB161" s="46"/>
      <c r="AC161" s="47"/>
      <c r="AD161" s="48"/>
      <c r="AF161" s="45" t="s">
        <v>16</v>
      </c>
      <c r="AG161" s="46"/>
      <c r="AH161" s="46" t="str">
        <f>$AH$9</f>
        <v>Arm D - Cumberland Road</v>
      </c>
      <c r="AI161" s="46"/>
      <c r="AJ161" s="46"/>
      <c r="AK161" s="46"/>
      <c r="AL161" s="46"/>
      <c r="AM161" s="47"/>
      <c r="AN161" s="48"/>
      <c r="AP161" s="49" t="s">
        <v>28</v>
      </c>
    </row>
    <row r="162" spans="1:42" s="50" customFormat="1" ht="15.75" customHeight="1">
      <c r="B162" s="51" t="str">
        <f>$B$10</f>
        <v>CAR</v>
      </c>
      <c r="C162" s="52" t="str">
        <f>$C$10</f>
        <v>LGV</v>
      </c>
      <c r="D162" s="52" t="str">
        <f>$D$10</f>
        <v>OGV1</v>
      </c>
      <c r="E162" s="52" t="str">
        <f>$E$10</f>
        <v>OGV2</v>
      </c>
      <c r="F162" s="52" t="str">
        <f>$F$10</f>
        <v>PSV</v>
      </c>
      <c r="G162" s="52" t="str">
        <f>$G$10</f>
        <v>MC</v>
      </c>
      <c r="H162" s="52" t="str">
        <f>$H$10</f>
        <v>PC</v>
      </c>
      <c r="I162" s="53" t="str">
        <f>$I$10</f>
        <v>PC</v>
      </c>
      <c r="J162" s="54" t="s">
        <v>24</v>
      </c>
      <c r="L162" s="51" t="str">
        <f>$B$10</f>
        <v>CAR</v>
      </c>
      <c r="M162" s="52" t="str">
        <f>$C$10</f>
        <v>LGV</v>
      </c>
      <c r="N162" s="52" t="str">
        <f>$D$10</f>
        <v>OGV1</v>
      </c>
      <c r="O162" s="52" t="str">
        <f>$E$10</f>
        <v>OGV2</v>
      </c>
      <c r="P162" s="52" t="str">
        <f>$F$10</f>
        <v>PSV</v>
      </c>
      <c r="Q162" s="52" t="str">
        <f>$G$10</f>
        <v>MC</v>
      </c>
      <c r="R162" s="52" t="str">
        <f>$H$10</f>
        <v>PC</v>
      </c>
      <c r="S162" s="53" t="str">
        <f>$I$10</f>
        <v>PC</v>
      </c>
      <c r="T162" s="54" t="s">
        <v>24</v>
      </c>
      <c r="V162" s="51" t="str">
        <f>$B$10</f>
        <v>CAR</v>
      </c>
      <c r="W162" s="52" t="str">
        <f>$C$10</f>
        <v>LGV</v>
      </c>
      <c r="X162" s="52" t="str">
        <f>$D$10</f>
        <v>OGV1</v>
      </c>
      <c r="Y162" s="52" t="str">
        <f>$E$10</f>
        <v>OGV2</v>
      </c>
      <c r="Z162" s="52" t="str">
        <f>$F$10</f>
        <v>PSV</v>
      </c>
      <c r="AA162" s="52" t="str">
        <f>$G$10</f>
        <v>MC</v>
      </c>
      <c r="AB162" s="52" t="str">
        <f>$H$10</f>
        <v>PC</v>
      </c>
      <c r="AC162" s="53" t="str">
        <f>$I$10</f>
        <v>PC</v>
      </c>
      <c r="AD162" s="54" t="s">
        <v>24</v>
      </c>
      <c r="AF162" s="51" t="str">
        <f>$B$10</f>
        <v>CAR</v>
      </c>
      <c r="AG162" s="52" t="str">
        <f>$C$10</f>
        <v>LGV</v>
      </c>
      <c r="AH162" s="52" t="str">
        <f>$D$10</f>
        <v>OGV1</v>
      </c>
      <c r="AI162" s="52" t="str">
        <f>$E$10</f>
        <v>OGV2</v>
      </c>
      <c r="AJ162" s="52" t="str">
        <f>$F$10</f>
        <v>PSV</v>
      </c>
      <c r="AK162" s="52" t="str">
        <f>$G$10</f>
        <v>MC</v>
      </c>
      <c r="AL162" s="52" t="str">
        <f>$H$10</f>
        <v>PC</v>
      </c>
      <c r="AM162" s="53" t="str">
        <f>$I$10</f>
        <v>PC</v>
      </c>
      <c r="AN162" s="54" t="s">
        <v>24</v>
      </c>
      <c r="AP162" s="55"/>
    </row>
    <row r="164" spans="1:42" ht="15.75" customHeight="1">
      <c r="A164" s="56">
        <v>0.29166666666666669</v>
      </c>
      <c r="B164" s="32">
        <v>13</v>
      </c>
      <c r="C164" s="33">
        <v>6</v>
      </c>
      <c r="D164" s="33">
        <v>0</v>
      </c>
      <c r="E164" s="33">
        <v>0</v>
      </c>
      <c r="F164" s="33">
        <v>0</v>
      </c>
      <c r="G164" s="33">
        <v>1</v>
      </c>
      <c r="H164" s="33">
        <v>4</v>
      </c>
      <c r="I164" s="34">
        <v>0</v>
      </c>
      <c r="J164" s="57">
        <f>SUM(B164:I164)</f>
        <v>24</v>
      </c>
      <c r="L164" s="32">
        <v>0</v>
      </c>
      <c r="M164" s="33">
        <v>0</v>
      </c>
      <c r="N164" s="33">
        <v>0</v>
      </c>
      <c r="O164" s="33">
        <v>0</v>
      </c>
      <c r="P164" s="33">
        <v>0</v>
      </c>
      <c r="Q164" s="33">
        <v>0</v>
      </c>
      <c r="R164" s="33">
        <v>0</v>
      </c>
      <c r="S164" s="34">
        <v>0</v>
      </c>
      <c r="T164" s="57">
        <f>SUM(L164:S164)</f>
        <v>0</v>
      </c>
      <c r="V164" s="32">
        <v>0</v>
      </c>
      <c r="W164" s="33">
        <v>1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4">
        <v>0</v>
      </c>
      <c r="AD164" s="57">
        <f>SUM(V164:AC164)</f>
        <v>1</v>
      </c>
      <c r="AF164" s="32">
        <v>59</v>
      </c>
      <c r="AG164" s="33">
        <v>20</v>
      </c>
      <c r="AH164" s="33">
        <v>5</v>
      </c>
      <c r="AI164" s="33">
        <v>0</v>
      </c>
      <c r="AJ164" s="33">
        <v>0</v>
      </c>
      <c r="AK164" s="33">
        <v>3</v>
      </c>
      <c r="AL164" s="33">
        <v>1</v>
      </c>
      <c r="AM164" s="34">
        <v>0</v>
      </c>
      <c r="AN164" s="57">
        <f>SUM(AF164:AM164)</f>
        <v>88</v>
      </c>
      <c r="AP164" s="57">
        <f>SUM(J164+T164+AD164+AN164)</f>
        <v>113</v>
      </c>
    </row>
    <row r="165" spans="1:42" ht="15.75" customHeight="1">
      <c r="A165" s="58">
        <v>0.30208333333333331</v>
      </c>
      <c r="B165" s="36">
        <v>23</v>
      </c>
      <c r="C165" s="37">
        <v>2</v>
      </c>
      <c r="D165" s="37">
        <v>0</v>
      </c>
      <c r="E165" s="37">
        <v>0</v>
      </c>
      <c r="F165" s="37">
        <v>0</v>
      </c>
      <c r="G165" s="37">
        <v>1</v>
      </c>
      <c r="H165" s="37">
        <v>10</v>
      </c>
      <c r="I165" s="40">
        <v>0</v>
      </c>
      <c r="J165" s="59">
        <f>SUM(B165:I165)</f>
        <v>36</v>
      </c>
      <c r="L165" s="36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40">
        <v>0</v>
      </c>
      <c r="T165" s="59">
        <f>SUM(L165:S165)</f>
        <v>0</v>
      </c>
      <c r="V165" s="36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40">
        <v>0</v>
      </c>
      <c r="AD165" s="59">
        <f>SUM(V165:AC165)</f>
        <v>0</v>
      </c>
      <c r="AF165" s="36">
        <v>71</v>
      </c>
      <c r="AG165" s="37">
        <v>20</v>
      </c>
      <c r="AH165" s="37">
        <v>2</v>
      </c>
      <c r="AI165" s="37">
        <v>0</v>
      </c>
      <c r="AJ165" s="37">
        <v>0</v>
      </c>
      <c r="AK165" s="37">
        <v>4</v>
      </c>
      <c r="AL165" s="37">
        <v>3</v>
      </c>
      <c r="AM165" s="40">
        <v>0</v>
      </c>
      <c r="AN165" s="59">
        <f>SUM(AF165:AM165)</f>
        <v>100</v>
      </c>
      <c r="AP165" s="59">
        <f>SUM(J165+T165+AD165+AN165)</f>
        <v>136</v>
      </c>
    </row>
    <row r="166" spans="1:42" ht="15.75" customHeight="1">
      <c r="A166" s="58">
        <v>0.3125</v>
      </c>
      <c r="B166" s="36">
        <v>30</v>
      </c>
      <c r="C166" s="37">
        <v>4</v>
      </c>
      <c r="D166" s="37">
        <v>0</v>
      </c>
      <c r="E166" s="37">
        <v>0</v>
      </c>
      <c r="F166" s="37">
        <v>0</v>
      </c>
      <c r="G166" s="37">
        <v>0</v>
      </c>
      <c r="H166" s="37">
        <v>8</v>
      </c>
      <c r="I166" s="40">
        <v>0</v>
      </c>
      <c r="J166" s="59">
        <f>SUM(B166:I166)</f>
        <v>42</v>
      </c>
      <c r="L166" s="36">
        <v>0</v>
      </c>
      <c r="M166" s="37">
        <v>1</v>
      </c>
      <c r="N166" s="37">
        <v>0</v>
      </c>
      <c r="O166" s="37">
        <v>0</v>
      </c>
      <c r="P166" s="37">
        <v>0</v>
      </c>
      <c r="Q166" s="37">
        <v>0</v>
      </c>
      <c r="R166" s="37">
        <v>0</v>
      </c>
      <c r="S166" s="40">
        <v>0</v>
      </c>
      <c r="T166" s="59">
        <f>SUM(L166:S166)</f>
        <v>1</v>
      </c>
      <c r="V166" s="36">
        <v>0</v>
      </c>
      <c r="W166" s="37">
        <v>1</v>
      </c>
      <c r="X166" s="37">
        <v>0</v>
      </c>
      <c r="Y166" s="37">
        <v>0</v>
      </c>
      <c r="Z166" s="37">
        <v>0</v>
      </c>
      <c r="AA166" s="37">
        <v>0</v>
      </c>
      <c r="AB166" s="37">
        <v>0</v>
      </c>
      <c r="AC166" s="40">
        <v>0</v>
      </c>
      <c r="AD166" s="59">
        <f>SUM(V166:AC166)</f>
        <v>1</v>
      </c>
      <c r="AF166" s="36">
        <v>101</v>
      </c>
      <c r="AG166" s="37">
        <v>21</v>
      </c>
      <c r="AH166" s="37">
        <v>3</v>
      </c>
      <c r="AI166" s="37">
        <v>1</v>
      </c>
      <c r="AJ166" s="37">
        <v>1</v>
      </c>
      <c r="AK166" s="37">
        <v>4</v>
      </c>
      <c r="AL166" s="37">
        <v>0</v>
      </c>
      <c r="AM166" s="40">
        <v>0</v>
      </c>
      <c r="AN166" s="59">
        <f>SUM(AF166:AM166)</f>
        <v>131</v>
      </c>
      <c r="AP166" s="59">
        <f>SUM(J166+T166+AD166+AN166)</f>
        <v>175</v>
      </c>
    </row>
    <row r="167" spans="1:42" ht="15.75" customHeight="1">
      <c r="A167" s="60">
        <v>0.32291666666666669</v>
      </c>
      <c r="B167" s="41">
        <v>23</v>
      </c>
      <c r="C167" s="42">
        <v>0</v>
      </c>
      <c r="D167" s="42">
        <v>0</v>
      </c>
      <c r="E167" s="42">
        <v>0</v>
      </c>
      <c r="F167" s="42">
        <v>0</v>
      </c>
      <c r="G167" s="42">
        <v>0</v>
      </c>
      <c r="H167" s="42">
        <v>6</v>
      </c>
      <c r="I167" s="43">
        <v>0</v>
      </c>
      <c r="J167" s="61">
        <f>SUM(B167:I167)</f>
        <v>29</v>
      </c>
      <c r="L167" s="41">
        <v>0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3">
        <v>0</v>
      </c>
      <c r="T167" s="61">
        <f>SUM(L167:S167)</f>
        <v>0</v>
      </c>
      <c r="V167" s="41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3">
        <v>0</v>
      </c>
      <c r="AD167" s="61">
        <f>SUM(V167:AC167)</f>
        <v>0</v>
      </c>
      <c r="AF167" s="41">
        <v>101</v>
      </c>
      <c r="AG167" s="42">
        <v>21</v>
      </c>
      <c r="AH167" s="42">
        <v>0</v>
      </c>
      <c r="AI167" s="42">
        <v>1</v>
      </c>
      <c r="AJ167" s="42">
        <v>0</v>
      </c>
      <c r="AK167" s="42">
        <v>1</v>
      </c>
      <c r="AL167" s="42">
        <v>3</v>
      </c>
      <c r="AM167" s="43">
        <v>0</v>
      </c>
      <c r="AN167" s="61">
        <f>SUM(AF167:AM167)</f>
        <v>127</v>
      </c>
      <c r="AP167" s="61">
        <f>SUM(J167+T167+AD167+AN167)</f>
        <v>156</v>
      </c>
    </row>
    <row r="168" spans="1:42" ht="15.75" customHeight="1">
      <c r="A168" s="48" t="s">
        <v>29</v>
      </c>
      <c r="B168" s="45">
        <f t="shared" ref="B168:J168" si="120">SUM(B164:B167)</f>
        <v>89</v>
      </c>
      <c r="C168" s="46">
        <f t="shared" si="120"/>
        <v>12</v>
      </c>
      <c r="D168" s="46">
        <f t="shared" si="120"/>
        <v>0</v>
      </c>
      <c r="E168" s="46">
        <f t="shared" si="120"/>
        <v>0</v>
      </c>
      <c r="F168" s="46">
        <f t="shared" si="120"/>
        <v>0</v>
      </c>
      <c r="G168" s="46">
        <f t="shared" si="120"/>
        <v>2</v>
      </c>
      <c r="H168" s="46">
        <f t="shared" si="120"/>
        <v>28</v>
      </c>
      <c r="I168" s="47">
        <f t="shared" si="120"/>
        <v>0</v>
      </c>
      <c r="J168" s="48">
        <f t="shared" si="120"/>
        <v>131</v>
      </c>
      <c r="L168" s="45">
        <f t="shared" ref="L168:T168" si="121">SUM(L164:L167)</f>
        <v>0</v>
      </c>
      <c r="M168" s="46">
        <f t="shared" si="121"/>
        <v>1</v>
      </c>
      <c r="N168" s="46">
        <f t="shared" si="121"/>
        <v>0</v>
      </c>
      <c r="O168" s="46">
        <f t="shared" si="121"/>
        <v>0</v>
      </c>
      <c r="P168" s="46">
        <f t="shared" si="121"/>
        <v>0</v>
      </c>
      <c r="Q168" s="46">
        <f t="shared" si="121"/>
        <v>0</v>
      </c>
      <c r="R168" s="46">
        <f t="shared" si="121"/>
        <v>0</v>
      </c>
      <c r="S168" s="47">
        <f t="shared" si="121"/>
        <v>0</v>
      </c>
      <c r="T168" s="48">
        <f t="shared" si="121"/>
        <v>1</v>
      </c>
      <c r="V168" s="45">
        <f t="shared" ref="V168:AD168" si="122">SUM(V164:V167)</f>
        <v>0</v>
      </c>
      <c r="W168" s="46">
        <f t="shared" si="122"/>
        <v>2</v>
      </c>
      <c r="X168" s="46">
        <f t="shared" si="122"/>
        <v>0</v>
      </c>
      <c r="Y168" s="46">
        <f t="shared" si="122"/>
        <v>0</v>
      </c>
      <c r="Z168" s="46">
        <f t="shared" si="122"/>
        <v>0</v>
      </c>
      <c r="AA168" s="46">
        <f t="shared" si="122"/>
        <v>0</v>
      </c>
      <c r="AB168" s="46">
        <f t="shared" si="122"/>
        <v>0</v>
      </c>
      <c r="AC168" s="47">
        <f t="shared" si="122"/>
        <v>0</v>
      </c>
      <c r="AD168" s="48">
        <f t="shared" si="122"/>
        <v>2</v>
      </c>
      <c r="AF168" s="45">
        <f t="shared" ref="AF168:AN168" si="123">SUM(AF164:AF167)</f>
        <v>332</v>
      </c>
      <c r="AG168" s="46">
        <f t="shared" si="123"/>
        <v>82</v>
      </c>
      <c r="AH168" s="46">
        <f t="shared" si="123"/>
        <v>10</v>
      </c>
      <c r="AI168" s="46">
        <f t="shared" si="123"/>
        <v>2</v>
      </c>
      <c r="AJ168" s="46">
        <f t="shared" si="123"/>
        <v>1</v>
      </c>
      <c r="AK168" s="46">
        <f t="shared" si="123"/>
        <v>12</v>
      </c>
      <c r="AL168" s="46">
        <f t="shared" si="123"/>
        <v>7</v>
      </c>
      <c r="AM168" s="47">
        <f t="shared" si="123"/>
        <v>0</v>
      </c>
      <c r="AN168" s="48">
        <f t="shared" si="123"/>
        <v>446</v>
      </c>
      <c r="AP168" s="48">
        <f>SUM(AP164:AP167)</f>
        <v>580</v>
      </c>
    </row>
    <row r="169" spans="1:42" ht="15.75" customHeight="1">
      <c r="A169" s="56">
        <v>0.33333333333333331</v>
      </c>
      <c r="B169" s="32">
        <v>18</v>
      </c>
      <c r="C169" s="33">
        <v>2</v>
      </c>
      <c r="D169" s="33">
        <v>2</v>
      </c>
      <c r="E169" s="33">
        <v>0</v>
      </c>
      <c r="F169" s="33">
        <v>0</v>
      </c>
      <c r="G169" s="33">
        <v>1</v>
      </c>
      <c r="H169" s="33">
        <v>6</v>
      </c>
      <c r="I169" s="34">
        <v>0</v>
      </c>
      <c r="J169" s="57">
        <f>SUM(B169:I169)</f>
        <v>29</v>
      </c>
      <c r="L169" s="32">
        <v>0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33">
        <v>0</v>
      </c>
      <c r="S169" s="34">
        <v>0</v>
      </c>
      <c r="T169" s="57">
        <f>SUM(L169:S169)</f>
        <v>0</v>
      </c>
      <c r="V169" s="32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4">
        <v>0</v>
      </c>
      <c r="AD169" s="57">
        <f>SUM(V169:AC169)</f>
        <v>0</v>
      </c>
      <c r="AF169" s="32">
        <v>102</v>
      </c>
      <c r="AG169" s="33">
        <v>11</v>
      </c>
      <c r="AH169" s="33">
        <v>2</v>
      </c>
      <c r="AI169" s="33">
        <v>0</v>
      </c>
      <c r="AJ169" s="33">
        <v>0</v>
      </c>
      <c r="AK169" s="33">
        <v>6</v>
      </c>
      <c r="AL169" s="33">
        <v>5</v>
      </c>
      <c r="AM169" s="34">
        <v>0</v>
      </c>
      <c r="AN169" s="57">
        <f>SUM(AF169:AM169)</f>
        <v>126</v>
      </c>
      <c r="AP169" s="57">
        <f>SUM(J169+T169+AD169+AN169)</f>
        <v>155</v>
      </c>
    </row>
    <row r="170" spans="1:42" ht="15.75" customHeight="1">
      <c r="A170" s="58">
        <v>0.34375</v>
      </c>
      <c r="B170" s="36">
        <v>16</v>
      </c>
      <c r="C170" s="37">
        <v>2</v>
      </c>
      <c r="D170" s="37">
        <v>0</v>
      </c>
      <c r="E170" s="37">
        <v>0</v>
      </c>
      <c r="F170" s="37">
        <v>0</v>
      </c>
      <c r="G170" s="37">
        <v>0</v>
      </c>
      <c r="H170" s="37">
        <v>22</v>
      </c>
      <c r="I170" s="40">
        <v>0</v>
      </c>
      <c r="J170" s="59">
        <f>SUM(B170:I170)</f>
        <v>40</v>
      </c>
      <c r="L170" s="36">
        <v>0</v>
      </c>
      <c r="M170" s="37">
        <v>0</v>
      </c>
      <c r="N170" s="37">
        <v>0</v>
      </c>
      <c r="O170" s="37">
        <v>0</v>
      </c>
      <c r="P170" s="37">
        <v>0</v>
      </c>
      <c r="Q170" s="37">
        <v>0</v>
      </c>
      <c r="R170" s="37">
        <v>0</v>
      </c>
      <c r="S170" s="40">
        <v>0</v>
      </c>
      <c r="T170" s="59">
        <f>SUM(L170:S170)</f>
        <v>0</v>
      </c>
      <c r="V170" s="36">
        <v>1</v>
      </c>
      <c r="W170" s="37">
        <v>0</v>
      </c>
      <c r="X170" s="37">
        <v>0</v>
      </c>
      <c r="Y170" s="37">
        <v>0</v>
      </c>
      <c r="Z170" s="37">
        <v>0</v>
      </c>
      <c r="AA170" s="37">
        <v>0</v>
      </c>
      <c r="AB170" s="37">
        <v>0</v>
      </c>
      <c r="AC170" s="40">
        <v>0</v>
      </c>
      <c r="AD170" s="59">
        <f>SUM(V170:AC170)</f>
        <v>1</v>
      </c>
      <c r="AF170" s="36">
        <v>67</v>
      </c>
      <c r="AG170" s="37">
        <v>15</v>
      </c>
      <c r="AH170" s="37">
        <v>1</v>
      </c>
      <c r="AI170" s="37">
        <v>0</v>
      </c>
      <c r="AJ170" s="37">
        <v>0</v>
      </c>
      <c r="AK170" s="37">
        <v>2</v>
      </c>
      <c r="AL170" s="37">
        <v>5</v>
      </c>
      <c r="AM170" s="40">
        <v>0</v>
      </c>
      <c r="AN170" s="59">
        <f>SUM(AF170:AM170)</f>
        <v>90</v>
      </c>
      <c r="AP170" s="59">
        <f>SUM(J170+T170+AD170+AN170)</f>
        <v>131</v>
      </c>
    </row>
    <row r="171" spans="1:42" ht="15.75" customHeight="1">
      <c r="A171" s="58">
        <v>0.35416666666666669</v>
      </c>
      <c r="B171" s="36">
        <v>23</v>
      </c>
      <c r="C171" s="37">
        <v>0</v>
      </c>
      <c r="D171" s="37">
        <v>0</v>
      </c>
      <c r="E171" s="37">
        <v>0</v>
      </c>
      <c r="F171" s="37">
        <v>0</v>
      </c>
      <c r="G171" s="37">
        <v>0</v>
      </c>
      <c r="H171" s="37">
        <v>13</v>
      </c>
      <c r="I171" s="40">
        <v>0</v>
      </c>
      <c r="J171" s="59">
        <f>SUM(B171:I171)</f>
        <v>36</v>
      </c>
      <c r="L171" s="36">
        <v>0</v>
      </c>
      <c r="M171" s="37">
        <v>0</v>
      </c>
      <c r="N171" s="37">
        <v>0</v>
      </c>
      <c r="O171" s="37">
        <v>0</v>
      </c>
      <c r="P171" s="37">
        <v>0</v>
      </c>
      <c r="Q171" s="37">
        <v>0</v>
      </c>
      <c r="R171" s="37">
        <v>0</v>
      </c>
      <c r="S171" s="40">
        <v>0</v>
      </c>
      <c r="T171" s="59">
        <f>SUM(L171:S171)</f>
        <v>0</v>
      </c>
      <c r="V171" s="36">
        <v>0</v>
      </c>
      <c r="W171" s="37">
        <v>0</v>
      </c>
      <c r="X171" s="37">
        <v>0</v>
      </c>
      <c r="Y171" s="37">
        <v>0</v>
      </c>
      <c r="Z171" s="37">
        <v>0</v>
      </c>
      <c r="AA171" s="37">
        <v>0</v>
      </c>
      <c r="AB171" s="37">
        <v>0</v>
      </c>
      <c r="AC171" s="40">
        <v>0</v>
      </c>
      <c r="AD171" s="59">
        <f>SUM(V171:AC171)</f>
        <v>0</v>
      </c>
      <c r="AF171" s="36">
        <v>81</v>
      </c>
      <c r="AG171" s="37">
        <v>8</v>
      </c>
      <c r="AH171" s="37">
        <v>0</v>
      </c>
      <c r="AI171" s="37">
        <v>2</v>
      </c>
      <c r="AJ171" s="37">
        <v>2</v>
      </c>
      <c r="AK171" s="37">
        <v>1</v>
      </c>
      <c r="AL171" s="37">
        <v>5</v>
      </c>
      <c r="AM171" s="40">
        <v>0</v>
      </c>
      <c r="AN171" s="59">
        <f>SUM(AF171:AM171)</f>
        <v>99</v>
      </c>
      <c r="AP171" s="59">
        <f>SUM(J171+T171+AD171+AN171)</f>
        <v>135</v>
      </c>
    </row>
    <row r="172" spans="1:42" ht="15.75" customHeight="1">
      <c r="A172" s="60">
        <v>0.36458333333333331</v>
      </c>
      <c r="B172" s="41">
        <v>38</v>
      </c>
      <c r="C172" s="42">
        <v>2</v>
      </c>
      <c r="D172" s="42">
        <v>0</v>
      </c>
      <c r="E172" s="42">
        <v>1</v>
      </c>
      <c r="F172" s="42">
        <v>0</v>
      </c>
      <c r="G172" s="42">
        <v>1</v>
      </c>
      <c r="H172" s="42">
        <v>34</v>
      </c>
      <c r="I172" s="43">
        <v>0</v>
      </c>
      <c r="J172" s="61">
        <f>SUM(B172:I172)</f>
        <v>76</v>
      </c>
      <c r="L172" s="41">
        <v>0</v>
      </c>
      <c r="M172" s="42">
        <v>0</v>
      </c>
      <c r="N172" s="42">
        <v>0</v>
      </c>
      <c r="O172" s="42">
        <v>0</v>
      </c>
      <c r="P172" s="42">
        <v>0</v>
      </c>
      <c r="Q172" s="42">
        <v>0</v>
      </c>
      <c r="R172" s="42">
        <v>0</v>
      </c>
      <c r="S172" s="43">
        <v>0</v>
      </c>
      <c r="T172" s="61">
        <f>SUM(L172:S172)</f>
        <v>0</v>
      </c>
      <c r="V172" s="41">
        <v>0</v>
      </c>
      <c r="W172" s="42">
        <v>0</v>
      </c>
      <c r="X172" s="42">
        <v>0</v>
      </c>
      <c r="Y172" s="42">
        <v>0</v>
      </c>
      <c r="Z172" s="42">
        <v>0</v>
      </c>
      <c r="AA172" s="42">
        <v>0</v>
      </c>
      <c r="AB172" s="42">
        <v>0</v>
      </c>
      <c r="AC172" s="43">
        <v>0</v>
      </c>
      <c r="AD172" s="61">
        <f>SUM(V172:AC172)</f>
        <v>0</v>
      </c>
      <c r="AF172" s="41">
        <v>88</v>
      </c>
      <c r="AG172" s="42">
        <v>17</v>
      </c>
      <c r="AH172" s="42">
        <v>1</v>
      </c>
      <c r="AI172" s="42">
        <v>0</v>
      </c>
      <c r="AJ172" s="42">
        <v>0</v>
      </c>
      <c r="AK172" s="42">
        <v>3</v>
      </c>
      <c r="AL172" s="42">
        <v>2</v>
      </c>
      <c r="AM172" s="43">
        <v>0</v>
      </c>
      <c r="AN172" s="61">
        <f>SUM(AF172:AM172)</f>
        <v>111</v>
      </c>
      <c r="AP172" s="61">
        <f>SUM(J172+T172+AD172+AN172)</f>
        <v>187</v>
      </c>
    </row>
    <row r="173" spans="1:42" ht="15.75" customHeight="1">
      <c r="A173" s="48" t="s">
        <v>29</v>
      </c>
      <c r="B173" s="45">
        <f t="shared" ref="B173:J173" si="124">SUM(B169:B172)</f>
        <v>95</v>
      </c>
      <c r="C173" s="46">
        <f t="shared" si="124"/>
        <v>6</v>
      </c>
      <c r="D173" s="46">
        <f t="shared" si="124"/>
        <v>2</v>
      </c>
      <c r="E173" s="46">
        <f t="shared" si="124"/>
        <v>1</v>
      </c>
      <c r="F173" s="46">
        <f t="shared" si="124"/>
        <v>0</v>
      </c>
      <c r="G173" s="46">
        <f t="shared" si="124"/>
        <v>2</v>
      </c>
      <c r="H173" s="46">
        <f t="shared" si="124"/>
        <v>75</v>
      </c>
      <c r="I173" s="47">
        <f t="shared" si="124"/>
        <v>0</v>
      </c>
      <c r="J173" s="48">
        <f t="shared" si="124"/>
        <v>181</v>
      </c>
      <c r="L173" s="45">
        <f t="shared" ref="L173:T173" si="125">SUM(L169:L172)</f>
        <v>0</v>
      </c>
      <c r="M173" s="46">
        <f t="shared" si="125"/>
        <v>0</v>
      </c>
      <c r="N173" s="46">
        <f t="shared" si="125"/>
        <v>0</v>
      </c>
      <c r="O173" s="46">
        <f t="shared" si="125"/>
        <v>0</v>
      </c>
      <c r="P173" s="46">
        <f t="shared" si="125"/>
        <v>0</v>
      </c>
      <c r="Q173" s="46">
        <f t="shared" si="125"/>
        <v>0</v>
      </c>
      <c r="R173" s="46">
        <f t="shared" si="125"/>
        <v>0</v>
      </c>
      <c r="S173" s="47">
        <f t="shared" si="125"/>
        <v>0</v>
      </c>
      <c r="T173" s="48">
        <f t="shared" si="125"/>
        <v>0</v>
      </c>
      <c r="V173" s="45">
        <f t="shared" ref="V173:AD173" si="126">SUM(V169:V172)</f>
        <v>1</v>
      </c>
      <c r="W173" s="46">
        <f t="shared" si="126"/>
        <v>0</v>
      </c>
      <c r="X173" s="46">
        <f t="shared" si="126"/>
        <v>0</v>
      </c>
      <c r="Y173" s="46">
        <f t="shared" si="126"/>
        <v>0</v>
      </c>
      <c r="Z173" s="46">
        <f t="shared" si="126"/>
        <v>0</v>
      </c>
      <c r="AA173" s="46">
        <f t="shared" si="126"/>
        <v>0</v>
      </c>
      <c r="AB173" s="46">
        <f t="shared" si="126"/>
        <v>0</v>
      </c>
      <c r="AC173" s="47">
        <f t="shared" si="126"/>
        <v>0</v>
      </c>
      <c r="AD173" s="48">
        <f t="shared" si="126"/>
        <v>1</v>
      </c>
      <c r="AF173" s="45">
        <f t="shared" ref="AF173:AN173" si="127">SUM(AF169:AF172)</f>
        <v>338</v>
      </c>
      <c r="AG173" s="46">
        <f t="shared" si="127"/>
        <v>51</v>
      </c>
      <c r="AH173" s="46">
        <f t="shared" si="127"/>
        <v>4</v>
      </c>
      <c r="AI173" s="46">
        <f t="shared" si="127"/>
        <v>2</v>
      </c>
      <c r="AJ173" s="46">
        <f t="shared" si="127"/>
        <v>2</v>
      </c>
      <c r="AK173" s="46">
        <f t="shared" si="127"/>
        <v>12</v>
      </c>
      <c r="AL173" s="46">
        <f t="shared" si="127"/>
        <v>17</v>
      </c>
      <c r="AM173" s="47">
        <f t="shared" si="127"/>
        <v>0</v>
      </c>
      <c r="AN173" s="48">
        <f t="shared" si="127"/>
        <v>426</v>
      </c>
      <c r="AP173" s="48">
        <f>SUM(AP169:AP172)</f>
        <v>608</v>
      </c>
    </row>
    <row r="174" spans="1:42" ht="15.75" customHeight="1">
      <c r="A174" s="56">
        <v>0.375</v>
      </c>
      <c r="B174" s="32">
        <v>26</v>
      </c>
      <c r="C174" s="33">
        <v>1</v>
      </c>
      <c r="D174" s="33">
        <v>0</v>
      </c>
      <c r="E174" s="33">
        <v>0</v>
      </c>
      <c r="F174" s="33">
        <v>0</v>
      </c>
      <c r="G174" s="33">
        <v>0</v>
      </c>
      <c r="H174" s="33">
        <v>14</v>
      </c>
      <c r="I174" s="34">
        <v>0</v>
      </c>
      <c r="J174" s="57">
        <f>SUM(B174:I174)</f>
        <v>41</v>
      </c>
      <c r="L174" s="32">
        <v>0</v>
      </c>
      <c r="M174" s="33">
        <v>0</v>
      </c>
      <c r="N174" s="33">
        <v>0</v>
      </c>
      <c r="O174" s="33">
        <v>0</v>
      </c>
      <c r="P174" s="33">
        <v>0</v>
      </c>
      <c r="Q174" s="33">
        <v>0</v>
      </c>
      <c r="R174" s="33">
        <v>0</v>
      </c>
      <c r="S174" s="34">
        <v>0</v>
      </c>
      <c r="T174" s="57">
        <f>SUM(L174:S174)</f>
        <v>0</v>
      </c>
      <c r="V174" s="32">
        <v>1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4">
        <v>0</v>
      </c>
      <c r="AD174" s="57">
        <f>SUM(V174:AC174)</f>
        <v>1</v>
      </c>
      <c r="AF174" s="32">
        <v>71</v>
      </c>
      <c r="AG174" s="33">
        <v>8</v>
      </c>
      <c r="AH174" s="33">
        <v>1</v>
      </c>
      <c r="AI174" s="33">
        <v>0</v>
      </c>
      <c r="AJ174" s="33">
        <v>0</v>
      </c>
      <c r="AK174" s="33">
        <v>1</v>
      </c>
      <c r="AL174" s="33">
        <v>4</v>
      </c>
      <c r="AM174" s="34">
        <v>0</v>
      </c>
      <c r="AN174" s="57">
        <f>SUM(AF174:AM174)</f>
        <v>85</v>
      </c>
      <c r="AP174" s="57">
        <f>SUM(J174+T174+AD174+AN174)</f>
        <v>127</v>
      </c>
    </row>
    <row r="175" spans="1:42" ht="15.75" customHeight="1">
      <c r="A175" s="58">
        <v>0.38541666666666669</v>
      </c>
      <c r="B175" s="36">
        <v>22</v>
      </c>
      <c r="C175" s="37">
        <v>1</v>
      </c>
      <c r="D175" s="37">
        <v>0</v>
      </c>
      <c r="E175" s="37">
        <v>0</v>
      </c>
      <c r="F175" s="37">
        <v>0</v>
      </c>
      <c r="G175" s="37">
        <v>1</v>
      </c>
      <c r="H175" s="37">
        <v>12</v>
      </c>
      <c r="I175" s="40">
        <v>0</v>
      </c>
      <c r="J175" s="59">
        <f>SUM(B175:I175)</f>
        <v>36</v>
      </c>
      <c r="L175" s="36">
        <v>0</v>
      </c>
      <c r="M175" s="37">
        <v>0</v>
      </c>
      <c r="N175" s="37">
        <v>0</v>
      </c>
      <c r="O175" s="37">
        <v>0</v>
      </c>
      <c r="P175" s="37">
        <v>0</v>
      </c>
      <c r="Q175" s="37">
        <v>0</v>
      </c>
      <c r="R175" s="37">
        <v>0</v>
      </c>
      <c r="S175" s="40">
        <v>0</v>
      </c>
      <c r="T175" s="59">
        <f>SUM(L175:S175)</f>
        <v>0</v>
      </c>
      <c r="V175" s="36">
        <v>3</v>
      </c>
      <c r="W175" s="37">
        <v>0</v>
      </c>
      <c r="X175" s="37">
        <v>0</v>
      </c>
      <c r="Y175" s="37">
        <v>0</v>
      </c>
      <c r="Z175" s="37">
        <v>0</v>
      </c>
      <c r="AA175" s="37">
        <v>0</v>
      </c>
      <c r="AB175" s="37">
        <v>0</v>
      </c>
      <c r="AC175" s="40">
        <v>0</v>
      </c>
      <c r="AD175" s="59">
        <f>SUM(V175:AC175)</f>
        <v>3</v>
      </c>
      <c r="AF175" s="36">
        <v>84</v>
      </c>
      <c r="AG175" s="37">
        <v>3</v>
      </c>
      <c r="AH175" s="37">
        <v>1</v>
      </c>
      <c r="AI175" s="37">
        <v>1</v>
      </c>
      <c r="AJ175" s="37">
        <v>2</v>
      </c>
      <c r="AK175" s="37">
        <v>0</v>
      </c>
      <c r="AL175" s="37">
        <v>4</v>
      </c>
      <c r="AM175" s="40">
        <v>0</v>
      </c>
      <c r="AN175" s="59">
        <f>SUM(AF175:AM175)</f>
        <v>95</v>
      </c>
      <c r="AP175" s="59">
        <f>SUM(J175+T175+AD175+AN175)</f>
        <v>134</v>
      </c>
    </row>
    <row r="176" spans="1:42" ht="15.75" customHeight="1">
      <c r="A176" s="58">
        <v>0.39583333333333331</v>
      </c>
      <c r="B176" s="36">
        <v>12</v>
      </c>
      <c r="C176" s="37">
        <v>1</v>
      </c>
      <c r="D176" s="37">
        <v>0</v>
      </c>
      <c r="E176" s="37">
        <v>1</v>
      </c>
      <c r="F176" s="37">
        <v>0</v>
      </c>
      <c r="G176" s="37">
        <v>1</v>
      </c>
      <c r="H176" s="37">
        <v>5</v>
      </c>
      <c r="I176" s="40">
        <v>0</v>
      </c>
      <c r="J176" s="59">
        <f>SUM(B176:I176)</f>
        <v>20</v>
      </c>
      <c r="L176" s="36">
        <v>0</v>
      </c>
      <c r="M176" s="37">
        <v>0</v>
      </c>
      <c r="N176" s="37">
        <v>0</v>
      </c>
      <c r="O176" s="37">
        <v>0</v>
      </c>
      <c r="P176" s="37">
        <v>0</v>
      </c>
      <c r="Q176" s="37">
        <v>0</v>
      </c>
      <c r="R176" s="37">
        <v>0</v>
      </c>
      <c r="S176" s="40">
        <v>0</v>
      </c>
      <c r="T176" s="59">
        <f>SUM(L176:S176)</f>
        <v>0</v>
      </c>
      <c r="V176" s="36">
        <v>0</v>
      </c>
      <c r="W176" s="37">
        <v>0</v>
      </c>
      <c r="X176" s="37">
        <v>0</v>
      </c>
      <c r="Y176" s="37">
        <v>0</v>
      </c>
      <c r="Z176" s="37">
        <v>0</v>
      </c>
      <c r="AA176" s="37">
        <v>0</v>
      </c>
      <c r="AB176" s="37">
        <v>0</v>
      </c>
      <c r="AC176" s="40">
        <v>0</v>
      </c>
      <c r="AD176" s="59">
        <f>SUM(V176:AC176)</f>
        <v>0</v>
      </c>
      <c r="AF176" s="36">
        <v>68</v>
      </c>
      <c r="AG176" s="37">
        <v>11</v>
      </c>
      <c r="AH176" s="37">
        <v>0</v>
      </c>
      <c r="AI176" s="37">
        <v>1</v>
      </c>
      <c r="AJ176" s="37">
        <v>1</v>
      </c>
      <c r="AK176" s="37">
        <v>1</v>
      </c>
      <c r="AL176" s="37">
        <v>3</v>
      </c>
      <c r="AM176" s="40">
        <v>0</v>
      </c>
      <c r="AN176" s="59">
        <f>SUM(AF176:AM176)</f>
        <v>85</v>
      </c>
      <c r="AP176" s="59">
        <f>SUM(J176+T176+AD176+AN176)</f>
        <v>105</v>
      </c>
    </row>
    <row r="177" spans="1:42" ht="15.75" customHeight="1">
      <c r="A177" s="60">
        <v>0.40625</v>
      </c>
      <c r="B177" s="41">
        <v>11</v>
      </c>
      <c r="C177" s="42">
        <v>1</v>
      </c>
      <c r="D177" s="42">
        <v>0</v>
      </c>
      <c r="E177" s="42">
        <v>0</v>
      </c>
      <c r="F177" s="42">
        <v>0</v>
      </c>
      <c r="G177" s="42">
        <v>0</v>
      </c>
      <c r="H177" s="42">
        <v>7</v>
      </c>
      <c r="I177" s="43">
        <v>0</v>
      </c>
      <c r="J177" s="61">
        <f>SUM(B177:I177)</f>
        <v>19</v>
      </c>
      <c r="L177" s="41">
        <v>0</v>
      </c>
      <c r="M177" s="42">
        <v>0</v>
      </c>
      <c r="N177" s="42">
        <v>0</v>
      </c>
      <c r="O177" s="42">
        <v>0</v>
      </c>
      <c r="P177" s="42">
        <v>0</v>
      </c>
      <c r="Q177" s="42">
        <v>0</v>
      </c>
      <c r="R177" s="42">
        <v>0</v>
      </c>
      <c r="S177" s="43">
        <v>0</v>
      </c>
      <c r="T177" s="61">
        <f>SUM(L177:S177)</f>
        <v>0</v>
      </c>
      <c r="V177" s="41">
        <v>1</v>
      </c>
      <c r="W177" s="42">
        <v>0</v>
      </c>
      <c r="X177" s="42">
        <v>0</v>
      </c>
      <c r="Y177" s="42">
        <v>0</v>
      </c>
      <c r="Z177" s="42">
        <v>0</v>
      </c>
      <c r="AA177" s="42">
        <v>0</v>
      </c>
      <c r="AB177" s="42">
        <v>0</v>
      </c>
      <c r="AC177" s="43">
        <v>0</v>
      </c>
      <c r="AD177" s="61">
        <f>SUM(V177:AC177)</f>
        <v>1</v>
      </c>
      <c r="AF177" s="41">
        <v>61</v>
      </c>
      <c r="AG177" s="42">
        <v>6</v>
      </c>
      <c r="AH177" s="42">
        <v>3</v>
      </c>
      <c r="AI177" s="42">
        <v>1</v>
      </c>
      <c r="AJ177" s="42">
        <v>2</v>
      </c>
      <c r="AK177" s="42">
        <v>1</v>
      </c>
      <c r="AL177" s="42">
        <v>3</v>
      </c>
      <c r="AM177" s="43">
        <v>0</v>
      </c>
      <c r="AN177" s="61">
        <f>SUM(AF177:AM177)</f>
        <v>77</v>
      </c>
      <c r="AP177" s="61">
        <f>SUM(J177+T177+AD177+AN177)</f>
        <v>97</v>
      </c>
    </row>
    <row r="178" spans="1:42" ht="15.75" customHeight="1">
      <c r="A178" s="48" t="s">
        <v>29</v>
      </c>
      <c r="B178" s="45">
        <f t="shared" ref="B178:J178" si="128">SUM(B174:B177)</f>
        <v>71</v>
      </c>
      <c r="C178" s="46">
        <f t="shared" si="128"/>
        <v>4</v>
      </c>
      <c r="D178" s="46">
        <f t="shared" si="128"/>
        <v>0</v>
      </c>
      <c r="E178" s="46">
        <f t="shared" si="128"/>
        <v>1</v>
      </c>
      <c r="F178" s="46">
        <f t="shared" si="128"/>
        <v>0</v>
      </c>
      <c r="G178" s="46">
        <f t="shared" si="128"/>
        <v>2</v>
      </c>
      <c r="H178" s="46">
        <f t="shared" si="128"/>
        <v>38</v>
      </c>
      <c r="I178" s="47">
        <f t="shared" si="128"/>
        <v>0</v>
      </c>
      <c r="J178" s="48">
        <f t="shared" si="128"/>
        <v>116</v>
      </c>
      <c r="L178" s="45">
        <f t="shared" ref="L178:T178" si="129">SUM(L174:L177)</f>
        <v>0</v>
      </c>
      <c r="M178" s="46">
        <f t="shared" si="129"/>
        <v>0</v>
      </c>
      <c r="N178" s="46">
        <f t="shared" si="129"/>
        <v>0</v>
      </c>
      <c r="O178" s="46">
        <f t="shared" si="129"/>
        <v>0</v>
      </c>
      <c r="P178" s="46">
        <f t="shared" si="129"/>
        <v>0</v>
      </c>
      <c r="Q178" s="46">
        <f t="shared" si="129"/>
        <v>0</v>
      </c>
      <c r="R178" s="46">
        <f t="shared" si="129"/>
        <v>0</v>
      </c>
      <c r="S178" s="47">
        <f t="shared" si="129"/>
        <v>0</v>
      </c>
      <c r="T178" s="48">
        <f t="shared" si="129"/>
        <v>0</v>
      </c>
      <c r="V178" s="45">
        <f t="shared" ref="V178:AD178" si="130">SUM(V174:V177)</f>
        <v>5</v>
      </c>
      <c r="W178" s="46">
        <f t="shared" si="130"/>
        <v>0</v>
      </c>
      <c r="X178" s="46">
        <f t="shared" si="130"/>
        <v>0</v>
      </c>
      <c r="Y178" s="46">
        <f t="shared" si="130"/>
        <v>0</v>
      </c>
      <c r="Z178" s="46">
        <f t="shared" si="130"/>
        <v>0</v>
      </c>
      <c r="AA178" s="46">
        <f t="shared" si="130"/>
        <v>0</v>
      </c>
      <c r="AB178" s="46">
        <f t="shared" si="130"/>
        <v>0</v>
      </c>
      <c r="AC178" s="47">
        <f t="shared" si="130"/>
        <v>0</v>
      </c>
      <c r="AD178" s="48">
        <f t="shared" si="130"/>
        <v>5</v>
      </c>
      <c r="AF178" s="45">
        <f t="shared" ref="AF178:AN178" si="131">SUM(AF174:AF177)</f>
        <v>284</v>
      </c>
      <c r="AG178" s="46">
        <f t="shared" si="131"/>
        <v>28</v>
      </c>
      <c r="AH178" s="46">
        <f t="shared" si="131"/>
        <v>5</v>
      </c>
      <c r="AI178" s="46">
        <f t="shared" si="131"/>
        <v>3</v>
      </c>
      <c r="AJ178" s="46">
        <f t="shared" si="131"/>
        <v>5</v>
      </c>
      <c r="AK178" s="46">
        <f t="shared" si="131"/>
        <v>3</v>
      </c>
      <c r="AL178" s="46">
        <f t="shared" si="131"/>
        <v>14</v>
      </c>
      <c r="AM178" s="47">
        <f t="shared" si="131"/>
        <v>0</v>
      </c>
      <c r="AN178" s="48">
        <f t="shared" si="131"/>
        <v>342</v>
      </c>
      <c r="AP178" s="48">
        <f>SUM(AP174:AP177)</f>
        <v>463</v>
      </c>
    </row>
    <row r="179" spans="1:42" ht="15.75" customHeight="1">
      <c r="A179" s="56">
        <v>0.41666666666666669</v>
      </c>
      <c r="B179" s="32">
        <v>10</v>
      </c>
      <c r="C179" s="33">
        <v>3</v>
      </c>
      <c r="D179" s="33">
        <v>0</v>
      </c>
      <c r="E179" s="33">
        <v>0</v>
      </c>
      <c r="F179" s="33">
        <v>0</v>
      </c>
      <c r="G179" s="33">
        <v>0</v>
      </c>
      <c r="H179" s="33">
        <v>3</v>
      </c>
      <c r="I179" s="34">
        <v>0</v>
      </c>
      <c r="J179" s="57">
        <f>SUM(B179:I179)</f>
        <v>16</v>
      </c>
      <c r="L179" s="32">
        <v>0</v>
      </c>
      <c r="M179" s="33">
        <v>0</v>
      </c>
      <c r="N179" s="33">
        <v>0</v>
      </c>
      <c r="O179" s="33">
        <v>0</v>
      </c>
      <c r="P179" s="33">
        <v>0</v>
      </c>
      <c r="Q179" s="33">
        <v>0</v>
      </c>
      <c r="R179" s="33">
        <v>0</v>
      </c>
      <c r="S179" s="34">
        <v>0</v>
      </c>
      <c r="T179" s="57">
        <f>SUM(L179:S179)</f>
        <v>0</v>
      </c>
      <c r="V179" s="32">
        <v>0</v>
      </c>
      <c r="W179" s="33">
        <v>0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34">
        <v>0</v>
      </c>
      <c r="AD179" s="57">
        <f>SUM(V179:AC179)</f>
        <v>0</v>
      </c>
      <c r="AF179" s="32">
        <v>40</v>
      </c>
      <c r="AG179" s="33">
        <v>10</v>
      </c>
      <c r="AH179" s="33">
        <v>3</v>
      </c>
      <c r="AI179" s="33">
        <v>0</v>
      </c>
      <c r="AJ179" s="33">
        <v>0</v>
      </c>
      <c r="AK179" s="33">
        <v>1</v>
      </c>
      <c r="AL179" s="33">
        <v>1</v>
      </c>
      <c r="AM179" s="34">
        <v>0</v>
      </c>
      <c r="AN179" s="57">
        <f>SUM(AF179:AM179)</f>
        <v>55</v>
      </c>
      <c r="AP179" s="57">
        <f>SUM(J179+T179+AD179+AN179)</f>
        <v>71</v>
      </c>
    </row>
    <row r="180" spans="1:42" ht="15.75" customHeight="1">
      <c r="A180" s="58">
        <v>0.42708333333333331</v>
      </c>
      <c r="B180" s="36">
        <v>4</v>
      </c>
      <c r="C180" s="37">
        <v>2</v>
      </c>
      <c r="D180" s="37">
        <v>0</v>
      </c>
      <c r="E180" s="37">
        <v>0</v>
      </c>
      <c r="F180" s="37">
        <v>0</v>
      </c>
      <c r="G180" s="37">
        <v>0</v>
      </c>
      <c r="H180" s="37">
        <v>5</v>
      </c>
      <c r="I180" s="40">
        <v>0</v>
      </c>
      <c r="J180" s="59">
        <f>SUM(B180:I180)</f>
        <v>11</v>
      </c>
      <c r="L180" s="36">
        <v>0</v>
      </c>
      <c r="M180" s="37">
        <v>0</v>
      </c>
      <c r="N180" s="37">
        <v>0</v>
      </c>
      <c r="O180" s="37">
        <v>0</v>
      </c>
      <c r="P180" s="37">
        <v>0</v>
      </c>
      <c r="Q180" s="37">
        <v>0</v>
      </c>
      <c r="R180" s="37">
        <v>0</v>
      </c>
      <c r="S180" s="40">
        <v>0</v>
      </c>
      <c r="T180" s="59">
        <f>SUM(L180:S180)</f>
        <v>0</v>
      </c>
      <c r="V180" s="36">
        <v>3</v>
      </c>
      <c r="W180" s="37">
        <v>0</v>
      </c>
      <c r="X180" s="37">
        <v>0</v>
      </c>
      <c r="Y180" s="37">
        <v>0</v>
      </c>
      <c r="Z180" s="37">
        <v>0</v>
      </c>
      <c r="AA180" s="37">
        <v>0</v>
      </c>
      <c r="AB180" s="37">
        <v>0</v>
      </c>
      <c r="AC180" s="40">
        <v>0</v>
      </c>
      <c r="AD180" s="59">
        <f>SUM(V180:AC180)</f>
        <v>3</v>
      </c>
      <c r="AF180" s="36">
        <v>44</v>
      </c>
      <c r="AG180" s="37">
        <v>7</v>
      </c>
      <c r="AH180" s="37">
        <v>0</v>
      </c>
      <c r="AI180" s="37">
        <v>0</v>
      </c>
      <c r="AJ180" s="37">
        <v>1</v>
      </c>
      <c r="AK180" s="37">
        <v>1</v>
      </c>
      <c r="AL180" s="37">
        <v>0</v>
      </c>
      <c r="AM180" s="40">
        <v>0</v>
      </c>
      <c r="AN180" s="59">
        <f>SUM(AF180:AM180)</f>
        <v>53</v>
      </c>
      <c r="AP180" s="59">
        <f>SUM(J180+T180+AD180+AN180)</f>
        <v>67</v>
      </c>
    </row>
    <row r="181" spans="1:42" ht="15.75" customHeight="1">
      <c r="A181" s="58">
        <v>0.4375</v>
      </c>
      <c r="B181" s="36">
        <v>7</v>
      </c>
      <c r="C181" s="37">
        <v>4</v>
      </c>
      <c r="D181" s="37">
        <v>0</v>
      </c>
      <c r="E181" s="37">
        <v>0</v>
      </c>
      <c r="F181" s="37">
        <v>0</v>
      </c>
      <c r="G181" s="37">
        <v>0</v>
      </c>
      <c r="H181" s="37">
        <v>5</v>
      </c>
      <c r="I181" s="40">
        <v>0</v>
      </c>
      <c r="J181" s="59">
        <f>SUM(B181:I181)</f>
        <v>16</v>
      </c>
      <c r="L181" s="36">
        <v>0</v>
      </c>
      <c r="M181" s="37">
        <v>0</v>
      </c>
      <c r="N181" s="37">
        <v>0</v>
      </c>
      <c r="O181" s="37">
        <v>0</v>
      </c>
      <c r="P181" s="37">
        <v>0</v>
      </c>
      <c r="Q181" s="37">
        <v>0</v>
      </c>
      <c r="R181" s="37">
        <v>0</v>
      </c>
      <c r="S181" s="40">
        <v>0</v>
      </c>
      <c r="T181" s="59">
        <f>SUM(L181:S181)</f>
        <v>0</v>
      </c>
      <c r="V181" s="36">
        <v>0</v>
      </c>
      <c r="W181" s="37">
        <v>1</v>
      </c>
      <c r="X181" s="37">
        <v>0</v>
      </c>
      <c r="Y181" s="37">
        <v>0</v>
      </c>
      <c r="Z181" s="37">
        <v>0</v>
      </c>
      <c r="AA181" s="37">
        <v>0</v>
      </c>
      <c r="AB181" s="37">
        <v>0</v>
      </c>
      <c r="AC181" s="40">
        <v>0</v>
      </c>
      <c r="AD181" s="59">
        <f>SUM(V181:AC181)</f>
        <v>1</v>
      </c>
      <c r="AF181" s="36">
        <v>50</v>
      </c>
      <c r="AG181" s="37">
        <v>7</v>
      </c>
      <c r="AH181" s="37">
        <v>2</v>
      </c>
      <c r="AI181" s="37">
        <v>3</v>
      </c>
      <c r="AJ181" s="37">
        <v>0</v>
      </c>
      <c r="AK181" s="37">
        <v>0</v>
      </c>
      <c r="AL181" s="37">
        <v>1</v>
      </c>
      <c r="AM181" s="40">
        <v>0</v>
      </c>
      <c r="AN181" s="59">
        <f>SUM(AF181:AM181)</f>
        <v>63</v>
      </c>
      <c r="AP181" s="59">
        <f>SUM(J181+T181+AD181+AN181)</f>
        <v>80</v>
      </c>
    </row>
    <row r="182" spans="1:42" ht="15.75" customHeight="1">
      <c r="A182" s="60">
        <v>0.44791666666666669</v>
      </c>
      <c r="B182" s="41">
        <v>3</v>
      </c>
      <c r="C182" s="42">
        <v>1</v>
      </c>
      <c r="D182" s="42">
        <v>0</v>
      </c>
      <c r="E182" s="42">
        <v>0</v>
      </c>
      <c r="F182" s="42">
        <v>0</v>
      </c>
      <c r="G182" s="42">
        <v>0</v>
      </c>
      <c r="H182" s="42">
        <v>1</v>
      </c>
      <c r="I182" s="43">
        <v>0</v>
      </c>
      <c r="J182" s="61">
        <f>SUM(B182:I182)</f>
        <v>5</v>
      </c>
      <c r="L182" s="41">
        <v>0</v>
      </c>
      <c r="M182" s="42">
        <v>0</v>
      </c>
      <c r="N182" s="42">
        <v>0</v>
      </c>
      <c r="O182" s="42">
        <v>0</v>
      </c>
      <c r="P182" s="42">
        <v>0</v>
      </c>
      <c r="Q182" s="42">
        <v>0</v>
      </c>
      <c r="R182" s="42">
        <v>0</v>
      </c>
      <c r="S182" s="43">
        <v>0</v>
      </c>
      <c r="T182" s="61">
        <f>SUM(L182:S182)</f>
        <v>0</v>
      </c>
      <c r="V182" s="41">
        <v>1</v>
      </c>
      <c r="W182" s="42">
        <v>0</v>
      </c>
      <c r="X182" s="42">
        <v>0</v>
      </c>
      <c r="Y182" s="42">
        <v>0</v>
      </c>
      <c r="Z182" s="42">
        <v>0</v>
      </c>
      <c r="AA182" s="42">
        <v>0</v>
      </c>
      <c r="AB182" s="42">
        <v>0</v>
      </c>
      <c r="AC182" s="43">
        <v>0</v>
      </c>
      <c r="AD182" s="61">
        <f>SUM(V182:AC182)</f>
        <v>1</v>
      </c>
      <c r="AF182" s="41">
        <v>48</v>
      </c>
      <c r="AG182" s="42">
        <v>17</v>
      </c>
      <c r="AH182" s="42">
        <v>2</v>
      </c>
      <c r="AI182" s="42">
        <v>0</v>
      </c>
      <c r="AJ182" s="42">
        <v>2</v>
      </c>
      <c r="AK182" s="42">
        <v>0</v>
      </c>
      <c r="AL182" s="42">
        <v>1</v>
      </c>
      <c r="AM182" s="43">
        <v>0</v>
      </c>
      <c r="AN182" s="61">
        <f>SUM(AF182:AM182)</f>
        <v>70</v>
      </c>
      <c r="AP182" s="61">
        <f>SUM(J182+T182+AD182+AN182)</f>
        <v>76</v>
      </c>
    </row>
    <row r="183" spans="1:42" ht="15.75" customHeight="1">
      <c r="A183" s="48" t="s">
        <v>29</v>
      </c>
      <c r="B183" s="45">
        <f t="shared" ref="B183:J183" si="132">SUM(B179:B182)</f>
        <v>24</v>
      </c>
      <c r="C183" s="46">
        <f t="shared" si="132"/>
        <v>10</v>
      </c>
      <c r="D183" s="46">
        <f t="shared" si="132"/>
        <v>0</v>
      </c>
      <c r="E183" s="46">
        <f t="shared" si="132"/>
        <v>0</v>
      </c>
      <c r="F183" s="46">
        <f t="shared" si="132"/>
        <v>0</v>
      </c>
      <c r="G183" s="46">
        <f t="shared" si="132"/>
        <v>0</v>
      </c>
      <c r="H183" s="46">
        <f t="shared" si="132"/>
        <v>14</v>
      </c>
      <c r="I183" s="47">
        <f t="shared" si="132"/>
        <v>0</v>
      </c>
      <c r="J183" s="48">
        <f t="shared" si="132"/>
        <v>48</v>
      </c>
      <c r="L183" s="45">
        <f t="shared" ref="L183:T183" si="133">SUM(L179:L182)</f>
        <v>0</v>
      </c>
      <c r="M183" s="46">
        <f t="shared" si="133"/>
        <v>0</v>
      </c>
      <c r="N183" s="46">
        <f t="shared" si="133"/>
        <v>0</v>
      </c>
      <c r="O183" s="46">
        <f t="shared" si="133"/>
        <v>0</v>
      </c>
      <c r="P183" s="46">
        <f t="shared" si="133"/>
        <v>0</v>
      </c>
      <c r="Q183" s="46">
        <f t="shared" si="133"/>
        <v>0</v>
      </c>
      <c r="R183" s="46">
        <f t="shared" si="133"/>
        <v>0</v>
      </c>
      <c r="S183" s="47">
        <f t="shared" si="133"/>
        <v>0</v>
      </c>
      <c r="T183" s="48">
        <f t="shared" si="133"/>
        <v>0</v>
      </c>
      <c r="V183" s="45">
        <f t="shared" ref="V183:AD183" si="134">SUM(V179:V182)</f>
        <v>4</v>
      </c>
      <c r="W183" s="46">
        <f t="shared" si="134"/>
        <v>1</v>
      </c>
      <c r="X183" s="46">
        <f t="shared" si="134"/>
        <v>0</v>
      </c>
      <c r="Y183" s="46">
        <f t="shared" si="134"/>
        <v>0</v>
      </c>
      <c r="Z183" s="46">
        <f t="shared" si="134"/>
        <v>0</v>
      </c>
      <c r="AA183" s="46">
        <f t="shared" si="134"/>
        <v>0</v>
      </c>
      <c r="AB183" s="46">
        <f t="shared" si="134"/>
        <v>0</v>
      </c>
      <c r="AC183" s="47">
        <f t="shared" si="134"/>
        <v>0</v>
      </c>
      <c r="AD183" s="48">
        <f t="shared" si="134"/>
        <v>5</v>
      </c>
      <c r="AF183" s="45">
        <f t="shared" ref="AF183:AN183" si="135">SUM(AF179:AF182)</f>
        <v>182</v>
      </c>
      <c r="AG183" s="46">
        <f t="shared" si="135"/>
        <v>41</v>
      </c>
      <c r="AH183" s="46">
        <f t="shared" si="135"/>
        <v>7</v>
      </c>
      <c r="AI183" s="46">
        <f t="shared" si="135"/>
        <v>3</v>
      </c>
      <c r="AJ183" s="46">
        <f t="shared" si="135"/>
        <v>3</v>
      </c>
      <c r="AK183" s="46">
        <f t="shared" si="135"/>
        <v>2</v>
      </c>
      <c r="AL183" s="46">
        <f t="shared" si="135"/>
        <v>3</v>
      </c>
      <c r="AM183" s="47">
        <f t="shared" si="135"/>
        <v>0</v>
      </c>
      <c r="AN183" s="48">
        <f t="shared" si="135"/>
        <v>241</v>
      </c>
      <c r="AP183" s="48">
        <f>SUM(AP179:AP182)</f>
        <v>294</v>
      </c>
    </row>
    <row r="184" spans="1:42" ht="15.75" customHeight="1">
      <c r="A184" s="56">
        <v>0.45833333333333331</v>
      </c>
      <c r="B184" s="32">
        <v>8</v>
      </c>
      <c r="C184" s="33">
        <v>1</v>
      </c>
      <c r="D184" s="33">
        <v>0</v>
      </c>
      <c r="E184" s="33">
        <v>0</v>
      </c>
      <c r="F184" s="33">
        <v>0</v>
      </c>
      <c r="G184" s="33">
        <v>0</v>
      </c>
      <c r="H184" s="33">
        <v>3</v>
      </c>
      <c r="I184" s="34">
        <v>0</v>
      </c>
      <c r="J184" s="57">
        <f>SUM(B184:I184)</f>
        <v>12</v>
      </c>
      <c r="L184" s="32">
        <v>0</v>
      </c>
      <c r="M184" s="33">
        <v>0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4">
        <v>0</v>
      </c>
      <c r="T184" s="57">
        <f>SUM(L184:S184)</f>
        <v>0</v>
      </c>
      <c r="V184" s="32">
        <v>2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4">
        <v>0</v>
      </c>
      <c r="AD184" s="57">
        <f>SUM(V184:AC184)</f>
        <v>2</v>
      </c>
      <c r="AF184" s="32">
        <v>54</v>
      </c>
      <c r="AG184" s="33">
        <v>10</v>
      </c>
      <c r="AH184" s="33">
        <v>3</v>
      </c>
      <c r="AI184" s="33">
        <v>3</v>
      </c>
      <c r="AJ184" s="33">
        <v>0</v>
      </c>
      <c r="AK184" s="33">
        <v>0</v>
      </c>
      <c r="AL184" s="33">
        <v>2</v>
      </c>
      <c r="AM184" s="34">
        <v>0</v>
      </c>
      <c r="AN184" s="57">
        <f>SUM(AF184:AM184)</f>
        <v>72</v>
      </c>
      <c r="AP184" s="57">
        <f>SUM(J184+T184+AD184+AN184)</f>
        <v>86</v>
      </c>
    </row>
    <row r="185" spans="1:42" ht="15.75" customHeight="1">
      <c r="A185" s="58">
        <v>0.46875</v>
      </c>
      <c r="B185" s="36">
        <v>3</v>
      </c>
      <c r="C185" s="37">
        <v>0</v>
      </c>
      <c r="D185" s="37">
        <v>0</v>
      </c>
      <c r="E185" s="37">
        <v>0</v>
      </c>
      <c r="F185" s="37">
        <v>0</v>
      </c>
      <c r="G185" s="37">
        <v>0</v>
      </c>
      <c r="H185" s="37">
        <v>0</v>
      </c>
      <c r="I185" s="40">
        <v>0</v>
      </c>
      <c r="J185" s="59">
        <f>SUM(B185:I185)</f>
        <v>3</v>
      </c>
      <c r="L185" s="36">
        <v>0</v>
      </c>
      <c r="M185" s="37">
        <v>0</v>
      </c>
      <c r="N185" s="37">
        <v>0</v>
      </c>
      <c r="O185" s="37">
        <v>0</v>
      </c>
      <c r="P185" s="37">
        <v>0</v>
      </c>
      <c r="Q185" s="37">
        <v>0</v>
      </c>
      <c r="R185" s="37">
        <v>0</v>
      </c>
      <c r="S185" s="40">
        <v>0</v>
      </c>
      <c r="T185" s="59">
        <f>SUM(L185:S185)</f>
        <v>0</v>
      </c>
      <c r="V185" s="36">
        <v>0</v>
      </c>
      <c r="W185" s="37">
        <v>2</v>
      </c>
      <c r="X185" s="37">
        <v>0</v>
      </c>
      <c r="Y185" s="37">
        <v>0</v>
      </c>
      <c r="Z185" s="37">
        <v>0</v>
      </c>
      <c r="AA185" s="37">
        <v>0</v>
      </c>
      <c r="AB185" s="37">
        <v>0</v>
      </c>
      <c r="AC185" s="40">
        <v>0</v>
      </c>
      <c r="AD185" s="59">
        <f>SUM(V185:AC185)</f>
        <v>2</v>
      </c>
      <c r="AF185" s="36">
        <v>46</v>
      </c>
      <c r="AG185" s="37">
        <v>3</v>
      </c>
      <c r="AH185" s="37">
        <v>1</v>
      </c>
      <c r="AI185" s="37">
        <v>0</v>
      </c>
      <c r="AJ185" s="37">
        <v>2</v>
      </c>
      <c r="AK185" s="37">
        <v>0</v>
      </c>
      <c r="AL185" s="37">
        <v>1</v>
      </c>
      <c r="AM185" s="40">
        <v>0</v>
      </c>
      <c r="AN185" s="59">
        <f>SUM(AF185:AM185)</f>
        <v>53</v>
      </c>
      <c r="AP185" s="59">
        <f>SUM(J185+T185+AD185+AN185)</f>
        <v>58</v>
      </c>
    </row>
    <row r="186" spans="1:42" ht="15.75" customHeight="1">
      <c r="A186" s="58">
        <v>0.47916666666666669</v>
      </c>
      <c r="B186" s="36">
        <v>7</v>
      </c>
      <c r="C186" s="37">
        <v>2</v>
      </c>
      <c r="D186" s="37">
        <v>1</v>
      </c>
      <c r="E186" s="37">
        <v>0</v>
      </c>
      <c r="F186" s="37">
        <v>0</v>
      </c>
      <c r="G186" s="37">
        <v>0</v>
      </c>
      <c r="H186" s="37">
        <v>1</v>
      </c>
      <c r="I186" s="40">
        <v>0</v>
      </c>
      <c r="J186" s="59">
        <f>SUM(B186:I186)</f>
        <v>11</v>
      </c>
      <c r="L186" s="36">
        <v>0</v>
      </c>
      <c r="M186" s="37">
        <v>0</v>
      </c>
      <c r="N186" s="37">
        <v>0</v>
      </c>
      <c r="O186" s="37">
        <v>0</v>
      </c>
      <c r="P186" s="37">
        <v>0</v>
      </c>
      <c r="Q186" s="37">
        <v>0</v>
      </c>
      <c r="R186" s="37">
        <v>0</v>
      </c>
      <c r="S186" s="40">
        <v>0</v>
      </c>
      <c r="T186" s="59">
        <f>SUM(L186:S186)</f>
        <v>0</v>
      </c>
      <c r="V186" s="36">
        <v>1</v>
      </c>
      <c r="W186" s="37">
        <v>1</v>
      </c>
      <c r="X186" s="37">
        <v>0</v>
      </c>
      <c r="Y186" s="37">
        <v>0</v>
      </c>
      <c r="Z186" s="37">
        <v>0</v>
      </c>
      <c r="AA186" s="37">
        <v>0</v>
      </c>
      <c r="AB186" s="37">
        <v>0</v>
      </c>
      <c r="AC186" s="40">
        <v>0</v>
      </c>
      <c r="AD186" s="59">
        <f>SUM(V186:AC186)</f>
        <v>2</v>
      </c>
      <c r="AF186" s="36">
        <v>48</v>
      </c>
      <c r="AG186" s="37">
        <v>5</v>
      </c>
      <c r="AH186" s="37">
        <v>2</v>
      </c>
      <c r="AI186" s="37">
        <v>0</v>
      </c>
      <c r="AJ186" s="37">
        <v>2</v>
      </c>
      <c r="AK186" s="37">
        <v>2</v>
      </c>
      <c r="AL186" s="37">
        <v>1</v>
      </c>
      <c r="AM186" s="40">
        <v>0</v>
      </c>
      <c r="AN186" s="59">
        <f>SUM(AF186:AM186)</f>
        <v>60</v>
      </c>
      <c r="AP186" s="59">
        <f>SUM(J186+T186+AD186+AN186)</f>
        <v>73</v>
      </c>
    </row>
    <row r="187" spans="1:42" ht="15.75" customHeight="1">
      <c r="A187" s="60">
        <v>0.48958333333333331</v>
      </c>
      <c r="B187" s="41">
        <v>12</v>
      </c>
      <c r="C187" s="42">
        <v>2</v>
      </c>
      <c r="D187" s="42">
        <v>0</v>
      </c>
      <c r="E187" s="42">
        <v>0</v>
      </c>
      <c r="F187" s="42">
        <v>0</v>
      </c>
      <c r="G187" s="42">
        <v>0</v>
      </c>
      <c r="H187" s="42">
        <v>3</v>
      </c>
      <c r="I187" s="43">
        <v>0</v>
      </c>
      <c r="J187" s="61">
        <f>SUM(B187:I187)</f>
        <v>17</v>
      </c>
      <c r="L187" s="41">
        <v>0</v>
      </c>
      <c r="M187" s="42">
        <v>0</v>
      </c>
      <c r="N187" s="42">
        <v>0</v>
      </c>
      <c r="O187" s="42">
        <v>0</v>
      </c>
      <c r="P187" s="42">
        <v>0</v>
      </c>
      <c r="Q187" s="42">
        <v>0</v>
      </c>
      <c r="R187" s="42">
        <v>0</v>
      </c>
      <c r="S187" s="43">
        <v>0</v>
      </c>
      <c r="T187" s="61">
        <f>SUM(L187:S187)</f>
        <v>0</v>
      </c>
      <c r="V187" s="41">
        <v>0</v>
      </c>
      <c r="W187" s="42">
        <v>0</v>
      </c>
      <c r="X187" s="42">
        <v>0</v>
      </c>
      <c r="Y187" s="42">
        <v>0</v>
      </c>
      <c r="Z187" s="42">
        <v>0</v>
      </c>
      <c r="AA187" s="42">
        <v>0</v>
      </c>
      <c r="AB187" s="42">
        <v>0</v>
      </c>
      <c r="AC187" s="43">
        <v>0</v>
      </c>
      <c r="AD187" s="61">
        <f>SUM(V187:AC187)</f>
        <v>0</v>
      </c>
      <c r="AF187" s="41">
        <v>35</v>
      </c>
      <c r="AG187" s="42">
        <v>20</v>
      </c>
      <c r="AH187" s="42">
        <v>4</v>
      </c>
      <c r="AI187" s="42">
        <v>0</v>
      </c>
      <c r="AJ187" s="42">
        <v>2</v>
      </c>
      <c r="AK187" s="42">
        <v>0</v>
      </c>
      <c r="AL187" s="42">
        <v>1</v>
      </c>
      <c r="AM187" s="43">
        <v>0</v>
      </c>
      <c r="AN187" s="61">
        <f>SUM(AF187:AM187)</f>
        <v>62</v>
      </c>
      <c r="AP187" s="61">
        <f>SUM(J187+T187+AD187+AN187)</f>
        <v>79</v>
      </c>
    </row>
    <row r="188" spans="1:42" ht="15.75" customHeight="1">
      <c r="A188" s="48" t="s">
        <v>29</v>
      </c>
      <c r="B188" s="45">
        <f t="shared" ref="B188:J188" si="136">SUM(B184:B187)</f>
        <v>30</v>
      </c>
      <c r="C188" s="46">
        <f t="shared" si="136"/>
        <v>5</v>
      </c>
      <c r="D188" s="46">
        <f t="shared" si="136"/>
        <v>1</v>
      </c>
      <c r="E188" s="46">
        <f t="shared" si="136"/>
        <v>0</v>
      </c>
      <c r="F188" s="46">
        <f t="shared" si="136"/>
        <v>0</v>
      </c>
      <c r="G188" s="46">
        <f t="shared" si="136"/>
        <v>0</v>
      </c>
      <c r="H188" s="46">
        <f t="shared" si="136"/>
        <v>7</v>
      </c>
      <c r="I188" s="47">
        <f t="shared" si="136"/>
        <v>0</v>
      </c>
      <c r="J188" s="48">
        <f t="shared" si="136"/>
        <v>43</v>
      </c>
      <c r="L188" s="45">
        <f t="shared" ref="L188:T188" si="137">SUM(L184:L187)</f>
        <v>0</v>
      </c>
      <c r="M188" s="46">
        <f t="shared" si="137"/>
        <v>0</v>
      </c>
      <c r="N188" s="46">
        <f t="shared" si="137"/>
        <v>0</v>
      </c>
      <c r="O188" s="46">
        <f t="shared" si="137"/>
        <v>0</v>
      </c>
      <c r="P188" s="46">
        <f t="shared" si="137"/>
        <v>0</v>
      </c>
      <c r="Q188" s="46">
        <f t="shared" si="137"/>
        <v>0</v>
      </c>
      <c r="R188" s="46">
        <f t="shared" si="137"/>
        <v>0</v>
      </c>
      <c r="S188" s="47">
        <f t="shared" si="137"/>
        <v>0</v>
      </c>
      <c r="T188" s="48">
        <f t="shared" si="137"/>
        <v>0</v>
      </c>
      <c r="V188" s="45">
        <f t="shared" ref="V188:AD188" si="138">SUM(V184:V187)</f>
        <v>3</v>
      </c>
      <c r="W188" s="46">
        <f t="shared" si="138"/>
        <v>3</v>
      </c>
      <c r="X188" s="46">
        <f t="shared" si="138"/>
        <v>0</v>
      </c>
      <c r="Y188" s="46">
        <f t="shared" si="138"/>
        <v>0</v>
      </c>
      <c r="Z188" s="46">
        <f t="shared" si="138"/>
        <v>0</v>
      </c>
      <c r="AA188" s="46">
        <f t="shared" si="138"/>
        <v>0</v>
      </c>
      <c r="AB188" s="46">
        <f t="shared" si="138"/>
        <v>0</v>
      </c>
      <c r="AC188" s="47">
        <f t="shared" si="138"/>
        <v>0</v>
      </c>
      <c r="AD188" s="48">
        <f t="shared" si="138"/>
        <v>6</v>
      </c>
      <c r="AF188" s="45">
        <f t="shared" ref="AF188:AN188" si="139">SUM(AF184:AF187)</f>
        <v>183</v>
      </c>
      <c r="AG188" s="46">
        <f t="shared" si="139"/>
        <v>38</v>
      </c>
      <c r="AH188" s="46">
        <f t="shared" si="139"/>
        <v>10</v>
      </c>
      <c r="AI188" s="46">
        <f t="shared" si="139"/>
        <v>3</v>
      </c>
      <c r="AJ188" s="46">
        <f t="shared" si="139"/>
        <v>6</v>
      </c>
      <c r="AK188" s="46">
        <f t="shared" si="139"/>
        <v>2</v>
      </c>
      <c r="AL188" s="46">
        <f t="shared" si="139"/>
        <v>5</v>
      </c>
      <c r="AM188" s="47">
        <f t="shared" si="139"/>
        <v>0</v>
      </c>
      <c r="AN188" s="48">
        <f t="shared" si="139"/>
        <v>247</v>
      </c>
      <c r="AP188" s="48">
        <f>SUM(AP184:AP187)</f>
        <v>296</v>
      </c>
    </row>
    <row r="189" spans="1:42" ht="15.75" customHeight="1">
      <c r="A189" s="56">
        <v>0.5</v>
      </c>
      <c r="B189" s="32">
        <v>10</v>
      </c>
      <c r="C189" s="33">
        <v>2</v>
      </c>
      <c r="D189" s="33">
        <v>1</v>
      </c>
      <c r="E189" s="33">
        <v>0</v>
      </c>
      <c r="F189" s="33">
        <v>0</v>
      </c>
      <c r="G189" s="33">
        <v>0</v>
      </c>
      <c r="H189" s="33">
        <v>1</v>
      </c>
      <c r="I189" s="34">
        <v>0</v>
      </c>
      <c r="J189" s="57">
        <f>SUM(B189:I189)</f>
        <v>14</v>
      </c>
      <c r="L189" s="32">
        <v>0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33">
        <v>0</v>
      </c>
      <c r="S189" s="34">
        <v>0</v>
      </c>
      <c r="T189" s="57">
        <f>SUM(L189:S189)</f>
        <v>0</v>
      </c>
      <c r="V189" s="32">
        <v>1</v>
      </c>
      <c r="W189" s="33">
        <v>0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4">
        <v>0</v>
      </c>
      <c r="AD189" s="57">
        <f>SUM(V189:AC189)</f>
        <v>1</v>
      </c>
      <c r="AF189" s="32">
        <v>63</v>
      </c>
      <c r="AG189" s="33">
        <v>12</v>
      </c>
      <c r="AH189" s="33">
        <v>0</v>
      </c>
      <c r="AI189" s="33">
        <v>0</v>
      </c>
      <c r="AJ189" s="33">
        <v>2</v>
      </c>
      <c r="AK189" s="33">
        <v>1</v>
      </c>
      <c r="AL189" s="33">
        <v>3</v>
      </c>
      <c r="AM189" s="34">
        <v>0</v>
      </c>
      <c r="AN189" s="57">
        <f>SUM(AF189:AM189)</f>
        <v>81</v>
      </c>
      <c r="AP189" s="57">
        <f>SUM(J189+T189+AD189+AN189)</f>
        <v>96</v>
      </c>
    </row>
    <row r="190" spans="1:42" ht="15.75" customHeight="1">
      <c r="A190" s="58">
        <v>0.51041666666666663</v>
      </c>
      <c r="B190" s="36">
        <v>9</v>
      </c>
      <c r="C190" s="37">
        <v>2</v>
      </c>
      <c r="D190" s="37">
        <v>0</v>
      </c>
      <c r="E190" s="37">
        <v>0</v>
      </c>
      <c r="F190" s="37">
        <v>0</v>
      </c>
      <c r="G190" s="37">
        <v>0</v>
      </c>
      <c r="H190" s="37">
        <v>2</v>
      </c>
      <c r="I190" s="40">
        <v>0</v>
      </c>
      <c r="J190" s="59">
        <f>SUM(B190:I190)</f>
        <v>13</v>
      </c>
      <c r="L190" s="36">
        <v>0</v>
      </c>
      <c r="M190" s="37">
        <v>0</v>
      </c>
      <c r="N190" s="37">
        <v>0</v>
      </c>
      <c r="O190" s="37">
        <v>0</v>
      </c>
      <c r="P190" s="37">
        <v>0</v>
      </c>
      <c r="Q190" s="37">
        <v>0</v>
      </c>
      <c r="R190" s="37">
        <v>0</v>
      </c>
      <c r="S190" s="40">
        <v>0</v>
      </c>
      <c r="T190" s="59">
        <f>SUM(L190:S190)</f>
        <v>0</v>
      </c>
      <c r="V190" s="36">
        <v>0</v>
      </c>
      <c r="W190" s="37">
        <v>0</v>
      </c>
      <c r="X190" s="37">
        <v>0</v>
      </c>
      <c r="Y190" s="37">
        <v>0</v>
      </c>
      <c r="Z190" s="37">
        <v>0</v>
      </c>
      <c r="AA190" s="37">
        <v>0</v>
      </c>
      <c r="AB190" s="37">
        <v>0</v>
      </c>
      <c r="AC190" s="40">
        <v>0</v>
      </c>
      <c r="AD190" s="59">
        <f>SUM(V190:AC190)</f>
        <v>0</v>
      </c>
      <c r="AF190" s="36">
        <v>51</v>
      </c>
      <c r="AG190" s="37">
        <v>11</v>
      </c>
      <c r="AH190" s="37">
        <v>3</v>
      </c>
      <c r="AI190" s="37">
        <v>1</v>
      </c>
      <c r="AJ190" s="37">
        <v>2</v>
      </c>
      <c r="AK190" s="37">
        <v>0</v>
      </c>
      <c r="AL190" s="37">
        <v>6</v>
      </c>
      <c r="AM190" s="40">
        <v>0</v>
      </c>
      <c r="AN190" s="59">
        <f>SUM(AF190:AM190)</f>
        <v>74</v>
      </c>
      <c r="AP190" s="59">
        <f>SUM(J190+T190+AD190+AN190)</f>
        <v>87</v>
      </c>
    </row>
    <row r="191" spans="1:42" ht="15.75" customHeight="1">
      <c r="A191" s="58">
        <v>0.52083333333333337</v>
      </c>
      <c r="B191" s="36">
        <v>4</v>
      </c>
      <c r="C191" s="37">
        <v>1</v>
      </c>
      <c r="D191" s="37">
        <v>0</v>
      </c>
      <c r="E191" s="37">
        <v>0</v>
      </c>
      <c r="F191" s="37">
        <v>0</v>
      </c>
      <c r="G191" s="37">
        <v>1</v>
      </c>
      <c r="H191" s="37">
        <v>1</v>
      </c>
      <c r="I191" s="40">
        <v>0</v>
      </c>
      <c r="J191" s="59">
        <f>SUM(B191:I191)</f>
        <v>7</v>
      </c>
      <c r="L191" s="36">
        <v>0</v>
      </c>
      <c r="M191" s="37">
        <v>0</v>
      </c>
      <c r="N191" s="37">
        <v>0</v>
      </c>
      <c r="O191" s="37">
        <v>0</v>
      </c>
      <c r="P191" s="37">
        <v>0</v>
      </c>
      <c r="Q191" s="37">
        <v>0</v>
      </c>
      <c r="R191" s="37">
        <v>0</v>
      </c>
      <c r="S191" s="40">
        <v>0</v>
      </c>
      <c r="T191" s="59">
        <f>SUM(L191:S191)</f>
        <v>0</v>
      </c>
      <c r="V191" s="36">
        <v>0</v>
      </c>
      <c r="W191" s="37">
        <v>1</v>
      </c>
      <c r="X191" s="37">
        <v>0</v>
      </c>
      <c r="Y191" s="37">
        <v>0</v>
      </c>
      <c r="Z191" s="37">
        <v>0</v>
      </c>
      <c r="AA191" s="37">
        <v>0</v>
      </c>
      <c r="AB191" s="37">
        <v>0</v>
      </c>
      <c r="AC191" s="40">
        <v>0</v>
      </c>
      <c r="AD191" s="59">
        <f>SUM(V191:AC191)</f>
        <v>1</v>
      </c>
      <c r="AF191" s="36">
        <v>63</v>
      </c>
      <c r="AG191" s="37">
        <v>8</v>
      </c>
      <c r="AH191" s="37">
        <v>1</v>
      </c>
      <c r="AI191" s="37">
        <v>0</v>
      </c>
      <c r="AJ191" s="37">
        <v>1</v>
      </c>
      <c r="AK191" s="37">
        <v>1</v>
      </c>
      <c r="AL191" s="37">
        <v>0</v>
      </c>
      <c r="AM191" s="40">
        <v>0</v>
      </c>
      <c r="AN191" s="59">
        <f>SUM(AF191:AM191)</f>
        <v>74</v>
      </c>
      <c r="AP191" s="59">
        <f>SUM(J191+T191+AD191+AN191)</f>
        <v>82</v>
      </c>
    </row>
    <row r="192" spans="1:42" ht="15.75" customHeight="1">
      <c r="A192" s="60">
        <v>0.53125</v>
      </c>
      <c r="B192" s="41">
        <v>6</v>
      </c>
      <c r="C192" s="42">
        <v>1</v>
      </c>
      <c r="D192" s="42">
        <v>1</v>
      </c>
      <c r="E192" s="42">
        <v>0</v>
      </c>
      <c r="F192" s="42">
        <v>0</v>
      </c>
      <c r="G192" s="42">
        <v>0</v>
      </c>
      <c r="H192" s="42">
        <v>5</v>
      </c>
      <c r="I192" s="43">
        <v>0</v>
      </c>
      <c r="J192" s="61">
        <f>SUM(B192:I192)</f>
        <v>13</v>
      </c>
      <c r="L192" s="41">
        <v>0</v>
      </c>
      <c r="M192" s="42">
        <v>0</v>
      </c>
      <c r="N192" s="42">
        <v>0</v>
      </c>
      <c r="O192" s="42">
        <v>0</v>
      </c>
      <c r="P192" s="42">
        <v>0</v>
      </c>
      <c r="Q192" s="42">
        <v>0</v>
      </c>
      <c r="R192" s="42">
        <v>0</v>
      </c>
      <c r="S192" s="43">
        <v>0</v>
      </c>
      <c r="T192" s="61">
        <f>SUM(L192:S192)</f>
        <v>0</v>
      </c>
      <c r="V192" s="41">
        <v>0</v>
      </c>
      <c r="W192" s="42">
        <v>2</v>
      </c>
      <c r="X192" s="42">
        <v>0</v>
      </c>
      <c r="Y192" s="42">
        <v>0</v>
      </c>
      <c r="Z192" s="42">
        <v>0</v>
      </c>
      <c r="AA192" s="42">
        <v>0</v>
      </c>
      <c r="AB192" s="42">
        <v>0</v>
      </c>
      <c r="AC192" s="43">
        <v>0</v>
      </c>
      <c r="AD192" s="61">
        <f>SUM(V192:AC192)</f>
        <v>2</v>
      </c>
      <c r="AF192" s="41">
        <v>61</v>
      </c>
      <c r="AG192" s="42">
        <v>5</v>
      </c>
      <c r="AH192" s="42">
        <v>2</v>
      </c>
      <c r="AI192" s="42">
        <v>0</v>
      </c>
      <c r="AJ192" s="42">
        <v>2</v>
      </c>
      <c r="AK192" s="42">
        <v>1</v>
      </c>
      <c r="AL192" s="42">
        <v>1</v>
      </c>
      <c r="AM192" s="43">
        <v>0</v>
      </c>
      <c r="AN192" s="61">
        <f>SUM(AF192:AM192)</f>
        <v>72</v>
      </c>
      <c r="AP192" s="61">
        <f>SUM(J192+T192+AD192+AN192)</f>
        <v>87</v>
      </c>
    </row>
    <row r="193" spans="1:42" ht="15.75" customHeight="1">
      <c r="A193" s="48" t="s">
        <v>29</v>
      </c>
      <c r="B193" s="45">
        <f t="shared" ref="B193:J193" si="140">SUM(B189:B192)</f>
        <v>29</v>
      </c>
      <c r="C193" s="46">
        <f t="shared" si="140"/>
        <v>6</v>
      </c>
      <c r="D193" s="46">
        <f t="shared" si="140"/>
        <v>2</v>
      </c>
      <c r="E193" s="46">
        <f t="shared" si="140"/>
        <v>0</v>
      </c>
      <c r="F193" s="46">
        <f t="shared" si="140"/>
        <v>0</v>
      </c>
      <c r="G193" s="46">
        <f t="shared" si="140"/>
        <v>1</v>
      </c>
      <c r="H193" s="46">
        <f t="shared" si="140"/>
        <v>9</v>
      </c>
      <c r="I193" s="47">
        <f t="shared" si="140"/>
        <v>0</v>
      </c>
      <c r="J193" s="48">
        <f t="shared" si="140"/>
        <v>47</v>
      </c>
      <c r="L193" s="45">
        <f t="shared" ref="L193:T193" si="141">SUM(L189:L192)</f>
        <v>0</v>
      </c>
      <c r="M193" s="46">
        <f t="shared" si="141"/>
        <v>0</v>
      </c>
      <c r="N193" s="46">
        <f t="shared" si="141"/>
        <v>0</v>
      </c>
      <c r="O193" s="46">
        <f t="shared" si="141"/>
        <v>0</v>
      </c>
      <c r="P193" s="46">
        <f t="shared" si="141"/>
        <v>0</v>
      </c>
      <c r="Q193" s="46">
        <f t="shared" si="141"/>
        <v>0</v>
      </c>
      <c r="R193" s="46">
        <f t="shared" si="141"/>
        <v>0</v>
      </c>
      <c r="S193" s="47">
        <f t="shared" si="141"/>
        <v>0</v>
      </c>
      <c r="T193" s="48">
        <f t="shared" si="141"/>
        <v>0</v>
      </c>
      <c r="V193" s="45">
        <f t="shared" ref="V193:AD193" si="142">SUM(V189:V192)</f>
        <v>1</v>
      </c>
      <c r="W193" s="46">
        <f t="shared" si="142"/>
        <v>3</v>
      </c>
      <c r="X193" s="46">
        <f t="shared" si="142"/>
        <v>0</v>
      </c>
      <c r="Y193" s="46">
        <f t="shared" si="142"/>
        <v>0</v>
      </c>
      <c r="Z193" s="46">
        <f t="shared" si="142"/>
        <v>0</v>
      </c>
      <c r="AA193" s="46">
        <f t="shared" si="142"/>
        <v>0</v>
      </c>
      <c r="AB193" s="46">
        <f t="shared" si="142"/>
        <v>0</v>
      </c>
      <c r="AC193" s="47">
        <f t="shared" si="142"/>
        <v>0</v>
      </c>
      <c r="AD193" s="48">
        <f t="shared" si="142"/>
        <v>4</v>
      </c>
      <c r="AF193" s="45">
        <f t="shared" ref="AF193:AN193" si="143">SUM(AF189:AF192)</f>
        <v>238</v>
      </c>
      <c r="AG193" s="46">
        <f t="shared" si="143"/>
        <v>36</v>
      </c>
      <c r="AH193" s="46">
        <f t="shared" si="143"/>
        <v>6</v>
      </c>
      <c r="AI193" s="46">
        <f t="shared" si="143"/>
        <v>1</v>
      </c>
      <c r="AJ193" s="46">
        <f t="shared" si="143"/>
        <v>7</v>
      </c>
      <c r="AK193" s="46">
        <f t="shared" si="143"/>
        <v>3</v>
      </c>
      <c r="AL193" s="46">
        <f t="shared" si="143"/>
        <v>10</v>
      </c>
      <c r="AM193" s="47">
        <f t="shared" si="143"/>
        <v>0</v>
      </c>
      <c r="AN193" s="48">
        <f t="shared" si="143"/>
        <v>301</v>
      </c>
      <c r="AP193" s="48">
        <f>SUM(AP189:AP192)</f>
        <v>352</v>
      </c>
    </row>
    <row r="195" spans="1:42" ht="15.75" customHeight="1">
      <c r="A195" s="48" t="s">
        <v>30</v>
      </c>
      <c r="B195" s="45">
        <f t="shared" ref="B195:J195" si="144">SUM(B193+B188+B183+B178+B173+B168)</f>
        <v>338</v>
      </c>
      <c r="C195" s="46">
        <f t="shared" si="144"/>
        <v>43</v>
      </c>
      <c r="D195" s="46">
        <f t="shared" si="144"/>
        <v>5</v>
      </c>
      <c r="E195" s="46">
        <f t="shared" si="144"/>
        <v>2</v>
      </c>
      <c r="F195" s="46">
        <f t="shared" si="144"/>
        <v>0</v>
      </c>
      <c r="G195" s="46">
        <f t="shared" si="144"/>
        <v>7</v>
      </c>
      <c r="H195" s="46">
        <f t="shared" si="144"/>
        <v>171</v>
      </c>
      <c r="I195" s="47">
        <f t="shared" si="144"/>
        <v>0</v>
      </c>
      <c r="J195" s="48">
        <f t="shared" si="144"/>
        <v>566</v>
      </c>
      <c r="L195" s="45">
        <f t="shared" ref="L195:T195" si="145">SUM(L193+L188+L183+L178+L173+L168)</f>
        <v>0</v>
      </c>
      <c r="M195" s="46">
        <f t="shared" si="145"/>
        <v>1</v>
      </c>
      <c r="N195" s="46">
        <f t="shared" si="145"/>
        <v>0</v>
      </c>
      <c r="O195" s="46">
        <f t="shared" si="145"/>
        <v>0</v>
      </c>
      <c r="P195" s="46">
        <f t="shared" si="145"/>
        <v>0</v>
      </c>
      <c r="Q195" s="46">
        <f t="shared" si="145"/>
        <v>0</v>
      </c>
      <c r="R195" s="46">
        <f t="shared" si="145"/>
        <v>0</v>
      </c>
      <c r="S195" s="47">
        <f t="shared" si="145"/>
        <v>0</v>
      </c>
      <c r="T195" s="48">
        <f t="shared" si="145"/>
        <v>1</v>
      </c>
      <c r="V195" s="45">
        <f t="shared" ref="V195:AD195" si="146">SUM(V193+V188+V183+V178+V173+V168)</f>
        <v>14</v>
      </c>
      <c r="W195" s="46">
        <f t="shared" si="146"/>
        <v>9</v>
      </c>
      <c r="X195" s="46">
        <f t="shared" si="146"/>
        <v>0</v>
      </c>
      <c r="Y195" s="46">
        <f t="shared" si="146"/>
        <v>0</v>
      </c>
      <c r="Z195" s="46">
        <f t="shared" si="146"/>
        <v>0</v>
      </c>
      <c r="AA195" s="46">
        <f t="shared" si="146"/>
        <v>0</v>
      </c>
      <c r="AB195" s="46">
        <f t="shared" si="146"/>
        <v>0</v>
      </c>
      <c r="AC195" s="47">
        <f t="shared" si="146"/>
        <v>0</v>
      </c>
      <c r="AD195" s="48">
        <f t="shared" si="146"/>
        <v>23</v>
      </c>
      <c r="AF195" s="45">
        <f t="shared" ref="AF195:AN195" si="147">SUM(AF193+AF188+AF183+AF178+AF173+AF168)</f>
        <v>1557</v>
      </c>
      <c r="AG195" s="46">
        <f t="shared" si="147"/>
        <v>276</v>
      </c>
      <c r="AH195" s="46">
        <f t="shared" si="147"/>
        <v>42</v>
      </c>
      <c r="AI195" s="46">
        <f t="shared" si="147"/>
        <v>14</v>
      </c>
      <c r="AJ195" s="46">
        <f t="shared" si="147"/>
        <v>24</v>
      </c>
      <c r="AK195" s="46">
        <f t="shared" si="147"/>
        <v>34</v>
      </c>
      <c r="AL195" s="46">
        <f t="shared" si="147"/>
        <v>56</v>
      </c>
      <c r="AM195" s="47">
        <f t="shared" si="147"/>
        <v>0</v>
      </c>
      <c r="AN195" s="48">
        <f t="shared" si="147"/>
        <v>2003</v>
      </c>
      <c r="AP195" s="48">
        <f>SUM(AP193+AP188+AP183+AP178+AP173+AP168)</f>
        <v>2593</v>
      </c>
    </row>
    <row r="197" spans="1:42" ht="15.75" customHeight="1">
      <c r="A197" s="44" t="s">
        <v>14</v>
      </c>
      <c r="B197" s="44" t="str">
        <f>$X$9</f>
        <v>Arm C - Commerical Road</v>
      </c>
    </row>
    <row r="198" spans="1:42" ht="15.75" customHeight="1">
      <c r="B198" s="45" t="s">
        <v>16</v>
      </c>
      <c r="C198" s="46"/>
      <c r="D198" s="46" t="str">
        <f>$D$9</f>
        <v>Arm A - Wapping Road</v>
      </c>
      <c r="E198" s="46"/>
      <c r="F198" s="46"/>
      <c r="G198" s="46"/>
      <c r="H198" s="46"/>
      <c r="I198" s="47"/>
      <c r="J198" s="48"/>
      <c r="L198" s="45" t="s">
        <v>16</v>
      </c>
      <c r="M198" s="46"/>
      <c r="N198" s="46" t="str">
        <f>$N$9</f>
        <v>Arm B - River Path</v>
      </c>
      <c r="O198" s="46"/>
      <c r="P198" s="46"/>
      <c r="Q198" s="46"/>
      <c r="R198" s="46"/>
      <c r="S198" s="47"/>
      <c r="T198" s="48"/>
      <c r="V198" s="45" t="s">
        <v>16</v>
      </c>
      <c r="W198" s="46"/>
      <c r="X198" s="46" t="str">
        <f>$X$9</f>
        <v>Arm C - Commerical Road</v>
      </c>
      <c r="Y198" s="46"/>
      <c r="Z198" s="46"/>
      <c r="AA198" s="46"/>
      <c r="AB198" s="46"/>
      <c r="AC198" s="47"/>
      <c r="AD198" s="48"/>
      <c r="AF198" s="45" t="s">
        <v>16</v>
      </c>
      <c r="AG198" s="46"/>
      <c r="AH198" s="46" t="str">
        <f>$AH$9</f>
        <v>Arm D - Cumberland Road</v>
      </c>
      <c r="AI198" s="46"/>
      <c r="AJ198" s="46"/>
      <c r="AK198" s="46"/>
      <c r="AL198" s="46"/>
      <c r="AM198" s="47"/>
      <c r="AN198" s="48"/>
      <c r="AP198" s="49" t="s">
        <v>28</v>
      </c>
    </row>
    <row r="199" spans="1:42" s="50" customFormat="1" ht="15.75" customHeight="1">
      <c r="B199" s="51" t="str">
        <f>$B$10</f>
        <v>CAR</v>
      </c>
      <c r="C199" s="52" t="str">
        <f>$C$10</f>
        <v>LGV</v>
      </c>
      <c r="D199" s="52" t="str">
        <f>$D$10</f>
        <v>OGV1</v>
      </c>
      <c r="E199" s="52" t="str">
        <f>$E$10</f>
        <v>OGV2</v>
      </c>
      <c r="F199" s="52" t="str">
        <f>$F$10</f>
        <v>PSV</v>
      </c>
      <c r="G199" s="52" t="str">
        <f>$G$10</f>
        <v>MC</v>
      </c>
      <c r="H199" s="52" t="str">
        <f>$H$10</f>
        <v>PC</v>
      </c>
      <c r="I199" s="53" t="str">
        <f>$I$10</f>
        <v>PC</v>
      </c>
      <c r="J199" s="54" t="s">
        <v>24</v>
      </c>
      <c r="L199" s="51" t="str">
        <f>$B$10</f>
        <v>CAR</v>
      </c>
      <c r="M199" s="52" t="str">
        <f>$C$10</f>
        <v>LGV</v>
      </c>
      <c r="N199" s="52" t="str">
        <f>$D$10</f>
        <v>OGV1</v>
      </c>
      <c r="O199" s="52" t="str">
        <f>$E$10</f>
        <v>OGV2</v>
      </c>
      <c r="P199" s="52" t="str">
        <f>$F$10</f>
        <v>PSV</v>
      </c>
      <c r="Q199" s="52" t="str">
        <f>$G$10</f>
        <v>MC</v>
      </c>
      <c r="R199" s="52" t="str">
        <f>$H$10</f>
        <v>PC</v>
      </c>
      <c r="S199" s="53" t="str">
        <f>$I$10</f>
        <v>PC</v>
      </c>
      <c r="T199" s="54" t="s">
        <v>24</v>
      </c>
      <c r="V199" s="51" t="str">
        <f>$B$10</f>
        <v>CAR</v>
      </c>
      <c r="W199" s="52" t="str">
        <f>$C$10</f>
        <v>LGV</v>
      </c>
      <c r="X199" s="52" t="str">
        <f>$D$10</f>
        <v>OGV1</v>
      </c>
      <c r="Y199" s="52" t="str">
        <f>$E$10</f>
        <v>OGV2</v>
      </c>
      <c r="Z199" s="52" t="str">
        <f>$F$10</f>
        <v>PSV</v>
      </c>
      <c r="AA199" s="52" t="str">
        <f>$G$10</f>
        <v>MC</v>
      </c>
      <c r="AB199" s="52" t="str">
        <f>$H$10</f>
        <v>PC</v>
      </c>
      <c r="AC199" s="53" t="str">
        <f>$I$10</f>
        <v>PC</v>
      </c>
      <c r="AD199" s="54" t="s">
        <v>24</v>
      </c>
      <c r="AF199" s="51" t="str">
        <f>$B$10</f>
        <v>CAR</v>
      </c>
      <c r="AG199" s="52" t="str">
        <f>$C$10</f>
        <v>LGV</v>
      </c>
      <c r="AH199" s="52" t="str">
        <f>$D$10</f>
        <v>OGV1</v>
      </c>
      <c r="AI199" s="52" t="str">
        <f>$E$10</f>
        <v>OGV2</v>
      </c>
      <c r="AJ199" s="52" t="str">
        <f>$F$10</f>
        <v>PSV</v>
      </c>
      <c r="AK199" s="52" t="str">
        <f>$G$10</f>
        <v>MC</v>
      </c>
      <c r="AL199" s="52" t="str">
        <f>$H$10</f>
        <v>PC</v>
      </c>
      <c r="AM199" s="53" t="str">
        <f>$I$10</f>
        <v>PC</v>
      </c>
      <c r="AN199" s="54" t="s">
        <v>24</v>
      </c>
      <c r="AP199" s="55"/>
    </row>
    <row r="201" spans="1:42" ht="15.75" customHeight="1">
      <c r="A201" s="56">
        <v>0.54166666666666663</v>
      </c>
      <c r="B201" s="32">
        <v>8</v>
      </c>
      <c r="C201" s="33">
        <v>0</v>
      </c>
      <c r="D201" s="33">
        <v>0</v>
      </c>
      <c r="E201" s="33">
        <v>0</v>
      </c>
      <c r="F201" s="33">
        <v>0</v>
      </c>
      <c r="G201" s="33">
        <v>0</v>
      </c>
      <c r="H201" s="33">
        <v>3</v>
      </c>
      <c r="I201" s="34">
        <v>0</v>
      </c>
      <c r="J201" s="57">
        <f>SUM(B201:I201)</f>
        <v>11</v>
      </c>
      <c r="L201" s="32">
        <v>0</v>
      </c>
      <c r="M201" s="33">
        <v>0</v>
      </c>
      <c r="N201" s="33">
        <v>0</v>
      </c>
      <c r="O201" s="33">
        <v>0</v>
      </c>
      <c r="P201" s="33">
        <v>0</v>
      </c>
      <c r="Q201" s="33">
        <v>0</v>
      </c>
      <c r="R201" s="33">
        <v>0</v>
      </c>
      <c r="S201" s="34">
        <v>0</v>
      </c>
      <c r="T201" s="57">
        <f>SUM(L201:S201)</f>
        <v>0</v>
      </c>
      <c r="V201" s="32">
        <v>0</v>
      </c>
      <c r="W201" s="33">
        <v>0</v>
      </c>
      <c r="X201" s="33">
        <v>0</v>
      </c>
      <c r="Y201" s="33">
        <v>0</v>
      </c>
      <c r="Z201" s="33">
        <v>0</v>
      </c>
      <c r="AA201" s="33">
        <v>0</v>
      </c>
      <c r="AB201" s="33">
        <v>0</v>
      </c>
      <c r="AC201" s="34">
        <v>0</v>
      </c>
      <c r="AD201" s="57">
        <f>SUM(V201:AC201)</f>
        <v>0</v>
      </c>
      <c r="AF201" s="32">
        <v>42</v>
      </c>
      <c r="AG201" s="33">
        <v>9</v>
      </c>
      <c r="AH201" s="33">
        <v>2</v>
      </c>
      <c r="AI201" s="33">
        <v>1</v>
      </c>
      <c r="AJ201" s="33">
        <v>1</v>
      </c>
      <c r="AK201" s="33">
        <v>1</v>
      </c>
      <c r="AL201" s="33">
        <v>0</v>
      </c>
      <c r="AM201" s="34">
        <v>0</v>
      </c>
      <c r="AN201" s="57">
        <f>SUM(AF201:AM201)</f>
        <v>56</v>
      </c>
      <c r="AP201" s="57">
        <f>SUM(J201+T201+AD201+AN201)</f>
        <v>67</v>
      </c>
    </row>
    <row r="202" spans="1:42" ht="15.75" customHeight="1">
      <c r="A202" s="58">
        <v>0.55208333333333337</v>
      </c>
      <c r="B202" s="36">
        <v>4</v>
      </c>
      <c r="C202" s="37">
        <v>2</v>
      </c>
      <c r="D202" s="37">
        <v>0</v>
      </c>
      <c r="E202" s="37">
        <v>0</v>
      </c>
      <c r="F202" s="37">
        <v>0</v>
      </c>
      <c r="G202" s="37">
        <v>1</v>
      </c>
      <c r="H202" s="37">
        <v>3</v>
      </c>
      <c r="I202" s="40">
        <v>0</v>
      </c>
      <c r="J202" s="59">
        <f>SUM(B202:I202)</f>
        <v>10</v>
      </c>
      <c r="L202" s="36">
        <v>0</v>
      </c>
      <c r="M202" s="37">
        <v>0</v>
      </c>
      <c r="N202" s="37">
        <v>0</v>
      </c>
      <c r="O202" s="37">
        <v>0</v>
      </c>
      <c r="P202" s="37">
        <v>0</v>
      </c>
      <c r="Q202" s="37">
        <v>0</v>
      </c>
      <c r="R202" s="37">
        <v>0</v>
      </c>
      <c r="S202" s="40">
        <v>0</v>
      </c>
      <c r="T202" s="59">
        <f>SUM(L202:S202)</f>
        <v>0</v>
      </c>
      <c r="V202" s="36">
        <v>1</v>
      </c>
      <c r="W202" s="37">
        <v>1</v>
      </c>
      <c r="X202" s="37">
        <v>0</v>
      </c>
      <c r="Y202" s="37">
        <v>0</v>
      </c>
      <c r="Z202" s="37">
        <v>0</v>
      </c>
      <c r="AA202" s="37">
        <v>0</v>
      </c>
      <c r="AB202" s="37">
        <v>0</v>
      </c>
      <c r="AC202" s="40">
        <v>0</v>
      </c>
      <c r="AD202" s="59">
        <f>SUM(V202:AC202)</f>
        <v>2</v>
      </c>
      <c r="AF202" s="36">
        <v>73</v>
      </c>
      <c r="AG202" s="37">
        <v>18</v>
      </c>
      <c r="AH202" s="37">
        <v>5</v>
      </c>
      <c r="AI202" s="37">
        <v>2</v>
      </c>
      <c r="AJ202" s="37">
        <v>1</v>
      </c>
      <c r="AK202" s="37">
        <v>2</v>
      </c>
      <c r="AL202" s="37">
        <v>2</v>
      </c>
      <c r="AM202" s="40">
        <v>0</v>
      </c>
      <c r="AN202" s="59">
        <f>SUM(AF202:AM202)</f>
        <v>103</v>
      </c>
      <c r="AP202" s="59">
        <f>SUM(J202+T202+AD202+AN202)</f>
        <v>115</v>
      </c>
    </row>
    <row r="203" spans="1:42" ht="15.75" customHeight="1">
      <c r="A203" s="58">
        <v>0.5625</v>
      </c>
      <c r="B203" s="36">
        <v>6</v>
      </c>
      <c r="C203" s="37">
        <v>0</v>
      </c>
      <c r="D203" s="37">
        <v>0</v>
      </c>
      <c r="E203" s="37">
        <v>0</v>
      </c>
      <c r="F203" s="37">
        <v>0</v>
      </c>
      <c r="G203" s="37">
        <v>0</v>
      </c>
      <c r="H203" s="37">
        <v>1</v>
      </c>
      <c r="I203" s="40">
        <v>0</v>
      </c>
      <c r="J203" s="59">
        <f>SUM(B203:I203)</f>
        <v>7</v>
      </c>
      <c r="L203" s="36">
        <v>0</v>
      </c>
      <c r="M203" s="37">
        <v>0</v>
      </c>
      <c r="N203" s="37">
        <v>0</v>
      </c>
      <c r="O203" s="37">
        <v>0</v>
      </c>
      <c r="P203" s="37">
        <v>0</v>
      </c>
      <c r="Q203" s="37">
        <v>0</v>
      </c>
      <c r="R203" s="37">
        <v>0</v>
      </c>
      <c r="S203" s="40">
        <v>0</v>
      </c>
      <c r="T203" s="59">
        <f>SUM(L203:S203)</f>
        <v>0</v>
      </c>
      <c r="V203" s="36">
        <v>0</v>
      </c>
      <c r="W203" s="37">
        <v>1</v>
      </c>
      <c r="X203" s="37">
        <v>0</v>
      </c>
      <c r="Y203" s="37">
        <v>0</v>
      </c>
      <c r="Z203" s="37">
        <v>0</v>
      </c>
      <c r="AA203" s="37">
        <v>0</v>
      </c>
      <c r="AB203" s="37">
        <v>0</v>
      </c>
      <c r="AC203" s="40">
        <v>0</v>
      </c>
      <c r="AD203" s="59">
        <f>SUM(V203:AC203)</f>
        <v>1</v>
      </c>
      <c r="AF203" s="36">
        <v>43</v>
      </c>
      <c r="AG203" s="37">
        <v>9</v>
      </c>
      <c r="AH203" s="37">
        <v>3</v>
      </c>
      <c r="AI203" s="37">
        <v>0</v>
      </c>
      <c r="AJ203" s="37">
        <v>2</v>
      </c>
      <c r="AK203" s="37">
        <v>1</v>
      </c>
      <c r="AL203" s="37">
        <v>4</v>
      </c>
      <c r="AM203" s="40">
        <v>0</v>
      </c>
      <c r="AN203" s="59">
        <f>SUM(AF203:AM203)</f>
        <v>62</v>
      </c>
      <c r="AP203" s="59">
        <f>SUM(J203+T203+AD203+AN203)</f>
        <v>70</v>
      </c>
    </row>
    <row r="204" spans="1:42" ht="15.75" customHeight="1">
      <c r="A204" s="60">
        <v>0.57291666666666663</v>
      </c>
      <c r="B204" s="41">
        <v>5</v>
      </c>
      <c r="C204" s="42">
        <v>2</v>
      </c>
      <c r="D204" s="42">
        <v>0</v>
      </c>
      <c r="E204" s="42">
        <v>0</v>
      </c>
      <c r="F204" s="42">
        <v>0</v>
      </c>
      <c r="G204" s="42">
        <v>0</v>
      </c>
      <c r="H204" s="42">
        <v>1</v>
      </c>
      <c r="I204" s="43">
        <v>0</v>
      </c>
      <c r="J204" s="61">
        <f>SUM(B204:I204)</f>
        <v>8</v>
      </c>
      <c r="L204" s="41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3">
        <v>0</v>
      </c>
      <c r="T204" s="61">
        <f>SUM(L204:S204)</f>
        <v>0</v>
      </c>
      <c r="V204" s="41">
        <v>0</v>
      </c>
      <c r="W204" s="42">
        <v>1</v>
      </c>
      <c r="X204" s="42">
        <v>0</v>
      </c>
      <c r="Y204" s="42">
        <v>0</v>
      </c>
      <c r="Z204" s="42">
        <v>0</v>
      </c>
      <c r="AA204" s="42">
        <v>0</v>
      </c>
      <c r="AB204" s="42">
        <v>0</v>
      </c>
      <c r="AC204" s="43">
        <v>0</v>
      </c>
      <c r="AD204" s="61">
        <f>SUM(V204:AC204)</f>
        <v>1</v>
      </c>
      <c r="AF204" s="41">
        <v>61</v>
      </c>
      <c r="AG204" s="42">
        <v>8</v>
      </c>
      <c r="AH204" s="42">
        <v>1</v>
      </c>
      <c r="AI204" s="42">
        <v>0</v>
      </c>
      <c r="AJ204" s="42">
        <v>0</v>
      </c>
      <c r="AK204" s="42">
        <v>0</v>
      </c>
      <c r="AL204" s="42">
        <v>1</v>
      </c>
      <c r="AM204" s="43">
        <v>0</v>
      </c>
      <c r="AN204" s="61">
        <f>SUM(AF204:AM204)</f>
        <v>71</v>
      </c>
      <c r="AP204" s="61">
        <f>SUM(J204+T204+AD204+AN204)</f>
        <v>80</v>
      </c>
    </row>
    <row r="205" spans="1:42" ht="15.75" customHeight="1">
      <c r="A205" s="48" t="s">
        <v>29</v>
      </c>
      <c r="B205" s="45">
        <f t="shared" ref="B205:J205" si="148">SUM(B201:B204)</f>
        <v>23</v>
      </c>
      <c r="C205" s="46">
        <f t="shared" si="148"/>
        <v>4</v>
      </c>
      <c r="D205" s="46">
        <f t="shared" si="148"/>
        <v>0</v>
      </c>
      <c r="E205" s="46">
        <f t="shared" si="148"/>
        <v>0</v>
      </c>
      <c r="F205" s="46">
        <f t="shared" si="148"/>
        <v>0</v>
      </c>
      <c r="G205" s="46">
        <f t="shared" si="148"/>
        <v>1</v>
      </c>
      <c r="H205" s="46">
        <f t="shared" si="148"/>
        <v>8</v>
      </c>
      <c r="I205" s="47">
        <f t="shared" si="148"/>
        <v>0</v>
      </c>
      <c r="J205" s="48">
        <f t="shared" si="148"/>
        <v>36</v>
      </c>
      <c r="L205" s="45">
        <f t="shared" ref="L205:T205" si="149">SUM(L201:L204)</f>
        <v>0</v>
      </c>
      <c r="M205" s="46">
        <f t="shared" si="149"/>
        <v>0</v>
      </c>
      <c r="N205" s="46">
        <f t="shared" si="149"/>
        <v>0</v>
      </c>
      <c r="O205" s="46">
        <f t="shared" si="149"/>
        <v>0</v>
      </c>
      <c r="P205" s="46">
        <f t="shared" si="149"/>
        <v>0</v>
      </c>
      <c r="Q205" s="46">
        <f t="shared" si="149"/>
        <v>0</v>
      </c>
      <c r="R205" s="46">
        <f t="shared" si="149"/>
        <v>0</v>
      </c>
      <c r="S205" s="47">
        <f t="shared" si="149"/>
        <v>0</v>
      </c>
      <c r="T205" s="48">
        <f t="shared" si="149"/>
        <v>0</v>
      </c>
      <c r="V205" s="45">
        <f t="shared" ref="V205:AD205" si="150">SUM(V201:V204)</f>
        <v>1</v>
      </c>
      <c r="W205" s="46">
        <f t="shared" si="150"/>
        <v>3</v>
      </c>
      <c r="X205" s="46">
        <f t="shared" si="150"/>
        <v>0</v>
      </c>
      <c r="Y205" s="46">
        <f t="shared" si="150"/>
        <v>0</v>
      </c>
      <c r="Z205" s="46">
        <f t="shared" si="150"/>
        <v>0</v>
      </c>
      <c r="AA205" s="46">
        <f t="shared" si="150"/>
        <v>0</v>
      </c>
      <c r="AB205" s="46">
        <f t="shared" si="150"/>
        <v>0</v>
      </c>
      <c r="AC205" s="47">
        <f t="shared" si="150"/>
        <v>0</v>
      </c>
      <c r="AD205" s="48">
        <f t="shared" si="150"/>
        <v>4</v>
      </c>
      <c r="AF205" s="45">
        <f t="shared" ref="AF205:AN205" si="151">SUM(AF201:AF204)</f>
        <v>219</v>
      </c>
      <c r="AG205" s="46">
        <f t="shared" si="151"/>
        <v>44</v>
      </c>
      <c r="AH205" s="46">
        <f t="shared" si="151"/>
        <v>11</v>
      </c>
      <c r="AI205" s="46">
        <f t="shared" si="151"/>
        <v>3</v>
      </c>
      <c r="AJ205" s="46">
        <f t="shared" si="151"/>
        <v>4</v>
      </c>
      <c r="AK205" s="46">
        <f t="shared" si="151"/>
        <v>4</v>
      </c>
      <c r="AL205" s="46">
        <f t="shared" si="151"/>
        <v>7</v>
      </c>
      <c r="AM205" s="47">
        <f t="shared" si="151"/>
        <v>0</v>
      </c>
      <c r="AN205" s="48">
        <f t="shared" si="151"/>
        <v>292</v>
      </c>
      <c r="AP205" s="48">
        <f>SUM(AP201:AP204)</f>
        <v>332</v>
      </c>
    </row>
    <row r="206" spans="1:42" ht="15.75" customHeight="1">
      <c r="A206" s="56">
        <v>0.58333333333333337</v>
      </c>
      <c r="B206" s="32">
        <v>4</v>
      </c>
      <c r="C206" s="33">
        <v>2</v>
      </c>
      <c r="D206" s="33">
        <v>0</v>
      </c>
      <c r="E206" s="33">
        <v>0</v>
      </c>
      <c r="F206" s="33">
        <v>0</v>
      </c>
      <c r="G206" s="33">
        <v>2</v>
      </c>
      <c r="H206" s="33">
        <v>1</v>
      </c>
      <c r="I206" s="34">
        <v>0</v>
      </c>
      <c r="J206" s="57">
        <f>SUM(B206:I206)</f>
        <v>9</v>
      </c>
      <c r="L206" s="32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4">
        <v>0</v>
      </c>
      <c r="T206" s="57">
        <f>SUM(L206:S206)</f>
        <v>0</v>
      </c>
      <c r="V206" s="32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4">
        <v>0</v>
      </c>
      <c r="AD206" s="57">
        <f>SUM(V206:AC206)</f>
        <v>0</v>
      </c>
      <c r="AF206" s="32">
        <v>54</v>
      </c>
      <c r="AG206" s="33">
        <v>7</v>
      </c>
      <c r="AH206" s="33">
        <v>2</v>
      </c>
      <c r="AI206" s="33">
        <v>0</v>
      </c>
      <c r="AJ206" s="33">
        <v>2</v>
      </c>
      <c r="AK206" s="33">
        <v>0</v>
      </c>
      <c r="AL206" s="33">
        <v>2</v>
      </c>
      <c r="AM206" s="34">
        <v>0</v>
      </c>
      <c r="AN206" s="57">
        <f>SUM(AF206:AM206)</f>
        <v>67</v>
      </c>
      <c r="AP206" s="57">
        <f>SUM(J206+T206+AD206+AN206)</f>
        <v>76</v>
      </c>
    </row>
    <row r="207" spans="1:42" ht="15.75" customHeight="1">
      <c r="A207" s="58">
        <v>0.59375</v>
      </c>
      <c r="B207" s="36">
        <v>6</v>
      </c>
      <c r="C207" s="37">
        <v>1</v>
      </c>
      <c r="D207" s="37">
        <v>0</v>
      </c>
      <c r="E207" s="37">
        <v>0</v>
      </c>
      <c r="F207" s="37">
        <v>0</v>
      </c>
      <c r="G207" s="37">
        <v>0</v>
      </c>
      <c r="H207" s="37">
        <v>1</v>
      </c>
      <c r="I207" s="40">
        <v>0</v>
      </c>
      <c r="J207" s="59">
        <f>SUM(B207:I207)</f>
        <v>8</v>
      </c>
      <c r="L207" s="36">
        <v>0</v>
      </c>
      <c r="M207" s="37">
        <v>0</v>
      </c>
      <c r="N207" s="37">
        <v>0</v>
      </c>
      <c r="O207" s="37">
        <v>0</v>
      </c>
      <c r="P207" s="37">
        <v>0</v>
      </c>
      <c r="Q207" s="37">
        <v>0</v>
      </c>
      <c r="R207" s="37">
        <v>0</v>
      </c>
      <c r="S207" s="40">
        <v>0</v>
      </c>
      <c r="T207" s="59">
        <f>SUM(L207:S207)</f>
        <v>0</v>
      </c>
      <c r="V207" s="36">
        <v>1</v>
      </c>
      <c r="W207" s="37">
        <v>1</v>
      </c>
      <c r="X207" s="37">
        <v>0</v>
      </c>
      <c r="Y207" s="37">
        <v>0</v>
      </c>
      <c r="Z207" s="37">
        <v>0</v>
      </c>
      <c r="AA207" s="37">
        <v>0</v>
      </c>
      <c r="AB207" s="37">
        <v>0</v>
      </c>
      <c r="AC207" s="40">
        <v>0</v>
      </c>
      <c r="AD207" s="59">
        <f>SUM(V207:AC207)</f>
        <v>2</v>
      </c>
      <c r="AF207" s="36">
        <v>46</v>
      </c>
      <c r="AG207" s="37">
        <v>8</v>
      </c>
      <c r="AH207" s="37">
        <v>2</v>
      </c>
      <c r="AI207" s="37">
        <v>4</v>
      </c>
      <c r="AJ207" s="37">
        <v>0</v>
      </c>
      <c r="AK207" s="37">
        <v>0</v>
      </c>
      <c r="AL207" s="37">
        <v>1</v>
      </c>
      <c r="AM207" s="40">
        <v>0</v>
      </c>
      <c r="AN207" s="59">
        <f>SUM(AF207:AM207)</f>
        <v>61</v>
      </c>
      <c r="AP207" s="59">
        <f>SUM(J207+T207+AD207+AN207)</f>
        <v>71</v>
      </c>
    </row>
    <row r="208" spans="1:42" ht="15.75" customHeight="1">
      <c r="A208" s="58">
        <v>0.60416666666666663</v>
      </c>
      <c r="B208" s="36">
        <v>6</v>
      </c>
      <c r="C208" s="37">
        <v>1</v>
      </c>
      <c r="D208" s="37">
        <v>0</v>
      </c>
      <c r="E208" s="37">
        <v>0</v>
      </c>
      <c r="F208" s="37">
        <v>0</v>
      </c>
      <c r="G208" s="37">
        <v>0</v>
      </c>
      <c r="H208" s="37">
        <v>1</v>
      </c>
      <c r="I208" s="40">
        <v>0</v>
      </c>
      <c r="J208" s="59">
        <f>SUM(B208:I208)</f>
        <v>8</v>
      </c>
      <c r="L208" s="36">
        <v>0</v>
      </c>
      <c r="M208" s="37">
        <v>0</v>
      </c>
      <c r="N208" s="37">
        <v>0</v>
      </c>
      <c r="O208" s="37">
        <v>0</v>
      </c>
      <c r="P208" s="37">
        <v>0</v>
      </c>
      <c r="Q208" s="37">
        <v>0</v>
      </c>
      <c r="R208" s="37">
        <v>0</v>
      </c>
      <c r="S208" s="40">
        <v>0</v>
      </c>
      <c r="T208" s="59">
        <f>SUM(L208:S208)</f>
        <v>0</v>
      </c>
      <c r="V208" s="36">
        <v>0</v>
      </c>
      <c r="W208" s="37">
        <v>0</v>
      </c>
      <c r="X208" s="37">
        <v>0</v>
      </c>
      <c r="Y208" s="37">
        <v>0</v>
      </c>
      <c r="Z208" s="37">
        <v>0</v>
      </c>
      <c r="AA208" s="37">
        <v>0</v>
      </c>
      <c r="AB208" s="37">
        <v>0</v>
      </c>
      <c r="AC208" s="40">
        <v>0</v>
      </c>
      <c r="AD208" s="59">
        <f>SUM(V208:AC208)</f>
        <v>0</v>
      </c>
      <c r="AF208" s="36">
        <v>62</v>
      </c>
      <c r="AG208" s="37">
        <v>13</v>
      </c>
      <c r="AH208" s="37">
        <v>1</v>
      </c>
      <c r="AI208" s="37">
        <v>0</v>
      </c>
      <c r="AJ208" s="37">
        <v>3</v>
      </c>
      <c r="AK208" s="37">
        <v>1</v>
      </c>
      <c r="AL208" s="37">
        <v>1</v>
      </c>
      <c r="AM208" s="40">
        <v>0</v>
      </c>
      <c r="AN208" s="59">
        <f>SUM(AF208:AM208)</f>
        <v>81</v>
      </c>
      <c r="AP208" s="59">
        <f>SUM(J208+T208+AD208+AN208)</f>
        <v>89</v>
      </c>
    </row>
    <row r="209" spans="1:42" ht="15.75" customHeight="1">
      <c r="A209" s="60">
        <v>0.61458333333333337</v>
      </c>
      <c r="B209" s="41">
        <v>6</v>
      </c>
      <c r="C209" s="42">
        <v>1</v>
      </c>
      <c r="D209" s="42">
        <v>0</v>
      </c>
      <c r="E209" s="42">
        <v>0</v>
      </c>
      <c r="F209" s="42">
        <v>0</v>
      </c>
      <c r="G209" s="42">
        <v>0</v>
      </c>
      <c r="H209" s="42">
        <v>2</v>
      </c>
      <c r="I209" s="43">
        <v>0</v>
      </c>
      <c r="J209" s="61">
        <f>SUM(B209:I209)</f>
        <v>9</v>
      </c>
      <c r="L209" s="41">
        <v>0</v>
      </c>
      <c r="M209" s="42">
        <v>0</v>
      </c>
      <c r="N209" s="42">
        <v>0</v>
      </c>
      <c r="O209" s="42">
        <v>0</v>
      </c>
      <c r="P209" s="42">
        <v>0</v>
      </c>
      <c r="Q209" s="42">
        <v>0</v>
      </c>
      <c r="R209" s="42">
        <v>0</v>
      </c>
      <c r="S209" s="43">
        <v>0</v>
      </c>
      <c r="T209" s="61">
        <f>SUM(L209:S209)</f>
        <v>0</v>
      </c>
      <c r="V209" s="41">
        <v>0</v>
      </c>
      <c r="W209" s="42">
        <v>0</v>
      </c>
      <c r="X209" s="42">
        <v>0</v>
      </c>
      <c r="Y209" s="42">
        <v>0</v>
      </c>
      <c r="Z209" s="42">
        <v>0</v>
      </c>
      <c r="AA209" s="42">
        <v>0</v>
      </c>
      <c r="AB209" s="42">
        <v>0</v>
      </c>
      <c r="AC209" s="43">
        <v>0</v>
      </c>
      <c r="AD209" s="61">
        <f>SUM(V209:AC209)</f>
        <v>0</v>
      </c>
      <c r="AF209" s="41">
        <v>55</v>
      </c>
      <c r="AG209" s="42">
        <v>8</v>
      </c>
      <c r="AH209" s="42">
        <v>1</v>
      </c>
      <c r="AI209" s="42">
        <v>0</v>
      </c>
      <c r="AJ209" s="42">
        <v>3</v>
      </c>
      <c r="AK209" s="42">
        <v>0</v>
      </c>
      <c r="AL209" s="42">
        <v>4</v>
      </c>
      <c r="AM209" s="43">
        <v>0</v>
      </c>
      <c r="AN209" s="61">
        <f>SUM(AF209:AM209)</f>
        <v>71</v>
      </c>
      <c r="AP209" s="61">
        <f>SUM(J209+T209+AD209+AN209)</f>
        <v>80</v>
      </c>
    </row>
    <row r="210" spans="1:42" ht="15.75" customHeight="1">
      <c r="A210" s="48" t="s">
        <v>29</v>
      </c>
      <c r="B210" s="45">
        <f t="shared" ref="B210:J210" si="152">SUM(B206:B209)</f>
        <v>22</v>
      </c>
      <c r="C210" s="46">
        <f t="shared" si="152"/>
        <v>5</v>
      </c>
      <c r="D210" s="46">
        <f t="shared" si="152"/>
        <v>0</v>
      </c>
      <c r="E210" s="46">
        <f t="shared" si="152"/>
        <v>0</v>
      </c>
      <c r="F210" s="46">
        <f t="shared" si="152"/>
        <v>0</v>
      </c>
      <c r="G210" s="46">
        <f t="shared" si="152"/>
        <v>2</v>
      </c>
      <c r="H210" s="46">
        <f t="shared" si="152"/>
        <v>5</v>
      </c>
      <c r="I210" s="47">
        <f t="shared" si="152"/>
        <v>0</v>
      </c>
      <c r="J210" s="48">
        <f t="shared" si="152"/>
        <v>34</v>
      </c>
      <c r="L210" s="45">
        <f t="shared" ref="L210:T210" si="153">SUM(L206:L209)</f>
        <v>0</v>
      </c>
      <c r="M210" s="46">
        <f t="shared" si="153"/>
        <v>0</v>
      </c>
      <c r="N210" s="46">
        <f t="shared" si="153"/>
        <v>0</v>
      </c>
      <c r="O210" s="46">
        <f t="shared" si="153"/>
        <v>0</v>
      </c>
      <c r="P210" s="46">
        <f t="shared" si="153"/>
        <v>0</v>
      </c>
      <c r="Q210" s="46">
        <f t="shared" si="153"/>
        <v>0</v>
      </c>
      <c r="R210" s="46">
        <f t="shared" si="153"/>
        <v>0</v>
      </c>
      <c r="S210" s="47">
        <f t="shared" si="153"/>
        <v>0</v>
      </c>
      <c r="T210" s="48">
        <f t="shared" si="153"/>
        <v>0</v>
      </c>
      <c r="V210" s="45">
        <f t="shared" ref="V210:AD210" si="154">SUM(V206:V209)</f>
        <v>1</v>
      </c>
      <c r="W210" s="46">
        <f t="shared" si="154"/>
        <v>1</v>
      </c>
      <c r="X210" s="46">
        <f t="shared" si="154"/>
        <v>0</v>
      </c>
      <c r="Y210" s="46">
        <f t="shared" si="154"/>
        <v>0</v>
      </c>
      <c r="Z210" s="46">
        <f t="shared" si="154"/>
        <v>0</v>
      </c>
      <c r="AA210" s="46">
        <f t="shared" si="154"/>
        <v>0</v>
      </c>
      <c r="AB210" s="46">
        <f t="shared" si="154"/>
        <v>0</v>
      </c>
      <c r="AC210" s="47">
        <f t="shared" si="154"/>
        <v>0</v>
      </c>
      <c r="AD210" s="48">
        <f t="shared" si="154"/>
        <v>2</v>
      </c>
      <c r="AF210" s="45">
        <f t="shared" ref="AF210:AN210" si="155">SUM(AF206:AF209)</f>
        <v>217</v>
      </c>
      <c r="AG210" s="46">
        <f t="shared" si="155"/>
        <v>36</v>
      </c>
      <c r="AH210" s="46">
        <f t="shared" si="155"/>
        <v>6</v>
      </c>
      <c r="AI210" s="46">
        <f t="shared" si="155"/>
        <v>4</v>
      </c>
      <c r="AJ210" s="46">
        <f t="shared" si="155"/>
        <v>8</v>
      </c>
      <c r="AK210" s="46">
        <f t="shared" si="155"/>
        <v>1</v>
      </c>
      <c r="AL210" s="46">
        <f t="shared" si="155"/>
        <v>8</v>
      </c>
      <c r="AM210" s="47">
        <f t="shared" si="155"/>
        <v>0</v>
      </c>
      <c r="AN210" s="48">
        <f t="shared" si="155"/>
        <v>280</v>
      </c>
      <c r="AP210" s="48">
        <f>SUM(AP206:AP209)</f>
        <v>316</v>
      </c>
    </row>
    <row r="211" spans="1:42" ht="15.75" customHeight="1">
      <c r="A211" s="56">
        <v>0.625</v>
      </c>
      <c r="B211" s="32">
        <v>2</v>
      </c>
      <c r="C211" s="33">
        <v>0</v>
      </c>
      <c r="D211" s="33">
        <v>1</v>
      </c>
      <c r="E211" s="33">
        <v>0</v>
      </c>
      <c r="F211" s="33">
        <v>0</v>
      </c>
      <c r="G211" s="33">
        <v>0</v>
      </c>
      <c r="H211" s="33">
        <v>3</v>
      </c>
      <c r="I211" s="34">
        <v>0</v>
      </c>
      <c r="J211" s="57">
        <f>SUM(B211:I211)</f>
        <v>6</v>
      </c>
      <c r="L211" s="32">
        <v>0</v>
      </c>
      <c r="M211" s="33">
        <v>0</v>
      </c>
      <c r="N211" s="33">
        <v>0</v>
      </c>
      <c r="O211" s="33">
        <v>0</v>
      </c>
      <c r="P211" s="33">
        <v>0</v>
      </c>
      <c r="Q211" s="33">
        <v>0</v>
      </c>
      <c r="R211" s="33">
        <v>0</v>
      </c>
      <c r="S211" s="34">
        <v>0</v>
      </c>
      <c r="T211" s="57">
        <f>SUM(L211:S211)</f>
        <v>0</v>
      </c>
      <c r="V211" s="32">
        <v>1</v>
      </c>
      <c r="W211" s="33">
        <v>1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4">
        <v>0</v>
      </c>
      <c r="AD211" s="57">
        <f>SUM(V211:AC211)</f>
        <v>2</v>
      </c>
      <c r="AF211" s="32">
        <v>52</v>
      </c>
      <c r="AG211" s="33">
        <v>5</v>
      </c>
      <c r="AH211" s="33">
        <v>3</v>
      </c>
      <c r="AI211" s="33">
        <v>0</v>
      </c>
      <c r="AJ211" s="33">
        <v>3</v>
      </c>
      <c r="AK211" s="33">
        <v>1</v>
      </c>
      <c r="AL211" s="33">
        <v>2</v>
      </c>
      <c r="AM211" s="34">
        <v>0</v>
      </c>
      <c r="AN211" s="57">
        <f>SUM(AF211:AM211)</f>
        <v>66</v>
      </c>
      <c r="AP211" s="57">
        <f>SUM(J211+T211+AD211+AN211)</f>
        <v>74</v>
      </c>
    </row>
    <row r="212" spans="1:42" ht="15.75" customHeight="1">
      <c r="A212" s="58">
        <v>0.63541666666666663</v>
      </c>
      <c r="B212" s="36">
        <v>1</v>
      </c>
      <c r="C212" s="37">
        <v>1</v>
      </c>
      <c r="D212" s="37">
        <v>1</v>
      </c>
      <c r="E212" s="37">
        <v>0</v>
      </c>
      <c r="F212" s="37">
        <v>0</v>
      </c>
      <c r="G212" s="37">
        <v>0</v>
      </c>
      <c r="H212" s="37">
        <v>6</v>
      </c>
      <c r="I212" s="40">
        <v>0</v>
      </c>
      <c r="J212" s="59">
        <f>SUM(B212:I212)</f>
        <v>9</v>
      </c>
      <c r="L212" s="36">
        <v>0</v>
      </c>
      <c r="M212" s="37">
        <v>0</v>
      </c>
      <c r="N212" s="37">
        <v>0</v>
      </c>
      <c r="O212" s="37">
        <v>0</v>
      </c>
      <c r="P212" s="37">
        <v>0</v>
      </c>
      <c r="Q212" s="37">
        <v>0</v>
      </c>
      <c r="R212" s="37">
        <v>0</v>
      </c>
      <c r="S212" s="40">
        <v>0</v>
      </c>
      <c r="T212" s="59">
        <f>SUM(L212:S212)</f>
        <v>0</v>
      </c>
      <c r="V212" s="36">
        <v>1</v>
      </c>
      <c r="W212" s="37">
        <v>0</v>
      </c>
      <c r="X212" s="37">
        <v>0</v>
      </c>
      <c r="Y212" s="37">
        <v>0</v>
      </c>
      <c r="Z212" s="37">
        <v>0</v>
      </c>
      <c r="AA212" s="37">
        <v>0</v>
      </c>
      <c r="AB212" s="37">
        <v>0</v>
      </c>
      <c r="AC212" s="40">
        <v>0</v>
      </c>
      <c r="AD212" s="59">
        <f>SUM(V212:AC212)</f>
        <v>1</v>
      </c>
      <c r="AF212" s="36">
        <v>54</v>
      </c>
      <c r="AG212" s="37">
        <v>6</v>
      </c>
      <c r="AH212" s="37">
        <v>1</v>
      </c>
      <c r="AI212" s="37">
        <v>0</v>
      </c>
      <c r="AJ212" s="37">
        <v>0</v>
      </c>
      <c r="AK212" s="37">
        <v>0</v>
      </c>
      <c r="AL212" s="37">
        <v>4</v>
      </c>
      <c r="AM212" s="40">
        <v>0</v>
      </c>
      <c r="AN212" s="59">
        <f>SUM(AF212:AM212)</f>
        <v>65</v>
      </c>
      <c r="AP212" s="59">
        <f>SUM(J212+T212+AD212+AN212)</f>
        <v>75</v>
      </c>
    </row>
    <row r="213" spans="1:42" ht="15.75" customHeight="1">
      <c r="A213" s="58">
        <v>0.64583333333333337</v>
      </c>
      <c r="B213" s="36">
        <v>8</v>
      </c>
      <c r="C213" s="37">
        <v>1</v>
      </c>
      <c r="D213" s="37">
        <v>0</v>
      </c>
      <c r="E213" s="37">
        <v>0</v>
      </c>
      <c r="F213" s="37">
        <v>0</v>
      </c>
      <c r="G213" s="37">
        <v>0</v>
      </c>
      <c r="H213" s="37">
        <v>0</v>
      </c>
      <c r="I213" s="40">
        <v>0</v>
      </c>
      <c r="J213" s="59">
        <f>SUM(B213:I213)</f>
        <v>9</v>
      </c>
      <c r="L213" s="36">
        <v>0</v>
      </c>
      <c r="M213" s="37">
        <v>0</v>
      </c>
      <c r="N213" s="37">
        <v>0</v>
      </c>
      <c r="O213" s="37">
        <v>0</v>
      </c>
      <c r="P213" s="37">
        <v>0</v>
      </c>
      <c r="Q213" s="37">
        <v>0</v>
      </c>
      <c r="R213" s="37">
        <v>0</v>
      </c>
      <c r="S213" s="40">
        <v>0</v>
      </c>
      <c r="T213" s="59">
        <f>SUM(L213:S213)</f>
        <v>0</v>
      </c>
      <c r="V213" s="36">
        <v>0</v>
      </c>
      <c r="W213" s="37">
        <v>1</v>
      </c>
      <c r="X213" s="37">
        <v>0</v>
      </c>
      <c r="Y213" s="37">
        <v>0</v>
      </c>
      <c r="Z213" s="37">
        <v>0</v>
      </c>
      <c r="AA213" s="37">
        <v>0</v>
      </c>
      <c r="AB213" s="37">
        <v>0</v>
      </c>
      <c r="AC213" s="40">
        <v>0</v>
      </c>
      <c r="AD213" s="59">
        <f>SUM(V213:AC213)</f>
        <v>1</v>
      </c>
      <c r="AF213" s="36">
        <v>55</v>
      </c>
      <c r="AG213" s="37">
        <v>12</v>
      </c>
      <c r="AH213" s="37">
        <v>1</v>
      </c>
      <c r="AI213" s="37">
        <v>0</v>
      </c>
      <c r="AJ213" s="37">
        <v>2</v>
      </c>
      <c r="AK213" s="37">
        <v>1</v>
      </c>
      <c r="AL213" s="37">
        <v>3</v>
      </c>
      <c r="AM213" s="40">
        <v>0</v>
      </c>
      <c r="AN213" s="59">
        <f>SUM(AF213:AM213)</f>
        <v>74</v>
      </c>
      <c r="AP213" s="59">
        <f>SUM(J213+T213+AD213+AN213)</f>
        <v>84</v>
      </c>
    </row>
    <row r="214" spans="1:42" ht="15.75" customHeight="1">
      <c r="A214" s="60">
        <v>0.65625</v>
      </c>
      <c r="B214" s="41">
        <v>7</v>
      </c>
      <c r="C214" s="42">
        <v>0</v>
      </c>
      <c r="D214" s="42">
        <v>0</v>
      </c>
      <c r="E214" s="42">
        <v>0</v>
      </c>
      <c r="F214" s="42">
        <v>0</v>
      </c>
      <c r="G214" s="42">
        <v>0</v>
      </c>
      <c r="H214" s="42">
        <v>0</v>
      </c>
      <c r="I214" s="43">
        <v>0</v>
      </c>
      <c r="J214" s="61">
        <f>SUM(B214:I214)</f>
        <v>7</v>
      </c>
      <c r="L214" s="41">
        <v>0</v>
      </c>
      <c r="M214" s="42">
        <v>0</v>
      </c>
      <c r="N214" s="42">
        <v>0</v>
      </c>
      <c r="O214" s="42">
        <v>0</v>
      </c>
      <c r="P214" s="42">
        <v>0</v>
      </c>
      <c r="Q214" s="42">
        <v>0</v>
      </c>
      <c r="R214" s="42">
        <v>0</v>
      </c>
      <c r="S214" s="43">
        <v>0</v>
      </c>
      <c r="T214" s="61">
        <f>SUM(L214:S214)</f>
        <v>0</v>
      </c>
      <c r="V214" s="41">
        <v>0</v>
      </c>
      <c r="W214" s="42">
        <v>0</v>
      </c>
      <c r="X214" s="42">
        <v>0</v>
      </c>
      <c r="Y214" s="42">
        <v>0</v>
      </c>
      <c r="Z214" s="42">
        <v>0</v>
      </c>
      <c r="AA214" s="42">
        <v>0</v>
      </c>
      <c r="AB214" s="42">
        <v>0</v>
      </c>
      <c r="AC214" s="43">
        <v>0</v>
      </c>
      <c r="AD214" s="61">
        <f>SUM(V214:AC214)</f>
        <v>0</v>
      </c>
      <c r="AF214" s="41">
        <v>57</v>
      </c>
      <c r="AG214" s="42">
        <v>5</v>
      </c>
      <c r="AH214" s="42">
        <v>2</v>
      </c>
      <c r="AI214" s="42">
        <v>0</v>
      </c>
      <c r="AJ214" s="42">
        <v>0</v>
      </c>
      <c r="AK214" s="42">
        <v>0</v>
      </c>
      <c r="AL214" s="42">
        <v>1</v>
      </c>
      <c r="AM214" s="43">
        <v>0</v>
      </c>
      <c r="AN214" s="61">
        <f>SUM(AF214:AM214)</f>
        <v>65</v>
      </c>
      <c r="AP214" s="61">
        <f>SUM(J214+T214+AD214+AN214)</f>
        <v>72</v>
      </c>
    </row>
    <row r="215" spans="1:42" ht="15.75" customHeight="1">
      <c r="A215" s="48" t="s">
        <v>29</v>
      </c>
      <c r="B215" s="45">
        <f t="shared" ref="B215:J215" si="156">SUM(B211:B214)</f>
        <v>18</v>
      </c>
      <c r="C215" s="46">
        <f t="shared" si="156"/>
        <v>2</v>
      </c>
      <c r="D215" s="46">
        <f t="shared" si="156"/>
        <v>2</v>
      </c>
      <c r="E215" s="46">
        <f t="shared" si="156"/>
        <v>0</v>
      </c>
      <c r="F215" s="46">
        <f t="shared" si="156"/>
        <v>0</v>
      </c>
      <c r="G215" s="46">
        <f t="shared" si="156"/>
        <v>0</v>
      </c>
      <c r="H215" s="46">
        <f t="shared" si="156"/>
        <v>9</v>
      </c>
      <c r="I215" s="47">
        <f t="shared" si="156"/>
        <v>0</v>
      </c>
      <c r="J215" s="48">
        <f t="shared" si="156"/>
        <v>31</v>
      </c>
      <c r="L215" s="45">
        <f t="shared" ref="L215:T215" si="157">SUM(L211:L214)</f>
        <v>0</v>
      </c>
      <c r="M215" s="46">
        <f t="shared" si="157"/>
        <v>0</v>
      </c>
      <c r="N215" s="46">
        <f t="shared" si="157"/>
        <v>0</v>
      </c>
      <c r="O215" s="46">
        <f t="shared" si="157"/>
        <v>0</v>
      </c>
      <c r="P215" s="46">
        <f t="shared" si="157"/>
        <v>0</v>
      </c>
      <c r="Q215" s="46">
        <f t="shared" si="157"/>
        <v>0</v>
      </c>
      <c r="R215" s="46">
        <f t="shared" si="157"/>
        <v>0</v>
      </c>
      <c r="S215" s="47">
        <f t="shared" si="157"/>
        <v>0</v>
      </c>
      <c r="T215" s="48">
        <f t="shared" si="157"/>
        <v>0</v>
      </c>
      <c r="V215" s="45">
        <f t="shared" ref="V215:AD215" si="158">SUM(V211:V214)</f>
        <v>2</v>
      </c>
      <c r="W215" s="46">
        <f t="shared" si="158"/>
        <v>2</v>
      </c>
      <c r="X215" s="46">
        <f t="shared" si="158"/>
        <v>0</v>
      </c>
      <c r="Y215" s="46">
        <f t="shared" si="158"/>
        <v>0</v>
      </c>
      <c r="Z215" s="46">
        <f t="shared" si="158"/>
        <v>0</v>
      </c>
      <c r="AA215" s="46">
        <f t="shared" si="158"/>
        <v>0</v>
      </c>
      <c r="AB215" s="46">
        <f t="shared" si="158"/>
        <v>0</v>
      </c>
      <c r="AC215" s="47">
        <f t="shared" si="158"/>
        <v>0</v>
      </c>
      <c r="AD215" s="48">
        <f t="shared" si="158"/>
        <v>4</v>
      </c>
      <c r="AF215" s="45">
        <f t="shared" ref="AF215:AN215" si="159">SUM(AF211:AF214)</f>
        <v>218</v>
      </c>
      <c r="AG215" s="46">
        <f t="shared" si="159"/>
        <v>28</v>
      </c>
      <c r="AH215" s="46">
        <f t="shared" si="159"/>
        <v>7</v>
      </c>
      <c r="AI215" s="46">
        <f t="shared" si="159"/>
        <v>0</v>
      </c>
      <c r="AJ215" s="46">
        <f t="shared" si="159"/>
        <v>5</v>
      </c>
      <c r="AK215" s="46">
        <f t="shared" si="159"/>
        <v>2</v>
      </c>
      <c r="AL215" s="46">
        <f t="shared" si="159"/>
        <v>10</v>
      </c>
      <c r="AM215" s="47">
        <f t="shared" si="159"/>
        <v>0</v>
      </c>
      <c r="AN215" s="48">
        <f t="shared" si="159"/>
        <v>270</v>
      </c>
      <c r="AP215" s="48">
        <f>SUM(AP211:AP214)</f>
        <v>305</v>
      </c>
    </row>
    <row r="216" spans="1:42" ht="15.75" customHeight="1">
      <c r="A216" s="56">
        <v>0.66666666666666663</v>
      </c>
      <c r="B216" s="32">
        <v>4</v>
      </c>
      <c r="C216" s="33">
        <v>2</v>
      </c>
      <c r="D216" s="33">
        <v>0</v>
      </c>
      <c r="E216" s="33">
        <v>0</v>
      </c>
      <c r="F216" s="33">
        <v>0</v>
      </c>
      <c r="G216" s="33">
        <v>0</v>
      </c>
      <c r="H216" s="33">
        <v>1</v>
      </c>
      <c r="I216" s="34">
        <v>0</v>
      </c>
      <c r="J216" s="57">
        <f>SUM(B216:I216)</f>
        <v>7</v>
      </c>
      <c r="L216" s="32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34">
        <v>0</v>
      </c>
      <c r="T216" s="57">
        <f>SUM(L216:S216)</f>
        <v>0</v>
      </c>
      <c r="V216" s="32">
        <v>1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4">
        <v>0</v>
      </c>
      <c r="AD216" s="57">
        <f>SUM(V216:AC216)</f>
        <v>1</v>
      </c>
      <c r="AF216" s="32">
        <v>61</v>
      </c>
      <c r="AG216" s="33">
        <v>3</v>
      </c>
      <c r="AH216" s="33">
        <v>3</v>
      </c>
      <c r="AI216" s="33">
        <v>0</v>
      </c>
      <c r="AJ216" s="33">
        <v>0</v>
      </c>
      <c r="AK216" s="33">
        <v>1</v>
      </c>
      <c r="AL216" s="33">
        <v>2</v>
      </c>
      <c r="AM216" s="34">
        <v>0</v>
      </c>
      <c r="AN216" s="57">
        <f>SUM(AF216:AM216)</f>
        <v>70</v>
      </c>
      <c r="AP216" s="57">
        <f>SUM(J216+T216+AD216+AN216)</f>
        <v>78</v>
      </c>
    </row>
    <row r="217" spans="1:42" ht="15.75" customHeight="1">
      <c r="A217" s="58">
        <v>0.67708333333333337</v>
      </c>
      <c r="B217" s="36">
        <v>9</v>
      </c>
      <c r="C217" s="37">
        <v>0</v>
      </c>
      <c r="D217" s="37">
        <v>0</v>
      </c>
      <c r="E217" s="37">
        <v>0</v>
      </c>
      <c r="F217" s="37">
        <v>0</v>
      </c>
      <c r="G217" s="37">
        <v>0</v>
      </c>
      <c r="H217" s="37">
        <v>1</v>
      </c>
      <c r="I217" s="40">
        <v>0</v>
      </c>
      <c r="J217" s="59">
        <f>SUM(B217:I217)</f>
        <v>10</v>
      </c>
      <c r="L217" s="36">
        <v>0</v>
      </c>
      <c r="M217" s="37">
        <v>0</v>
      </c>
      <c r="N217" s="37">
        <v>0</v>
      </c>
      <c r="O217" s="37">
        <v>0</v>
      </c>
      <c r="P217" s="37">
        <v>0</v>
      </c>
      <c r="Q217" s="37">
        <v>0</v>
      </c>
      <c r="R217" s="37">
        <v>0</v>
      </c>
      <c r="S217" s="40">
        <v>0</v>
      </c>
      <c r="T217" s="59">
        <f>SUM(L217:S217)</f>
        <v>0</v>
      </c>
      <c r="V217" s="36">
        <v>0</v>
      </c>
      <c r="W217" s="37">
        <v>0</v>
      </c>
      <c r="X217" s="37">
        <v>0</v>
      </c>
      <c r="Y217" s="37">
        <v>0</v>
      </c>
      <c r="Z217" s="37">
        <v>0</v>
      </c>
      <c r="AA217" s="37">
        <v>0</v>
      </c>
      <c r="AB217" s="37">
        <v>0</v>
      </c>
      <c r="AC217" s="40">
        <v>0</v>
      </c>
      <c r="AD217" s="59">
        <f>SUM(V217:AC217)</f>
        <v>0</v>
      </c>
      <c r="AF217" s="36">
        <v>68</v>
      </c>
      <c r="AG217" s="37">
        <v>12</v>
      </c>
      <c r="AH217" s="37">
        <v>0</v>
      </c>
      <c r="AI217" s="37">
        <v>0</v>
      </c>
      <c r="AJ217" s="37">
        <v>0</v>
      </c>
      <c r="AK217" s="37">
        <v>2</v>
      </c>
      <c r="AL217" s="37">
        <v>2</v>
      </c>
      <c r="AM217" s="40">
        <v>0</v>
      </c>
      <c r="AN217" s="59">
        <f>SUM(AF217:AM217)</f>
        <v>84</v>
      </c>
      <c r="AP217" s="59">
        <f>SUM(J217+T217+AD217+AN217)</f>
        <v>94</v>
      </c>
    </row>
    <row r="218" spans="1:42" ht="15.75" customHeight="1">
      <c r="A218" s="58">
        <v>0.6875</v>
      </c>
      <c r="B218" s="36">
        <v>8</v>
      </c>
      <c r="C218" s="37">
        <v>0</v>
      </c>
      <c r="D218" s="37">
        <v>0</v>
      </c>
      <c r="E218" s="37">
        <v>0</v>
      </c>
      <c r="F218" s="37">
        <v>0</v>
      </c>
      <c r="G218" s="37">
        <v>0</v>
      </c>
      <c r="H218" s="37">
        <v>3</v>
      </c>
      <c r="I218" s="40">
        <v>0</v>
      </c>
      <c r="J218" s="59">
        <f>SUM(B218:I218)</f>
        <v>11</v>
      </c>
      <c r="L218" s="36">
        <v>0</v>
      </c>
      <c r="M218" s="37">
        <v>0</v>
      </c>
      <c r="N218" s="37">
        <v>0</v>
      </c>
      <c r="O218" s="37">
        <v>0</v>
      </c>
      <c r="P218" s="37">
        <v>0</v>
      </c>
      <c r="Q218" s="37">
        <v>0</v>
      </c>
      <c r="R218" s="37">
        <v>0</v>
      </c>
      <c r="S218" s="40">
        <v>0</v>
      </c>
      <c r="T218" s="59">
        <f>SUM(L218:S218)</f>
        <v>0</v>
      </c>
      <c r="V218" s="36">
        <v>1</v>
      </c>
      <c r="W218" s="37">
        <v>0</v>
      </c>
      <c r="X218" s="37">
        <v>0</v>
      </c>
      <c r="Y218" s="37">
        <v>0</v>
      </c>
      <c r="Z218" s="37">
        <v>0</v>
      </c>
      <c r="AA218" s="37">
        <v>0</v>
      </c>
      <c r="AB218" s="37">
        <v>0</v>
      </c>
      <c r="AC218" s="40">
        <v>0</v>
      </c>
      <c r="AD218" s="59">
        <f>SUM(V218:AC218)</f>
        <v>1</v>
      </c>
      <c r="AF218" s="36">
        <v>78</v>
      </c>
      <c r="AG218" s="37">
        <v>9</v>
      </c>
      <c r="AH218" s="37">
        <v>0</v>
      </c>
      <c r="AI218" s="37">
        <v>0</v>
      </c>
      <c r="AJ218" s="37">
        <v>1</v>
      </c>
      <c r="AK218" s="37">
        <v>2</v>
      </c>
      <c r="AL218" s="37">
        <v>2</v>
      </c>
      <c r="AM218" s="40">
        <v>0</v>
      </c>
      <c r="AN218" s="59">
        <f>SUM(AF218:AM218)</f>
        <v>92</v>
      </c>
      <c r="AP218" s="59">
        <f>SUM(J218+T218+AD218+AN218)</f>
        <v>104</v>
      </c>
    </row>
    <row r="219" spans="1:42" ht="15.75" customHeight="1">
      <c r="A219" s="60">
        <v>0.69791666666666663</v>
      </c>
      <c r="B219" s="41">
        <v>6</v>
      </c>
      <c r="C219" s="42">
        <v>1</v>
      </c>
      <c r="D219" s="42">
        <v>0</v>
      </c>
      <c r="E219" s="42">
        <v>0</v>
      </c>
      <c r="F219" s="42">
        <v>0</v>
      </c>
      <c r="G219" s="42">
        <v>0</v>
      </c>
      <c r="H219" s="42">
        <v>5</v>
      </c>
      <c r="I219" s="43">
        <v>0</v>
      </c>
      <c r="J219" s="61">
        <f>SUM(B219:I219)</f>
        <v>12</v>
      </c>
      <c r="L219" s="41">
        <v>0</v>
      </c>
      <c r="M219" s="42">
        <v>0</v>
      </c>
      <c r="N219" s="42">
        <v>0</v>
      </c>
      <c r="O219" s="42">
        <v>0</v>
      </c>
      <c r="P219" s="42">
        <v>0</v>
      </c>
      <c r="Q219" s="42">
        <v>0</v>
      </c>
      <c r="R219" s="42">
        <v>0</v>
      </c>
      <c r="S219" s="43">
        <v>0</v>
      </c>
      <c r="T219" s="61">
        <f>SUM(L219:S219)</f>
        <v>0</v>
      </c>
      <c r="V219" s="41">
        <v>1</v>
      </c>
      <c r="W219" s="42">
        <v>0</v>
      </c>
      <c r="X219" s="42">
        <v>0</v>
      </c>
      <c r="Y219" s="42">
        <v>0</v>
      </c>
      <c r="Z219" s="42">
        <v>0</v>
      </c>
      <c r="AA219" s="42">
        <v>0</v>
      </c>
      <c r="AB219" s="42">
        <v>0</v>
      </c>
      <c r="AC219" s="43">
        <v>0</v>
      </c>
      <c r="AD219" s="61">
        <f>SUM(V219:AC219)</f>
        <v>1</v>
      </c>
      <c r="AF219" s="41">
        <v>68</v>
      </c>
      <c r="AG219" s="42">
        <v>4</v>
      </c>
      <c r="AH219" s="42">
        <v>2</v>
      </c>
      <c r="AI219" s="42">
        <v>2</v>
      </c>
      <c r="AJ219" s="42">
        <v>2</v>
      </c>
      <c r="AK219" s="42">
        <v>3</v>
      </c>
      <c r="AL219" s="42">
        <v>2</v>
      </c>
      <c r="AM219" s="43">
        <v>0</v>
      </c>
      <c r="AN219" s="61">
        <f>SUM(AF219:AM219)</f>
        <v>83</v>
      </c>
      <c r="AP219" s="61">
        <f>SUM(J219+T219+AD219+AN219)</f>
        <v>96</v>
      </c>
    </row>
    <row r="220" spans="1:42" ht="15.75" customHeight="1">
      <c r="A220" s="48" t="s">
        <v>29</v>
      </c>
      <c r="B220" s="45">
        <f t="shared" ref="B220:J220" si="160">SUM(B216:B219)</f>
        <v>27</v>
      </c>
      <c r="C220" s="46">
        <f t="shared" si="160"/>
        <v>3</v>
      </c>
      <c r="D220" s="46">
        <f t="shared" si="160"/>
        <v>0</v>
      </c>
      <c r="E220" s="46">
        <f t="shared" si="160"/>
        <v>0</v>
      </c>
      <c r="F220" s="46">
        <f t="shared" si="160"/>
        <v>0</v>
      </c>
      <c r="G220" s="46">
        <f t="shared" si="160"/>
        <v>0</v>
      </c>
      <c r="H220" s="46">
        <f t="shared" si="160"/>
        <v>10</v>
      </c>
      <c r="I220" s="47">
        <f t="shared" si="160"/>
        <v>0</v>
      </c>
      <c r="J220" s="48">
        <f t="shared" si="160"/>
        <v>40</v>
      </c>
      <c r="L220" s="45">
        <f t="shared" ref="L220:T220" si="161">SUM(L216:L219)</f>
        <v>0</v>
      </c>
      <c r="M220" s="46">
        <f t="shared" si="161"/>
        <v>0</v>
      </c>
      <c r="N220" s="46">
        <f t="shared" si="161"/>
        <v>0</v>
      </c>
      <c r="O220" s="46">
        <f t="shared" si="161"/>
        <v>0</v>
      </c>
      <c r="P220" s="46">
        <f t="shared" si="161"/>
        <v>0</v>
      </c>
      <c r="Q220" s="46">
        <f t="shared" si="161"/>
        <v>0</v>
      </c>
      <c r="R220" s="46">
        <f t="shared" si="161"/>
        <v>0</v>
      </c>
      <c r="S220" s="47">
        <f t="shared" si="161"/>
        <v>0</v>
      </c>
      <c r="T220" s="48">
        <f t="shared" si="161"/>
        <v>0</v>
      </c>
      <c r="V220" s="45">
        <f t="shared" ref="V220:AD220" si="162">SUM(V216:V219)</f>
        <v>3</v>
      </c>
      <c r="W220" s="46">
        <f t="shared" si="162"/>
        <v>0</v>
      </c>
      <c r="X220" s="46">
        <f t="shared" si="162"/>
        <v>0</v>
      </c>
      <c r="Y220" s="46">
        <f t="shared" si="162"/>
        <v>0</v>
      </c>
      <c r="Z220" s="46">
        <f t="shared" si="162"/>
        <v>0</v>
      </c>
      <c r="AA220" s="46">
        <f t="shared" si="162"/>
        <v>0</v>
      </c>
      <c r="AB220" s="46">
        <f t="shared" si="162"/>
        <v>0</v>
      </c>
      <c r="AC220" s="47">
        <f t="shared" si="162"/>
        <v>0</v>
      </c>
      <c r="AD220" s="48">
        <f t="shared" si="162"/>
        <v>3</v>
      </c>
      <c r="AF220" s="45">
        <f t="shared" ref="AF220:AN220" si="163">SUM(AF216:AF219)</f>
        <v>275</v>
      </c>
      <c r="AG220" s="46">
        <f t="shared" si="163"/>
        <v>28</v>
      </c>
      <c r="AH220" s="46">
        <f t="shared" si="163"/>
        <v>5</v>
      </c>
      <c r="AI220" s="46">
        <f t="shared" si="163"/>
        <v>2</v>
      </c>
      <c r="AJ220" s="46">
        <f t="shared" si="163"/>
        <v>3</v>
      </c>
      <c r="AK220" s="46">
        <f t="shared" si="163"/>
        <v>8</v>
      </c>
      <c r="AL220" s="46">
        <f t="shared" si="163"/>
        <v>8</v>
      </c>
      <c r="AM220" s="47">
        <f t="shared" si="163"/>
        <v>0</v>
      </c>
      <c r="AN220" s="48">
        <f t="shared" si="163"/>
        <v>329</v>
      </c>
      <c r="AP220" s="48">
        <f>SUM(AP216:AP219)</f>
        <v>372</v>
      </c>
    </row>
    <row r="221" spans="1:42" ht="15.75" customHeight="1">
      <c r="A221" s="56">
        <v>0.70833333333333337</v>
      </c>
      <c r="B221" s="32">
        <v>9</v>
      </c>
      <c r="C221" s="33">
        <v>3</v>
      </c>
      <c r="D221" s="33">
        <v>0</v>
      </c>
      <c r="E221" s="33">
        <v>0</v>
      </c>
      <c r="F221" s="33">
        <v>0</v>
      </c>
      <c r="G221" s="33">
        <v>0</v>
      </c>
      <c r="H221" s="33">
        <v>6</v>
      </c>
      <c r="I221" s="34">
        <v>0</v>
      </c>
      <c r="J221" s="57">
        <f>SUM(B221:I221)</f>
        <v>18</v>
      </c>
      <c r="L221" s="32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4">
        <v>0</v>
      </c>
      <c r="T221" s="57">
        <f>SUM(L221:S221)</f>
        <v>0</v>
      </c>
      <c r="V221" s="32">
        <v>1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4">
        <v>0</v>
      </c>
      <c r="AD221" s="57">
        <f>SUM(V221:AC221)</f>
        <v>1</v>
      </c>
      <c r="AF221" s="32">
        <v>99</v>
      </c>
      <c r="AG221" s="33">
        <v>9</v>
      </c>
      <c r="AH221" s="33">
        <v>1</v>
      </c>
      <c r="AI221" s="33">
        <v>2</v>
      </c>
      <c r="AJ221" s="33">
        <v>0</v>
      </c>
      <c r="AK221" s="33">
        <v>9</v>
      </c>
      <c r="AL221" s="33">
        <v>2</v>
      </c>
      <c r="AM221" s="34">
        <v>0</v>
      </c>
      <c r="AN221" s="57">
        <f>SUM(AF221:AM221)</f>
        <v>122</v>
      </c>
      <c r="AP221" s="57">
        <f>SUM(J221+T221+AD221+AN221)</f>
        <v>141</v>
      </c>
    </row>
    <row r="222" spans="1:42" ht="15.75" customHeight="1">
      <c r="A222" s="58">
        <v>0.71875</v>
      </c>
      <c r="B222" s="36">
        <v>2</v>
      </c>
      <c r="C222" s="37">
        <v>1</v>
      </c>
      <c r="D222" s="37">
        <v>0</v>
      </c>
      <c r="E222" s="37">
        <v>0</v>
      </c>
      <c r="F222" s="37">
        <v>0</v>
      </c>
      <c r="G222" s="37">
        <v>0</v>
      </c>
      <c r="H222" s="37">
        <v>4</v>
      </c>
      <c r="I222" s="40">
        <v>0</v>
      </c>
      <c r="J222" s="59">
        <f>SUM(B222:I222)</f>
        <v>7</v>
      </c>
      <c r="L222" s="36">
        <v>0</v>
      </c>
      <c r="M222" s="37">
        <v>0</v>
      </c>
      <c r="N222" s="37">
        <v>0</v>
      </c>
      <c r="O222" s="37">
        <v>0</v>
      </c>
      <c r="P222" s="37">
        <v>0</v>
      </c>
      <c r="Q222" s="37">
        <v>0</v>
      </c>
      <c r="R222" s="37">
        <v>0</v>
      </c>
      <c r="S222" s="40">
        <v>0</v>
      </c>
      <c r="T222" s="59">
        <f>SUM(L222:S222)</f>
        <v>0</v>
      </c>
      <c r="V222" s="36">
        <v>0</v>
      </c>
      <c r="W222" s="37">
        <v>0</v>
      </c>
      <c r="X222" s="37">
        <v>0</v>
      </c>
      <c r="Y222" s="37">
        <v>0</v>
      </c>
      <c r="Z222" s="37">
        <v>0</v>
      </c>
      <c r="AA222" s="37">
        <v>0</v>
      </c>
      <c r="AB222" s="37">
        <v>0</v>
      </c>
      <c r="AC222" s="40">
        <v>0</v>
      </c>
      <c r="AD222" s="59">
        <f>SUM(V222:AC222)</f>
        <v>0</v>
      </c>
      <c r="AF222" s="36">
        <v>102</v>
      </c>
      <c r="AG222" s="37">
        <v>5</v>
      </c>
      <c r="AH222" s="37">
        <v>1</v>
      </c>
      <c r="AI222" s="37">
        <v>0</v>
      </c>
      <c r="AJ222" s="37">
        <v>0</v>
      </c>
      <c r="AK222" s="37">
        <v>3</v>
      </c>
      <c r="AL222" s="37">
        <v>6</v>
      </c>
      <c r="AM222" s="40">
        <v>0</v>
      </c>
      <c r="AN222" s="59">
        <f>SUM(AF222:AM222)</f>
        <v>117</v>
      </c>
      <c r="AP222" s="59">
        <f>SUM(J222+T222+AD222+AN222)</f>
        <v>124</v>
      </c>
    </row>
    <row r="223" spans="1:42" ht="15.75" customHeight="1">
      <c r="A223" s="58">
        <v>0.72916666666666663</v>
      </c>
      <c r="B223" s="36">
        <v>6</v>
      </c>
      <c r="C223" s="37">
        <v>1</v>
      </c>
      <c r="D223" s="37">
        <v>0</v>
      </c>
      <c r="E223" s="37">
        <v>0</v>
      </c>
      <c r="F223" s="37">
        <v>0</v>
      </c>
      <c r="G223" s="37">
        <v>0</v>
      </c>
      <c r="H223" s="37">
        <v>4</v>
      </c>
      <c r="I223" s="40">
        <v>0</v>
      </c>
      <c r="J223" s="59">
        <f>SUM(B223:I223)</f>
        <v>11</v>
      </c>
      <c r="L223" s="36">
        <v>0</v>
      </c>
      <c r="M223" s="37">
        <v>0</v>
      </c>
      <c r="N223" s="37">
        <v>0</v>
      </c>
      <c r="O223" s="37">
        <v>0</v>
      </c>
      <c r="P223" s="37">
        <v>0</v>
      </c>
      <c r="Q223" s="37">
        <v>0</v>
      </c>
      <c r="R223" s="37">
        <v>0</v>
      </c>
      <c r="S223" s="40">
        <v>0</v>
      </c>
      <c r="T223" s="59">
        <f>SUM(L223:S223)</f>
        <v>0</v>
      </c>
      <c r="V223" s="36">
        <v>1</v>
      </c>
      <c r="W223" s="37">
        <v>0</v>
      </c>
      <c r="X223" s="37">
        <v>0</v>
      </c>
      <c r="Y223" s="37">
        <v>0</v>
      </c>
      <c r="Z223" s="37">
        <v>0</v>
      </c>
      <c r="AA223" s="37">
        <v>0</v>
      </c>
      <c r="AB223" s="37">
        <v>0</v>
      </c>
      <c r="AC223" s="40">
        <v>0</v>
      </c>
      <c r="AD223" s="59">
        <f>SUM(V223:AC223)</f>
        <v>1</v>
      </c>
      <c r="AF223" s="36">
        <v>86</v>
      </c>
      <c r="AG223" s="37">
        <v>7</v>
      </c>
      <c r="AH223" s="37">
        <v>0</v>
      </c>
      <c r="AI223" s="37">
        <v>0</v>
      </c>
      <c r="AJ223" s="37">
        <v>1</v>
      </c>
      <c r="AK223" s="37">
        <v>4</v>
      </c>
      <c r="AL223" s="37">
        <v>6</v>
      </c>
      <c r="AM223" s="40">
        <v>0</v>
      </c>
      <c r="AN223" s="59">
        <f>SUM(AF223:AM223)</f>
        <v>104</v>
      </c>
      <c r="AP223" s="59">
        <f>SUM(J223+T223+AD223+AN223)</f>
        <v>116</v>
      </c>
    </row>
    <row r="224" spans="1:42" ht="15.75" customHeight="1">
      <c r="A224" s="60">
        <v>0.73958333333333337</v>
      </c>
      <c r="B224" s="41">
        <v>7</v>
      </c>
      <c r="C224" s="42">
        <v>2</v>
      </c>
      <c r="D224" s="42">
        <v>0</v>
      </c>
      <c r="E224" s="42">
        <v>0</v>
      </c>
      <c r="F224" s="42">
        <v>0</v>
      </c>
      <c r="G224" s="42">
        <v>0</v>
      </c>
      <c r="H224" s="42">
        <v>2</v>
      </c>
      <c r="I224" s="43">
        <v>0</v>
      </c>
      <c r="J224" s="61">
        <f>SUM(B224:I224)</f>
        <v>11</v>
      </c>
      <c r="L224" s="41">
        <v>0</v>
      </c>
      <c r="M224" s="42">
        <v>0</v>
      </c>
      <c r="N224" s="42">
        <v>0</v>
      </c>
      <c r="O224" s="42">
        <v>0</v>
      </c>
      <c r="P224" s="42">
        <v>0</v>
      </c>
      <c r="Q224" s="42">
        <v>0</v>
      </c>
      <c r="R224" s="42">
        <v>0</v>
      </c>
      <c r="S224" s="43">
        <v>0</v>
      </c>
      <c r="T224" s="61">
        <f>SUM(L224:S224)</f>
        <v>0</v>
      </c>
      <c r="V224" s="41">
        <v>0</v>
      </c>
      <c r="W224" s="42">
        <v>0</v>
      </c>
      <c r="X224" s="42">
        <v>0</v>
      </c>
      <c r="Y224" s="42">
        <v>0</v>
      </c>
      <c r="Z224" s="42">
        <v>0</v>
      </c>
      <c r="AA224" s="42">
        <v>0</v>
      </c>
      <c r="AB224" s="42">
        <v>0</v>
      </c>
      <c r="AC224" s="43">
        <v>0</v>
      </c>
      <c r="AD224" s="61">
        <f>SUM(V224:AC224)</f>
        <v>0</v>
      </c>
      <c r="AF224" s="41">
        <v>105</v>
      </c>
      <c r="AG224" s="42">
        <v>7</v>
      </c>
      <c r="AH224" s="42">
        <v>0</v>
      </c>
      <c r="AI224" s="42">
        <v>0</v>
      </c>
      <c r="AJ224" s="42">
        <v>0</v>
      </c>
      <c r="AK224" s="42">
        <v>4</v>
      </c>
      <c r="AL224" s="42">
        <v>2</v>
      </c>
      <c r="AM224" s="43">
        <v>0</v>
      </c>
      <c r="AN224" s="61">
        <f>SUM(AF224:AM224)</f>
        <v>118</v>
      </c>
      <c r="AP224" s="61">
        <f>SUM(J224+T224+AD224+AN224)</f>
        <v>129</v>
      </c>
    </row>
    <row r="225" spans="1:42" ht="15.75" customHeight="1">
      <c r="A225" s="48" t="s">
        <v>29</v>
      </c>
      <c r="B225" s="45">
        <f t="shared" ref="B225:J225" si="164">SUM(B221:B224)</f>
        <v>24</v>
      </c>
      <c r="C225" s="46">
        <f t="shared" si="164"/>
        <v>7</v>
      </c>
      <c r="D225" s="46">
        <f t="shared" si="164"/>
        <v>0</v>
      </c>
      <c r="E225" s="46">
        <f t="shared" si="164"/>
        <v>0</v>
      </c>
      <c r="F225" s="46">
        <f t="shared" si="164"/>
        <v>0</v>
      </c>
      <c r="G225" s="46">
        <f t="shared" si="164"/>
        <v>0</v>
      </c>
      <c r="H225" s="46">
        <f t="shared" si="164"/>
        <v>16</v>
      </c>
      <c r="I225" s="47">
        <f t="shared" si="164"/>
        <v>0</v>
      </c>
      <c r="J225" s="48">
        <f t="shared" si="164"/>
        <v>47</v>
      </c>
      <c r="L225" s="45">
        <f t="shared" ref="L225:T225" si="165">SUM(L221:L224)</f>
        <v>0</v>
      </c>
      <c r="M225" s="46">
        <f t="shared" si="165"/>
        <v>0</v>
      </c>
      <c r="N225" s="46">
        <f t="shared" si="165"/>
        <v>0</v>
      </c>
      <c r="O225" s="46">
        <f t="shared" si="165"/>
        <v>0</v>
      </c>
      <c r="P225" s="46">
        <f t="shared" si="165"/>
        <v>0</v>
      </c>
      <c r="Q225" s="46">
        <f t="shared" si="165"/>
        <v>0</v>
      </c>
      <c r="R225" s="46">
        <f t="shared" si="165"/>
        <v>0</v>
      </c>
      <c r="S225" s="47">
        <f t="shared" si="165"/>
        <v>0</v>
      </c>
      <c r="T225" s="48">
        <f t="shared" si="165"/>
        <v>0</v>
      </c>
      <c r="V225" s="45">
        <f t="shared" ref="V225:AD225" si="166">SUM(V221:V224)</f>
        <v>2</v>
      </c>
      <c r="W225" s="46">
        <f t="shared" si="166"/>
        <v>0</v>
      </c>
      <c r="X225" s="46">
        <f t="shared" si="166"/>
        <v>0</v>
      </c>
      <c r="Y225" s="46">
        <f t="shared" si="166"/>
        <v>0</v>
      </c>
      <c r="Z225" s="46">
        <f t="shared" si="166"/>
        <v>0</v>
      </c>
      <c r="AA225" s="46">
        <f t="shared" si="166"/>
        <v>0</v>
      </c>
      <c r="AB225" s="46">
        <f t="shared" si="166"/>
        <v>0</v>
      </c>
      <c r="AC225" s="47">
        <f t="shared" si="166"/>
        <v>0</v>
      </c>
      <c r="AD225" s="48">
        <f t="shared" si="166"/>
        <v>2</v>
      </c>
      <c r="AF225" s="45">
        <f t="shared" ref="AF225:AN225" si="167">SUM(AF221:AF224)</f>
        <v>392</v>
      </c>
      <c r="AG225" s="46">
        <f t="shared" si="167"/>
        <v>28</v>
      </c>
      <c r="AH225" s="46">
        <f t="shared" si="167"/>
        <v>2</v>
      </c>
      <c r="AI225" s="46">
        <f t="shared" si="167"/>
        <v>2</v>
      </c>
      <c r="AJ225" s="46">
        <f t="shared" si="167"/>
        <v>1</v>
      </c>
      <c r="AK225" s="46">
        <f t="shared" si="167"/>
        <v>20</v>
      </c>
      <c r="AL225" s="46">
        <f t="shared" si="167"/>
        <v>16</v>
      </c>
      <c r="AM225" s="47">
        <f t="shared" si="167"/>
        <v>0</v>
      </c>
      <c r="AN225" s="48">
        <f t="shared" si="167"/>
        <v>461</v>
      </c>
      <c r="AP225" s="48">
        <f>SUM(AP221:AP224)</f>
        <v>510</v>
      </c>
    </row>
    <row r="226" spans="1:42" ht="15.75" customHeight="1">
      <c r="A226" s="56">
        <v>0.75</v>
      </c>
      <c r="B226" s="32">
        <v>5</v>
      </c>
      <c r="C226" s="33">
        <v>1</v>
      </c>
      <c r="D226" s="33">
        <v>0</v>
      </c>
      <c r="E226" s="33">
        <v>0</v>
      </c>
      <c r="F226" s="33">
        <v>0</v>
      </c>
      <c r="G226" s="33">
        <v>0</v>
      </c>
      <c r="H226" s="33">
        <v>1</v>
      </c>
      <c r="I226" s="34">
        <v>0</v>
      </c>
      <c r="J226" s="57">
        <f>SUM(B226:I226)</f>
        <v>7</v>
      </c>
      <c r="L226" s="32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4">
        <v>0</v>
      </c>
      <c r="T226" s="57">
        <f>SUM(L226:S226)</f>
        <v>0</v>
      </c>
      <c r="V226" s="32">
        <v>1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4">
        <v>0</v>
      </c>
      <c r="AD226" s="57">
        <f>SUM(V226:AC226)</f>
        <v>1</v>
      </c>
      <c r="AF226" s="32">
        <v>87</v>
      </c>
      <c r="AG226" s="33">
        <v>6</v>
      </c>
      <c r="AH226" s="33">
        <v>0</v>
      </c>
      <c r="AI226" s="33">
        <v>0</v>
      </c>
      <c r="AJ226" s="33">
        <v>1</v>
      </c>
      <c r="AK226" s="33">
        <v>5</v>
      </c>
      <c r="AL226" s="33">
        <v>3</v>
      </c>
      <c r="AM226" s="34">
        <v>0</v>
      </c>
      <c r="AN226" s="57">
        <f>SUM(AF226:AM226)</f>
        <v>102</v>
      </c>
      <c r="AP226" s="57">
        <f>SUM(J226+T226+AD226+AN226)</f>
        <v>110</v>
      </c>
    </row>
    <row r="227" spans="1:42" ht="15.75" customHeight="1">
      <c r="A227" s="58">
        <v>0.76041666666666663</v>
      </c>
      <c r="B227" s="36">
        <v>5</v>
      </c>
      <c r="C227" s="37">
        <v>0</v>
      </c>
      <c r="D227" s="37">
        <v>0</v>
      </c>
      <c r="E227" s="37">
        <v>0</v>
      </c>
      <c r="F227" s="37">
        <v>0</v>
      </c>
      <c r="G227" s="37">
        <v>0</v>
      </c>
      <c r="H227" s="37">
        <v>0</v>
      </c>
      <c r="I227" s="40">
        <v>0</v>
      </c>
      <c r="J227" s="59">
        <f>SUM(B227:I227)</f>
        <v>5</v>
      </c>
      <c r="L227" s="36">
        <v>0</v>
      </c>
      <c r="M227" s="37">
        <v>0</v>
      </c>
      <c r="N227" s="37">
        <v>0</v>
      </c>
      <c r="O227" s="37">
        <v>0</v>
      </c>
      <c r="P227" s="37">
        <v>0</v>
      </c>
      <c r="Q227" s="37">
        <v>0</v>
      </c>
      <c r="R227" s="37">
        <v>0</v>
      </c>
      <c r="S227" s="40">
        <v>0</v>
      </c>
      <c r="T227" s="59">
        <f>SUM(L227:S227)</f>
        <v>0</v>
      </c>
      <c r="V227" s="36">
        <v>1</v>
      </c>
      <c r="W227" s="37">
        <v>0</v>
      </c>
      <c r="X227" s="37">
        <v>0</v>
      </c>
      <c r="Y227" s="37">
        <v>0</v>
      </c>
      <c r="Z227" s="37">
        <v>0</v>
      </c>
      <c r="AA227" s="37">
        <v>0</v>
      </c>
      <c r="AB227" s="37">
        <v>0</v>
      </c>
      <c r="AC227" s="40">
        <v>0</v>
      </c>
      <c r="AD227" s="59">
        <f>SUM(V227:AC227)</f>
        <v>1</v>
      </c>
      <c r="AF227" s="36">
        <v>109</v>
      </c>
      <c r="AG227" s="37">
        <v>3</v>
      </c>
      <c r="AH227" s="37">
        <v>0</v>
      </c>
      <c r="AI227" s="37">
        <v>0</v>
      </c>
      <c r="AJ227" s="37">
        <v>1</v>
      </c>
      <c r="AK227" s="37">
        <v>3</v>
      </c>
      <c r="AL227" s="37">
        <v>0</v>
      </c>
      <c r="AM227" s="40">
        <v>0</v>
      </c>
      <c r="AN227" s="59">
        <f>SUM(AF227:AM227)</f>
        <v>116</v>
      </c>
      <c r="AP227" s="59">
        <f>SUM(J227+T227+AD227+AN227)</f>
        <v>122</v>
      </c>
    </row>
    <row r="228" spans="1:42" ht="15.75" customHeight="1">
      <c r="A228" s="58">
        <v>0.77083333333333337</v>
      </c>
      <c r="B228" s="36">
        <v>10</v>
      </c>
      <c r="C228" s="37">
        <v>0</v>
      </c>
      <c r="D228" s="37">
        <v>0</v>
      </c>
      <c r="E228" s="37">
        <v>0</v>
      </c>
      <c r="F228" s="37">
        <v>0</v>
      </c>
      <c r="G228" s="37">
        <v>0</v>
      </c>
      <c r="H228" s="37">
        <v>2</v>
      </c>
      <c r="I228" s="40">
        <v>0</v>
      </c>
      <c r="J228" s="59">
        <f>SUM(B228:I228)</f>
        <v>12</v>
      </c>
      <c r="L228" s="36">
        <v>0</v>
      </c>
      <c r="M228" s="37">
        <v>0</v>
      </c>
      <c r="N228" s="37">
        <v>0</v>
      </c>
      <c r="O228" s="37">
        <v>0</v>
      </c>
      <c r="P228" s="37">
        <v>0</v>
      </c>
      <c r="Q228" s="37">
        <v>0</v>
      </c>
      <c r="R228" s="37">
        <v>0</v>
      </c>
      <c r="S228" s="40">
        <v>0</v>
      </c>
      <c r="T228" s="59">
        <f>SUM(L228:S228)</f>
        <v>0</v>
      </c>
      <c r="V228" s="36">
        <v>1</v>
      </c>
      <c r="W228" s="37">
        <v>0</v>
      </c>
      <c r="X228" s="37">
        <v>0</v>
      </c>
      <c r="Y228" s="37">
        <v>0</v>
      </c>
      <c r="Z228" s="37">
        <v>0</v>
      </c>
      <c r="AA228" s="37">
        <v>0</v>
      </c>
      <c r="AB228" s="37">
        <v>0</v>
      </c>
      <c r="AC228" s="40">
        <v>0</v>
      </c>
      <c r="AD228" s="59">
        <f>SUM(V228:AC228)</f>
        <v>1</v>
      </c>
      <c r="AF228" s="36">
        <v>69</v>
      </c>
      <c r="AG228" s="37">
        <v>2</v>
      </c>
      <c r="AH228" s="37">
        <v>0</v>
      </c>
      <c r="AI228" s="37">
        <v>0</v>
      </c>
      <c r="AJ228" s="37">
        <v>1</v>
      </c>
      <c r="AK228" s="37">
        <v>0</v>
      </c>
      <c r="AL228" s="37">
        <v>1</v>
      </c>
      <c r="AM228" s="40">
        <v>0</v>
      </c>
      <c r="AN228" s="59">
        <f>SUM(AF228:AM228)</f>
        <v>73</v>
      </c>
      <c r="AP228" s="59">
        <f>SUM(J228+T228+AD228+AN228)</f>
        <v>86</v>
      </c>
    </row>
    <row r="229" spans="1:42" ht="15.75" customHeight="1">
      <c r="A229" s="60">
        <v>0.78125</v>
      </c>
      <c r="B229" s="41">
        <v>7</v>
      </c>
      <c r="C229" s="42">
        <v>0</v>
      </c>
      <c r="D229" s="42">
        <v>0</v>
      </c>
      <c r="E229" s="42">
        <v>0</v>
      </c>
      <c r="F229" s="42">
        <v>0</v>
      </c>
      <c r="G229" s="42">
        <v>0</v>
      </c>
      <c r="H229" s="42">
        <v>1</v>
      </c>
      <c r="I229" s="43">
        <v>0</v>
      </c>
      <c r="J229" s="61">
        <f>SUM(B229:I229)</f>
        <v>8</v>
      </c>
      <c r="L229" s="41">
        <v>0</v>
      </c>
      <c r="M229" s="42">
        <v>0</v>
      </c>
      <c r="N229" s="42">
        <v>0</v>
      </c>
      <c r="O229" s="42">
        <v>0</v>
      </c>
      <c r="P229" s="42">
        <v>0</v>
      </c>
      <c r="Q229" s="42">
        <v>0</v>
      </c>
      <c r="R229" s="42">
        <v>0</v>
      </c>
      <c r="S229" s="43">
        <v>0</v>
      </c>
      <c r="T229" s="61">
        <f>SUM(L229:S229)</f>
        <v>0</v>
      </c>
      <c r="V229" s="41">
        <v>0</v>
      </c>
      <c r="W229" s="42">
        <v>0</v>
      </c>
      <c r="X229" s="42">
        <v>0</v>
      </c>
      <c r="Y229" s="42">
        <v>0</v>
      </c>
      <c r="Z229" s="42">
        <v>0</v>
      </c>
      <c r="AA229" s="42">
        <v>0</v>
      </c>
      <c r="AB229" s="42">
        <v>0</v>
      </c>
      <c r="AC229" s="43">
        <v>0</v>
      </c>
      <c r="AD229" s="61">
        <f>SUM(V229:AC229)</f>
        <v>0</v>
      </c>
      <c r="AF229" s="41">
        <v>51</v>
      </c>
      <c r="AG229" s="42">
        <v>2</v>
      </c>
      <c r="AH229" s="42">
        <v>0</v>
      </c>
      <c r="AI229" s="42">
        <v>0</v>
      </c>
      <c r="AJ229" s="42">
        <v>1</v>
      </c>
      <c r="AK229" s="42">
        <v>0</v>
      </c>
      <c r="AL229" s="42">
        <v>8</v>
      </c>
      <c r="AM229" s="43">
        <v>0</v>
      </c>
      <c r="AN229" s="61">
        <f>SUM(AF229:AM229)</f>
        <v>62</v>
      </c>
      <c r="AP229" s="61">
        <f>SUM(J229+T229+AD229+AN229)</f>
        <v>70</v>
      </c>
    </row>
    <row r="230" spans="1:42" ht="15.75" customHeight="1">
      <c r="A230" s="48" t="s">
        <v>29</v>
      </c>
      <c r="B230" s="45">
        <f t="shared" ref="B230:J230" si="168">SUM(B226:B229)</f>
        <v>27</v>
      </c>
      <c r="C230" s="46">
        <f t="shared" si="168"/>
        <v>1</v>
      </c>
      <c r="D230" s="46">
        <f t="shared" si="168"/>
        <v>0</v>
      </c>
      <c r="E230" s="46">
        <f t="shared" si="168"/>
        <v>0</v>
      </c>
      <c r="F230" s="46">
        <f t="shared" si="168"/>
        <v>0</v>
      </c>
      <c r="G230" s="46">
        <f t="shared" si="168"/>
        <v>0</v>
      </c>
      <c r="H230" s="46">
        <f t="shared" si="168"/>
        <v>4</v>
      </c>
      <c r="I230" s="47">
        <f t="shared" si="168"/>
        <v>0</v>
      </c>
      <c r="J230" s="48">
        <f t="shared" si="168"/>
        <v>32</v>
      </c>
      <c r="L230" s="45">
        <f t="shared" ref="L230:T230" si="169">SUM(L226:L229)</f>
        <v>0</v>
      </c>
      <c r="M230" s="46">
        <f t="shared" si="169"/>
        <v>0</v>
      </c>
      <c r="N230" s="46">
        <f t="shared" si="169"/>
        <v>0</v>
      </c>
      <c r="O230" s="46">
        <f t="shared" si="169"/>
        <v>0</v>
      </c>
      <c r="P230" s="46">
        <f t="shared" si="169"/>
        <v>0</v>
      </c>
      <c r="Q230" s="46">
        <f t="shared" si="169"/>
        <v>0</v>
      </c>
      <c r="R230" s="46">
        <f t="shared" si="169"/>
        <v>0</v>
      </c>
      <c r="S230" s="47">
        <f t="shared" si="169"/>
        <v>0</v>
      </c>
      <c r="T230" s="48">
        <f t="shared" si="169"/>
        <v>0</v>
      </c>
      <c r="V230" s="45">
        <f t="shared" ref="V230:AD230" si="170">SUM(V226:V229)</f>
        <v>3</v>
      </c>
      <c r="W230" s="46">
        <f t="shared" si="170"/>
        <v>0</v>
      </c>
      <c r="X230" s="46">
        <f t="shared" si="170"/>
        <v>0</v>
      </c>
      <c r="Y230" s="46">
        <f t="shared" si="170"/>
        <v>0</v>
      </c>
      <c r="Z230" s="46">
        <f t="shared" si="170"/>
        <v>0</v>
      </c>
      <c r="AA230" s="46">
        <f t="shared" si="170"/>
        <v>0</v>
      </c>
      <c r="AB230" s="46">
        <f t="shared" si="170"/>
        <v>0</v>
      </c>
      <c r="AC230" s="47">
        <f t="shared" si="170"/>
        <v>0</v>
      </c>
      <c r="AD230" s="48">
        <f t="shared" si="170"/>
        <v>3</v>
      </c>
      <c r="AF230" s="45">
        <f t="shared" ref="AF230:AN230" si="171">SUM(AF226:AF229)</f>
        <v>316</v>
      </c>
      <c r="AG230" s="46">
        <f t="shared" si="171"/>
        <v>13</v>
      </c>
      <c r="AH230" s="46">
        <f t="shared" si="171"/>
        <v>0</v>
      </c>
      <c r="AI230" s="46">
        <f t="shared" si="171"/>
        <v>0</v>
      </c>
      <c r="AJ230" s="46">
        <f t="shared" si="171"/>
        <v>4</v>
      </c>
      <c r="AK230" s="46">
        <f t="shared" si="171"/>
        <v>8</v>
      </c>
      <c r="AL230" s="46">
        <f t="shared" si="171"/>
        <v>12</v>
      </c>
      <c r="AM230" s="47">
        <f t="shared" si="171"/>
        <v>0</v>
      </c>
      <c r="AN230" s="48">
        <f t="shared" si="171"/>
        <v>353</v>
      </c>
      <c r="AP230" s="48">
        <f>SUM(AP226:AP229)</f>
        <v>388</v>
      </c>
    </row>
    <row r="232" spans="1:42" ht="15.75" customHeight="1">
      <c r="A232" s="48" t="s">
        <v>30</v>
      </c>
      <c r="B232" s="45">
        <f t="shared" ref="B232:J232" si="172">SUM(B230+B225+B220+B215+B210+B205)</f>
        <v>141</v>
      </c>
      <c r="C232" s="46">
        <f t="shared" si="172"/>
        <v>22</v>
      </c>
      <c r="D232" s="46">
        <f t="shared" si="172"/>
        <v>2</v>
      </c>
      <c r="E232" s="46">
        <f t="shared" si="172"/>
        <v>0</v>
      </c>
      <c r="F232" s="46">
        <f t="shared" si="172"/>
        <v>0</v>
      </c>
      <c r="G232" s="46">
        <f t="shared" si="172"/>
        <v>3</v>
      </c>
      <c r="H232" s="46">
        <f t="shared" si="172"/>
        <v>52</v>
      </c>
      <c r="I232" s="47">
        <f t="shared" si="172"/>
        <v>0</v>
      </c>
      <c r="J232" s="48">
        <f t="shared" si="172"/>
        <v>220</v>
      </c>
      <c r="L232" s="45">
        <f t="shared" ref="L232:T232" si="173">SUM(L230+L225+L220+L215+L210+L205)</f>
        <v>0</v>
      </c>
      <c r="M232" s="46">
        <f t="shared" si="173"/>
        <v>0</v>
      </c>
      <c r="N232" s="46">
        <f t="shared" si="173"/>
        <v>0</v>
      </c>
      <c r="O232" s="46">
        <f t="shared" si="173"/>
        <v>0</v>
      </c>
      <c r="P232" s="46">
        <f t="shared" si="173"/>
        <v>0</v>
      </c>
      <c r="Q232" s="46">
        <f t="shared" si="173"/>
        <v>0</v>
      </c>
      <c r="R232" s="46">
        <f t="shared" si="173"/>
        <v>0</v>
      </c>
      <c r="S232" s="47">
        <f t="shared" si="173"/>
        <v>0</v>
      </c>
      <c r="T232" s="48">
        <f t="shared" si="173"/>
        <v>0</v>
      </c>
      <c r="V232" s="45">
        <f t="shared" ref="V232:AD232" si="174">SUM(V230+V225+V220+V215+V210+V205)</f>
        <v>12</v>
      </c>
      <c r="W232" s="46">
        <f t="shared" si="174"/>
        <v>6</v>
      </c>
      <c r="X232" s="46">
        <f t="shared" si="174"/>
        <v>0</v>
      </c>
      <c r="Y232" s="46">
        <f t="shared" si="174"/>
        <v>0</v>
      </c>
      <c r="Z232" s="46">
        <f t="shared" si="174"/>
        <v>0</v>
      </c>
      <c r="AA232" s="46">
        <f t="shared" si="174"/>
        <v>0</v>
      </c>
      <c r="AB232" s="46">
        <f t="shared" si="174"/>
        <v>0</v>
      </c>
      <c r="AC232" s="47">
        <f t="shared" si="174"/>
        <v>0</v>
      </c>
      <c r="AD232" s="48">
        <f t="shared" si="174"/>
        <v>18</v>
      </c>
      <c r="AF232" s="45">
        <f t="shared" ref="AF232:AN232" si="175">SUM(AF230+AF225+AF220+AF215+AF210+AF205)</f>
        <v>1637</v>
      </c>
      <c r="AG232" s="46">
        <f t="shared" si="175"/>
        <v>177</v>
      </c>
      <c r="AH232" s="46">
        <f t="shared" si="175"/>
        <v>31</v>
      </c>
      <c r="AI232" s="46">
        <f t="shared" si="175"/>
        <v>11</v>
      </c>
      <c r="AJ232" s="46">
        <f t="shared" si="175"/>
        <v>25</v>
      </c>
      <c r="AK232" s="46">
        <f t="shared" si="175"/>
        <v>43</v>
      </c>
      <c r="AL232" s="46">
        <f t="shared" si="175"/>
        <v>61</v>
      </c>
      <c r="AM232" s="47">
        <f t="shared" si="175"/>
        <v>0</v>
      </c>
      <c r="AN232" s="48">
        <f t="shared" si="175"/>
        <v>1985</v>
      </c>
      <c r="AP232" s="48">
        <f>SUM(AP230+AP225+AP220+AP215+AP210+AP205)</f>
        <v>2223</v>
      </c>
    </row>
    <row r="234" spans="1:42" ht="15.75" customHeight="1">
      <c r="A234" s="48" t="s">
        <v>24</v>
      </c>
      <c r="B234" s="45">
        <f t="shared" ref="B234:J234" si="176">SUM(B195+B232)</f>
        <v>479</v>
      </c>
      <c r="C234" s="46">
        <f t="shared" si="176"/>
        <v>65</v>
      </c>
      <c r="D234" s="46">
        <f t="shared" si="176"/>
        <v>7</v>
      </c>
      <c r="E234" s="46">
        <f t="shared" si="176"/>
        <v>2</v>
      </c>
      <c r="F234" s="46">
        <f t="shared" si="176"/>
        <v>0</v>
      </c>
      <c r="G234" s="46">
        <f t="shared" si="176"/>
        <v>10</v>
      </c>
      <c r="H234" s="46">
        <f t="shared" si="176"/>
        <v>223</v>
      </c>
      <c r="I234" s="47">
        <f t="shared" si="176"/>
        <v>0</v>
      </c>
      <c r="J234" s="48">
        <f t="shared" si="176"/>
        <v>786</v>
      </c>
      <c r="L234" s="45">
        <f t="shared" ref="L234:T234" si="177">SUM(L195+L232)</f>
        <v>0</v>
      </c>
      <c r="M234" s="46">
        <f t="shared" si="177"/>
        <v>1</v>
      </c>
      <c r="N234" s="46">
        <f t="shared" si="177"/>
        <v>0</v>
      </c>
      <c r="O234" s="46">
        <f t="shared" si="177"/>
        <v>0</v>
      </c>
      <c r="P234" s="46">
        <f t="shared" si="177"/>
        <v>0</v>
      </c>
      <c r="Q234" s="46">
        <f t="shared" si="177"/>
        <v>0</v>
      </c>
      <c r="R234" s="46">
        <f t="shared" si="177"/>
        <v>0</v>
      </c>
      <c r="S234" s="47">
        <f t="shared" si="177"/>
        <v>0</v>
      </c>
      <c r="T234" s="48">
        <f t="shared" si="177"/>
        <v>1</v>
      </c>
      <c r="V234" s="45">
        <f t="shared" ref="V234:AD234" si="178">SUM(V195+V232)</f>
        <v>26</v>
      </c>
      <c r="W234" s="46">
        <f t="shared" si="178"/>
        <v>15</v>
      </c>
      <c r="X234" s="46">
        <f t="shared" si="178"/>
        <v>0</v>
      </c>
      <c r="Y234" s="46">
        <f t="shared" si="178"/>
        <v>0</v>
      </c>
      <c r="Z234" s="46">
        <f t="shared" si="178"/>
        <v>0</v>
      </c>
      <c r="AA234" s="46">
        <f t="shared" si="178"/>
        <v>0</v>
      </c>
      <c r="AB234" s="46">
        <f t="shared" si="178"/>
        <v>0</v>
      </c>
      <c r="AC234" s="47">
        <f t="shared" si="178"/>
        <v>0</v>
      </c>
      <c r="AD234" s="48">
        <f t="shared" si="178"/>
        <v>41</v>
      </c>
      <c r="AF234" s="45">
        <f t="shared" ref="AF234:AN234" si="179">SUM(AF195+AF232)</f>
        <v>3194</v>
      </c>
      <c r="AG234" s="46">
        <f t="shared" si="179"/>
        <v>453</v>
      </c>
      <c r="AH234" s="46">
        <f t="shared" si="179"/>
        <v>73</v>
      </c>
      <c r="AI234" s="46">
        <f t="shared" si="179"/>
        <v>25</v>
      </c>
      <c r="AJ234" s="46">
        <f t="shared" si="179"/>
        <v>49</v>
      </c>
      <c r="AK234" s="46">
        <f t="shared" si="179"/>
        <v>77</v>
      </c>
      <c r="AL234" s="46">
        <f t="shared" si="179"/>
        <v>117</v>
      </c>
      <c r="AM234" s="47">
        <f t="shared" si="179"/>
        <v>0</v>
      </c>
      <c r="AN234" s="48">
        <f t="shared" si="179"/>
        <v>3988</v>
      </c>
      <c r="AP234" s="48">
        <f>SUM(AP195+AP232)</f>
        <v>4816</v>
      </c>
    </row>
    <row r="236" spans="1:42" ht="15.75" customHeight="1">
      <c r="A236" s="44" t="s">
        <v>14</v>
      </c>
      <c r="B236" s="44" t="str">
        <f>$AH$9</f>
        <v>Arm D - Cumberland Road</v>
      </c>
    </row>
    <row r="237" spans="1:42" ht="15.75" customHeight="1">
      <c r="B237" s="45" t="s">
        <v>16</v>
      </c>
      <c r="C237" s="46"/>
      <c r="D237" s="46" t="str">
        <f>$D$9</f>
        <v>Arm A - Wapping Road</v>
      </c>
      <c r="E237" s="46"/>
      <c r="F237" s="46"/>
      <c r="G237" s="46"/>
      <c r="H237" s="46"/>
      <c r="I237" s="47"/>
      <c r="J237" s="48"/>
      <c r="L237" s="45" t="s">
        <v>16</v>
      </c>
      <c r="M237" s="46"/>
      <c r="N237" s="46" t="str">
        <f>$N$9</f>
        <v>Arm B - River Path</v>
      </c>
      <c r="O237" s="46"/>
      <c r="P237" s="46"/>
      <c r="Q237" s="46"/>
      <c r="R237" s="46"/>
      <c r="S237" s="47"/>
      <c r="T237" s="48"/>
      <c r="V237" s="45" t="s">
        <v>16</v>
      </c>
      <c r="W237" s="46"/>
      <c r="X237" s="46" t="str">
        <f>$X$9</f>
        <v>Arm C - Commerical Road</v>
      </c>
      <c r="Y237" s="46"/>
      <c r="Z237" s="46"/>
      <c r="AA237" s="46"/>
      <c r="AB237" s="46"/>
      <c r="AC237" s="47"/>
      <c r="AD237" s="48"/>
      <c r="AF237" s="45" t="s">
        <v>16</v>
      </c>
      <c r="AG237" s="46"/>
      <c r="AH237" s="46" t="str">
        <f>$AH$9</f>
        <v>Arm D - Cumberland Road</v>
      </c>
      <c r="AI237" s="46"/>
      <c r="AJ237" s="46"/>
      <c r="AK237" s="46"/>
      <c r="AL237" s="46"/>
      <c r="AM237" s="47"/>
      <c r="AN237" s="48"/>
      <c r="AP237" s="49" t="s">
        <v>28</v>
      </c>
    </row>
    <row r="238" spans="1:42" s="50" customFormat="1" ht="15.75" customHeight="1">
      <c r="B238" s="51" t="str">
        <f>$B$10</f>
        <v>CAR</v>
      </c>
      <c r="C238" s="52" t="str">
        <f>$C$10</f>
        <v>LGV</v>
      </c>
      <c r="D238" s="52" t="str">
        <f>$D$10</f>
        <v>OGV1</v>
      </c>
      <c r="E238" s="52" t="str">
        <f>$E$10</f>
        <v>OGV2</v>
      </c>
      <c r="F238" s="52" t="str">
        <f>$F$10</f>
        <v>PSV</v>
      </c>
      <c r="G238" s="52" t="str">
        <f>$G$10</f>
        <v>MC</v>
      </c>
      <c r="H238" s="52" t="str">
        <f>$H$10</f>
        <v>PC</v>
      </c>
      <c r="I238" s="53" t="str">
        <f>$I$10</f>
        <v>PC</v>
      </c>
      <c r="J238" s="54" t="s">
        <v>24</v>
      </c>
      <c r="L238" s="51" t="str">
        <f>$B$10</f>
        <v>CAR</v>
      </c>
      <c r="M238" s="52" t="str">
        <f>$C$10</f>
        <v>LGV</v>
      </c>
      <c r="N238" s="52" t="str">
        <f>$D$10</f>
        <v>OGV1</v>
      </c>
      <c r="O238" s="52" t="str">
        <f>$E$10</f>
        <v>OGV2</v>
      </c>
      <c r="P238" s="52" t="str">
        <f>$F$10</f>
        <v>PSV</v>
      </c>
      <c r="Q238" s="52" t="str">
        <f>$G$10</f>
        <v>MC</v>
      </c>
      <c r="R238" s="52" t="str">
        <f>$H$10</f>
        <v>PC</v>
      </c>
      <c r="S238" s="53" t="str">
        <f>$I$10</f>
        <v>PC</v>
      </c>
      <c r="T238" s="54" t="s">
        <v>24</v>
      </c>
      <c r="V238" s="51" t="str">
        <f>$B$10</f>
        <v>CAR</v>
      </c>
      <c r="W238" s="52" t="str">
        <f>$C$10</f>
        <v>LGV</v>
      </c>
      <c r="X238" s="52" t="str">
        <f>$D$10</f>
        <v>OGV1</v>
      </c>
      <c r="Y238" s="52" t="str">
        <f>$E$10</f>
        <v>OGV2</v>
      </c>
      <c r="Z238" s="52" t="str">
        <f>$F$10</f>
        <v>PSV</v>
      </c>
      <c r="AA238" s="52" t="str">
        <f>$G$10</f>
        <v>MC</v>
      </c>
      <c r="AB238" s="52" t="str">
        <f>$H$10</f>
        <v>PC</v>
      </c>
      <c r="AC238" s="53" t="str">
        <f>$I$10</f>
        <v>PC</v>
      </c>
      <c r="AD238" s="54" t="s">
        <v>24</v>
      </c>
      <c r="AF238" s="51" t="str">
        <f>$B$10</f>
        <v>CAR</v>
      </c>
      <c r="AG238" s="52" t="str">
        <f>$C$10</f>
        <v>LGV</v>
      </c>
      <c r="AH238" s="52" t="str">
        <f>$D$10</f>
        <v>OGV1</v>
      </c>
      <c r="AI238" s="52" t="str">
        <f>$E$10</f>
        <v>OGV2</v>
      </c>
      <c r="AJ238" s="52" t="str">
        <f>$F$10</f>
        <v>PSV</v>
      </c>
      <c r="AK238" s="52" t="str">
        <f>$G$10</f>
        <v>MC</v>
      </c>
      <c r="AL238" s="52" t="str">
        <f>$H$10</f>
        <v>PC</v>
      </c>
      <c r="AM238" s="53" t="str">
        <f>$I$10</f>
        <v>PC</v>
      </c>
      <c r="AN238" s="54" t="s">
        <v>24</v>
      </c>
      <c r="AP238" s="55"/>
    </row>
    <row r="240" spans="1:42" ht="15.75" customHeight="1">
      <c r="A240" s="56">
        <v>0.29166666666666669</v>
      </c>
      <c r="B240" s="32">
        <v>9</v>
      </c>
      <c r="C240" s="33">
        <v>3</v>
      </c>
      <c r="D240" s="33">
        <v>0</v>
      </c>
      <c r="E240" s="33">
        <v>0</v>
      </c>
      <c r="F240" s="33">
        <v>0</v>
      </c>
      <c r="G240" s="33">
        <v>0</v>
      </c>
      <c r="H240" s="33">
        <v>17</v>
      </c>
      <c r="I240" s="34">
        <v>0</v>
      </c>
      <c r="J240" s="57">
        <f>SUM(B240:I240)</f>
        <v>29</v>
      </c>
      <c r="L240" s="32">
        <v>0</v>
      </c>
      <c r="M240" s="33">
        <v>0</v>
      </c>
      <c r="N240" s="33">
        <v>0</v>
      </c>
      <c r="O240" s="33">
        <v>0</v>
      </c>
      <c r="P240" s="33">
        <v>0</v>
      </c>
      <c r="Q240" s="33">
        <v>1</v>
      </c>
      <c r="R240" s="33">
        <v>0</v>
      </c>
      <c r="S240" s="34">
        <v>1</v>
      </c>
      <c r="T240" s="57">
        <f>SUM(L240:S240)</f>
        <v>2</v>
      </c>
      <c r="V240" s="32">
        <v>74</v>
      </c>
      <c r="W240" s="33">
        <v>12</v>
      </c>
      <c r="X240" s="33">
        <v>0</v>
      </c>
      <c r="Y240" s="33">
        <v>0</v>
      </c>
      <c r="Z240" s="33">
        <v>0</v>
      </c>
      <c r="AA240" s="33">
        <v>5</v>
      </c>
      <c r="AB240" s="33">
        <v>6</v>
      </c>
      <c r="AC240" s="34">
        <v>0</v>
      </c>
      <c r="AD240" s="57">
        <f>SUM(V240:AC240)</f>
        <v>97</v>
      </c>
      <c r="AF240" s="32">
        <v>0</v>
      </c>
      <c r="AG240" s="33">
        <v>0</v>
      </c>
      <c r="AH240" s="33">
        <v>0</v>
      </c>
      <c r="AI240" s="33">
        <v>0</v>
      </c>
      <c r="AJ240" s="33">
        <v>0</v>
      </c>
      <c r="AK240" s="33">
        <v>0</v>
      </c>
      <c r="AL240" s="33">
        <v>0</v>
      </c>
      <c r="AM240" s="34">
        <v>0</v>
      </c>
      <c r="AN240" s="57">
        <f>SUM(AF240:AM240)</f>
        <v>0</v>
      </c>
      <c r="AP240" s="57">
        <f>SUM(J240+T240+AD240+AN240)</f>
        <v>128</v>
      </c>
    </row>
    <row r="241" spans="1:42" ht="15.75" customHeight="1">
      <c r="A241" s="58">
        <v>0.30208333333333331</v>
      </c>
      <c r="B241" s="36">
        <v>18</v>
      </c>
      <c r="C241" s="37">
        <v>1</v>
      </c>
      <c r="D241" s="37">
        <v>0</v>
      </c>
      <c r="E241" s="37">
        <v>0</v>
      </c>
      <c r="F241" s="37">
        <v>0</v>
      </c>
      <c r="G241" s="37">
        <v>0</v>
      </c>
      <c r="H241" s="37">
        <v>31</v>
      </c>
      <c r="I241" s="40">
        <v>0</v>
      </c>
      <c r="J241" s="59">
        <f>SUM(B241:I241)</f>
        <v>50</v>
      </c>
      <c r="L241" s="36">
        <v>0</v>
      </c>
      <c r="M241" s="37">
        <v>0</v>
      </c>
      <c r="N241" s="37">
        <v>0</v>
      </c>
      <c r="O241" s="37">
        <v>0</v>
      </c>
      <c r="P241" s="37">
        <v>0</v>
      </c>
      <c r="Q241" s="37">
        <v>0</v>
      </c>
      <c r="R241" s="37">
        <v>6</v>
      </c>
      <c r="S241" s="40">
        <v>0</v>
      </c>
      <c r="T241" s="59">
        <f>SUM(L241:S241)</f>
        <v>6</v>
      </c>
      <c r="V241" s="36">
        <v>96</v>
      </c>
      <c r="W241" s="37">
        <v>9</v>
      </c>
      <c r="X241" s="37">
        <v>2</v>
      </c>
      <c r="Y241" s="37">
        <v>0</v>
      </c>
      <c r="Z241" s="37">
        <v>1</v>
      </c>
      <c r="AA241" s="37">
        <v>5</v>
      </c>
      <c r="AB241" s="37">
        <v>6</v>
      </c>
      <c r="AC241" s="40">
        <v>0</v>
      </c>
      <c r="AD241" s="59">
        <f>SUM(V241:AC241)</f>
        <v>119</v>
      </c>
      <c r="AF241" s="36">
        <v>0</v>
      </c>
      <c r="AG241" s="37">
        <v>0</v>
      </c>
      <c r="AH241" s="37">
        <v>0</v>
      </c>
      <c r="AI241" s="37">
        <v>0</v>
      </c>
      <c r="AJ241" s="37">
        <v>0</v>
      </c>
      <c r="AK241" s="37">
        <v>0</v>
      </c>
      <c r="AL241" s="37">
        <v>0</v>
      </c>
      <c r="AM241" s="40">
        <v>0</v>
      </c>
      <c r="AN241" s="59">
        <f>SUM(AF241:AM241)</f>
        <v>0</v>
      </c>
      <c r="AP241" s="59">
        <f>SUM(J241+T241+AD241+AN241)</f>
        <v>175</v>
      </c>
    </row>
    <row r="242" spans="1:42" ht="15.75" customHeight="1">
      <c r="A242" s="58">
        <v>0.3125</v>
      </c>
      <c r="B242" s="36">
        <v>19</v>
      </c>
      <c r="C242" s="37">
        <v>2</v>
      </c>
      <c r="D242" s="37">
        <v>0</v>
      </c>
      <c r="E242" s="37">
        <v>0</v>
      </c>
      <c r="F242" s="37">
        <v>0</v>
      </c>
      <c r="G242" s="37">
        <v>0</v>
      </c>
      <c r="H242" s="37">
        <v>62</v>
      </c>
      <c r="I242" s="40">
        <v>0</v>
      </c>
      <c r="J242" s="59">
        <f>SUM(B242:I242)</f>
        <v>83</v>
      </c>
      <c r="L242" s="36">
        <v>0</v>
      </c>
      <c r="M242" s="37">
        <v>0</v>
      </c>
      <c r="N242" s="37">
        <v>0</v>
      </c>
      <c r="O242" s="37">
        <v>0</v>
      </c>
      <c r="P242" s="37">
        <v>0</v>
      </c>
      <c r="Q242" s="37">
        <v>0</v>
      </c>
      <c r="R242" s="37">
        <v>3</v>
      </c>
      <c r="S242" s="40">
        <v>0</v>
      </c>
      <c r="T242" s="59">
        <f>SUM(L242:S242)</f>
        <v>3</v>
      </c>
      <c r="V242" s="36">
        <v>85</v>
      </c>
      <c r="W242" s="37">
        <v>7</v>
      </c>
      <c r="X242" s="37">
        <v>2</v>
      </c>
      <c r="Y242" s="37">
        <v>2</v>
      </c>
      <c r="Z242" s="37">
        <v>0</v>
      </c>
      <c r="AA242" s="37">
        <v>5</v>
      </c>
      <c r="AB242" s="37">
        <v>6</v>
      </c>
      <c r="AC242" s="40">
        <v>0</v>
      </c>
      <c r="AD242" s="59">
        <f>SUM(V242:AC242)</f>
        <v>107</v>
      </c>
      <c r="AF242" s="36">
        <v>0</v>
      </c>
      <c r="AG242" s="37">
        <v>0</v>
      </c>
      <c r="AH242" s="37">
        <v>0</v>
      </c>
      <c r="AI242" s="37">
        <v>0</v>
      </c>
      <c r="AJ242" s="37">
        <v>0</v>
      </c>
      <c r="AK242" s="37">
        <v>0</v>
      </c>
      <c r="AL242" s="37">
        <v>0</v>
      </c>
      <c r="AM242" s="40">
        <v>0</v>
      </c>
      <c r="AN242" s="59">
        <f>SUM(AF242:AM242)</f>
        <v>0</v>
      </c>
      <c r="AP242" s="59">
        <f>SUM(J242+T242+AD242+AN242)</f>
        <v>193</v>
      </c>
    </row>
    <row r="243" spans="1:42" ht="15.75" customHeight="1">
      <c r="A243" s="60">
        <v>0.32291666666666669</v>
      </c>
      <c r="B243" s="41">
        <v>16</v>
      </c>
      <c r="C243" s="42">
        <v>0</v>
      </c>
      <c r="D243" s="42">
        <v>0</v>
      </c>
      <c r="E243" s="42">
        <v>0</v>
      </c>
      <c r="F243" s="42">
        <v>0</v>
      </c>
      <c r="G243" s="42">
        <v>0</v>
      </c>
      <c r="H243" s="42">
        <v>62</v>
      </c>
      <c r="I243" s="43">
        <v>0</v>
      </c>
      <c r="J243" s="61">
        <f>SUM(B243:I243)</f>
        <v>78</v>
      </c>
      <c r="L243" s="41">
        <v>0</v>
      </c>
      <c r="M243" s="42">
        <v>0</v>
      </c>
      <c r="N243" s="42">
        <v>0</v>
      </c>
      <c r="O243" s="42">
        <v>0</v>
      </c>
      <c r="P243" s="42">
        <v>0</v>
      </c>
      <c r="Q243" s="42">
        <v>0</v>
      </c>
      <c r="R243" s="42">
        <v>6</v>
      </c>
      <c r="S243" s="43">
        <v>0</v>
      </c>
      <c r="T243" s="61">
        <f>SUM(L243:S243)</f>
        <v>6</v>
      </c>
      <c r="V243" s="41">
        <v>87</v>
      </c>
      <c r="W243" s="42">
        <v>11</v>
      </c>
      <c r="X243" s="42">
        <v>0</v>
      </c>
      <c r="Y243" s="42">
        <v>1</v>
      </c>
      <c r="Z243" s="42">
        <v>2</v>
      </c>
      <c r="AA243" s="42">
        <v>3</v>
      </c>
      <c r="AB243" s="42">
        <v>9</v>
      </c>
      <c r="AC243" s="43">
        <v>0</v>
      </c>
      <c r="AD243" s="61">
        <f>SUM(V243:AC243)</f>
        <v>113</v>
      </c>
      <c r="AF243" s="41">
        <v>1</v>
      </c>
      <c r="AG243" s="42">
        <v>0</v>
      </c>
      <c r="AH243" s="42">
        <v>0</v>
      </c>
      <c r="AI243" s="42">
        <v>0</v>
      </c>
      <c r="AJ243" s="42">
        <v>0</v>
      </c>
      <c r="AK243" s="42">
        <v>0</v>
      </c>
      <c r="AL243" s="42">
        <v>0</v>
      </c>
      <c r="AM243" s="43">
        <v>0</v>
      </c>
      <c r="AN243" s="61">
        <f>SUM(AF243:AM243)</f>
        <v>1</v>
      </c>
      <c r="AP243" s="61">
        <f>SUM(J243+T243+AD243+AN243)</f>
        <v>198</v>
      </c>
    </row>
    <row r="244" spans="1:42" ht="15.75" customHeight="1">
      <c r="A244" s="48" t="s">
        <v>29</v>
      </c>
      <c r="B244" s="45">
        <f t="shared" ref="B244:J244" si="180">SUM(B240:B243)</f>
        <v>62</v>
      </c>
      <c r="C244" s="46">
        <f t="shared" si="180"/>
        <v>6</v>
      </c>
      <c r="D244" s="46">
        <f t="shared" si="180"/>
        <v>0</v>
      </c>
      <c r="E244" s="46">
        <f t="shared" si="180"/>
        <v>0</v>
      </c>
      <c r="F244" s="46">
        <f t="shared" si="180"/>
        <v>0</v>
      </c>
      <c r="G244" s="46">
        <f t="shared" si="180"/>
        <v>0</v>
      </c>
      <c r="H244" s="46">
        <f t="shared" si="180"/>
        <v>172</v>
      </c>
      <c r="I244" s="47">
        <f t="shared" si="180"/>
        <v>0</v>
      </c>
      <c r="J244" s="48">
        <f t="shared" si="180"/>
        <v>240</v>
      </c>
      <c r="L244" s="45">
        <f t="shared" ref="L244:T244" si="181">SUM(L240:L243)</f>
        <v>0</v>
      </c>
      <c r="M244" s="46">
        <f t="shared" si="181"/>
        <v>0</v>
      </c>
      <c r="N244" s="46">
        <f t="shared" si="181"/>
        <v>0</v>
      </c>
      <c r="O244" s="46">
        <f t="shared" si="181"/>
        <v>0</v>
      </c>
      <c r="P244" s="46">
        <f t="shared" si="181"/>
        <v>0</v>
      </c>
      <c r="Q244" s="46">
        <f t="shared" si="181"/>
        <v>1</v>
      </c>
      <c r="R244" s="46">
        <f t="shared" si="181"/>
        <v>15</v>
      </c>
      <c r="S244" s="47">
        <f t="shared" si="181"/>
        <v>1</v>
      </c>
      <c r="T244" s="48">
        <f t="shared" si="181"/>
        <v>17</v>
      </c>
      <c r="V244" s="45">
        <f t="shared" ref="V244:AD244" si="182">SUM(V240:V243)</f>
        <v>342</v>
      </c>
      <c r="W244" s="46">
        <f t="shared" si="182"/>
        <v>39</v>
      </c>
      <c r="X244" s="46">
        <f t="shared" si="182"/>
        <v>4</v>
      </c>
      <c r="Y244" s="46">
        <f t="shared" si="182"/>
        <v>3</v>
      </c>
      <c r="Z244" s="46">
        <f t="shared" si="182"/>
        <v>3</v>
      </c>
      <c r="AA244" s="46">
        <f t="shared" si="182"/>
        <v>18</v>
      </c>
      <c r="AB244" s="46">
        <f t="shared" si="182"/>
        <v>27</v>
      </c>
      <c r="AC244" s="47">
        <f t="shared" si="182"/>
        <v>0</v>
      </c>
      <c r="AD244" s="48">
        <f t="shared" si="182"/>
        <v>436</v>
      </c>
      <c r="AF244" s="45">
        <f t="shared" ref="AF244:AN244" si="183">SUM(AF240:AF243)</f>
        <v>1</v>
      </c>
      <c r="AG244" s="46">
        <f t="shared" si="183"/>
        <v>0</v>
      </c>
      <c r="AH244" s="46">
        <f t="shared" si="183"/>
        <v>0</v>
      </c>
      <c r="AI244" s="46">
        <f t="shared" si="183"/>
        <v>0</v>
      </c>
      <c r="AJ244" s="46">
        <f t="shared" si="183"/>
        <v>0</v>
      </c>
      <c r="AK244" s="46">
        <f t="shared" si="183"/>
        <v>0</v>
      </c>
      <c r="AL244" s="46">
        <f t="shared" si="183"/>
        <v>0</v>
      </c>
      <c r="AM244" s="47">
        <f t="shared" si="183"/>
        <v>0</v>
      </c>
      <c r="AN244" s="48">
        <f t="shared" si="183"/>
        <v>1</v>
      </c>
      <c r="AP244" s="48">
        <f>SUM(AP240:AP243)</f>
        <v>694</v>
      </c>
    </row>
    <row r="245" spans="1:42" ht="15.75" customHeight="1">
      <c r="A245" s="56">
        <v>0.33333333333333331</v>
      </c>
      <c r="B245" s="32">
        <v>27</v>
      </c>
      <c r="C245" s="33">
        <v>0</v>
      </c>
      <c r="D245" s="33">
        <v>0</v>
      </c>
      <c r="E245" s="33">
        <v>0</v>
      </c>
      <c r="F245" s="33">
        <v>0</v>
      </c>
      <c r="G245" s="33">
        <v>0</v>
      </c>
      <c r="H245" s="33">
        <v>70</v>
      </c>
      <c r="I245" s="34">
        <v>0</v>
      </c>
      <c r="J245" s="57">
        <f>SUM(B245:I245)</f>
        <v>97</v>
      </c>
      <c r="L245" s="32">
        <v>0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3</v>
      </c>
      <c r="S245" s="34">
        <v>0</v>
      </c>
      <c r="T245" s="57">
        <f>SUM(L245:S245)</f>
        <v>3</v>
      </c>
      <c r="V245" s="32">
        <v>105</v>
      </c>
      <c r="W245" s="33">
        <v>8</v>
      </c>
      <c r="X245" s="33">
        <v>2</v>
      </c>
      <c r="Y245" s="33">
        <v>0</v>
      </c>
      <c r="Z245" s="33">
        <v>0</v>
      </c>
      <c r="AA245" s="33">
        <v>7</v>
      </c>
      <c r="AB245" s="33">
        <v>10</v>
      </c>
      <c r="AC245" s="34">
        <v>1</v>
      </c>
      <c r="AD245" s="57">
        <f>SUM(V245:AC245)</f>
        <v>133</v>
      </c>
      <c r="AF245" s="32">
        <v>0</v>
      </c>
      <c r="AG245" s="33">
        <v>0</v>
      </c>
      <c r="AH245" s="33">
        <v>0</v>
      </c>
      <c r="AI245" s="33">
        <v>0</v>
      </c>
      <c r="AJ245" s="33">
        <v>0</v>
      </c>
      <c r="AK245" s="33">
        <v>0</v>
      </c>
      <c r="AL245" s="33">
        <v>0</v>
      </c>
      <c r="AM245" s="34">
        <v>0</v>
      </c>
      <c r="AN245" s="57">
        <f>SUM(AF245:AM245)</f>
        <v>0</v>
      </c>
      <c r="AP245" s="57">
        <f>SUM(J245+T245+AD245+AN245)</f>
        <v>233</v>
      </c>
    </row>
    <row r="246" spans="1:42" ht="15.75" customHeight="1">
      <c r="A246" s="58">
        <v>0.34375</v>
      </c>
      <c r="B246" s="36">
        <v>18</v>
      </c>
      <c r="C246" s="37">
        <v>0</v>
      </c>
      <c r="D246" s="37">
        <v>0</v>
      </c>
      <c r="E246" s="37">
        <v>0</v>
      </c>
      <c r="F246" s="37">
        <v>0</v>
      </c>
      <c r="G246" s="37">
        <v>0</v>
      </c>
      <c r="H246" s="37">
        <v>73</v>
      </c>
      <c r="I246" s="40">
        <v>0</v>
      </c>
      <c r="J246" s="59">
        <f>SUM(B246:I246)</f>
        <v>91</v>
      </c>
      <c r="L246" s="36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7</v>
      </c>
      <c r="S246" s="40">
        <v>0</v>
      </c>
      <c r="T246" s="59">
        <f>SUM(L246:S246)</f>
        <v>7</v>
      </c>
      <c r="V246" s="36">
        <v>75</v>
      </c>
      <c r="W246" s="37">
        <v>10</v>
      </c>
      <c r="X246" s="37">
        <v>0</v>
      </c>
      <c r="Y246" s="37">
        <v>0</v>
      </c>
      <c r="Z246" s="37">
        <v>0</v>
      </c>
      <c r="AA246" s="37">
        <v>10</v>
      </c>
      <c r="AB246" s="37">
        <v>13</v>
      </c>
      <c r="AC246" s="40">
        <v>0</v>
      </c>
      <c r="AD246" s="59">
        <f>SUM(V246:AC246)</f>
        <v>108</v>
      </c>
      <c r="AF246" s="36">
        <v>1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40">
        <v>0</v>
      </c>
      <c r="AN246" s="59">
        <f>SUM(AF246:AM246)</f>
        <v>1</v>
      </c>
      <c r="AP246" s="59">
        <f>SUM(J246+T246+AD246+AN246)</f>
        <v>207</v>
      </c>
    </row>
    <row r="247" spans="1:42" ht="15.75" customHeight="1">
      <c r="A247" s="58">
        <v>0.35416666666666669</v>
      </c>
      <c r="B247" s="36">
        <v>15</v>
      </c>
      <c r="C247" s="37">
        <v>2</v>
      </c>
      <c r="D247" s="37">
        <v>0</v>
      </c>
      <c r="E247" s="37">
        <v>0</v>
      </c>
      <c r="F247" s="37">
        <v>0</v>
      </c>
      <c r="G247" s="37">
        <v>0</v>
      </c>
      <c r="H247" s="37">
        <v>75</v>
      </c>
      <c r="I247" s="40">
        <v>0</v>
      </c>
      <c r="J247" s="59">
        <f>SUM(B247:I247)</f>
        <v>92</v>
      </c>
      <c r="L247" s="36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6</v>
      </c>
      <c r="S247" s="40">
        <v>0</v>
      </c>
      <c r="T247" s="59">
        <f>SUM(L247:S247)</f>
        <v>6</v>
      </c>
      <c r="V247" s="36">
        <v>71</v>
      </c>
      <c r="W247" s="37">
        <v>4</v>
      </c>
      <c r="X247" s="37">
        <v>0</v>
      </c>
      <c r="Y247" s="37">
        <v>1</v>
      </c>
      <c r="Z247" s="37">
        <v>0</v>
      </c>
      <c r="AA247" s="37">
        <v>5</v>
      </c>
      <c r="AB247" s="37">
        <v>11</v>
      </c>
      <c r="AC247" s="40">
        <v>0</v>
      </c>
      <c r="AD247" s="59">
        <f>SUM(V247:AC247)</f>
        <v>92</v>
      </c>
      <c r="AF247" s="36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40">
        <v>0</v>
      </c>
      <c r="AN247" s="59">
        <f>SUM(AF247:AM247)</f>
        <v>0</v>
      </c>
      <c r="AP247" s="59">
        <f>SUM(J247+T247+AD247+AN247)</f>
        <v>190</v>
      </c>
    </row>
    <row r="248" spans="1:42" ht="15.75" customHeight="1">
      <c r="A248" s="60">
        <v>0.36458333333333331</v>
      </c>
      <c r="B248" s="41">
        <v>14</v>
      </c>
      <c r="C248" s="42">
        <v>1</v>
      </c>
      <c r="D248" s="42">
        <v>0</v>
      </c>
      <c r="E248" s="42">
        <v>0</v>
      </c>
      <c r="F248" s="42">
        <v>0</v>
      </c>
      <c r="G248" s="42">
        <v>0</v>
      </c>
      <c r="H248" s="42">
        <v>90</v>
      </c>
      <c r="I248" s="43">
        <v>0</v>
      </c>
      <c r="J248" s="61">
        <f>SUM(B248:I248)</f>
        <v>105</v>
      </c>
      <c r="L248" s="41">
        <v>0</v>
      </c>
      <c r="M248" s="42">
        <v>0</v>
      </c>
      <c r="N248" s="42">
        <v>0</v>
      </c>
      <c r="O248" s="42">
        <v>0</v>
      </c>
      <c r="P248" s="42">
        <v>0</v>
      </c>
      <c r="Q248" s="42">
        <v>0</v>
      </c>
      <c r="R248" s="42">
        <v>8</v>
      </c>
      <c r="S248" s="43">
        <v>0</v>
      </c>
      <c r="T248" s="61">
        <f>SUM(L248:S248)</f>
        <v>8</v>
      </c>
      <c r="V248" s="41">
        <v>77</v>
      </c>
      <c r="W248" s="42">
        <v>9</v>
      </c>
      <c r="X248" s="42">
        <v>1</v>
      </c>
      <c r="Y248" s="42">
        <v>0</v>
      </c>
      <c r="Z248" s="42">
        <v>1</v>
      </c>
      <c r="AA248" s="42">
        <v>5</v>
      </c>
      <c r="AB248" s="42">
        <v>7</v>
      </c>
      <c r="AC248" s="43">
        <v>0</v>
      </c>
      <c r="AD248" s="61">
        <f>SUM(V248:AC248)</f>
        <v>100</v>
      </c>
      <c r="AF248" s="41">
        <v>0</v>
      </c>
      <c r="AG248" s="42">
        <v>0</v>
      </c>
      <c r="AH248" s="42">
        <v>0</v>
      </c>
      <c r="AI248" s="42">
        <v>0</v>
      </c>
      <c r="AJ248" s="42">
        <v>0</v>
      </c>
      <c r="AK248" s="42">
        <v>0</v>
      </c>
      <c r="AL248" s="42">
        <v>0</v>
      </c>
      <c r="AM248" s="43">
        <v>0</v>
      </c>
      <c r="AN248" s="61">
        <f>SUM(AF248:AM248)</f>
        <v>0</v>
      </c>
      <c r="AP248" s="61">
        <f>SUM(J248+T248+AD248+AN248)</f>
        <v>213</v>
      </c>
    </row>
    <row r="249" spans="1:42" ht="15.75" customHeight="1">
      <c r="A249" s="48" t="s">
        <v>29</v>
      </c>
      <c r="B249" s="45">
        <f t="shared" ref="B249:J249" si="184">SUM(B245:B248)</f>
        <v>74</v>
      </c>
      <c r="C249" s="46">
        <f t="shared" si="184"/>
        <v>3</v>
      </c>
      <c r="D249" s="46">
        <f t="shared" si="184"/>
        <v>0</v>
      </c>
      <c r="E249" s="46">
        <f t="shared" si="184"/>
        <v>0</v>
      </c>
      <c r="F249" s="46">
        <f t="shared" si="184"/>
        <v>0</v>
      </c>
      <c r="G249" s="46">
        <f t="shared" si="184"/>
        <v>0</v>
      </c>
      <c r="H249" s="46">
        <f t="shared" si="184"/>
        <v>308</v>
      </c>
      <c r="I249" s="47">
        <f t="shared" si="184"/>
        <v>0</v>
      </c>
      <c r="J249" s="48">
        <f t="shared" si="184"/>
        <v>385</v>
      </c>
      <c r="L249" s="45">
        <f t="shared" ref="L249:T249" si="185">SUM(L245:L248)</f>
        <v>0</v>
      </c>
      <c r="M249" s="46">
        <f t="shared" si="185"/>
        <v>0</v>
      </c>
      <c r="N249" s="46">
        <f t="shared" si="185"/>
        <v>0</v>
      </c>
      <c r="O249" s="46">
        <f t="shared" si="185"/>
        <v>0</v>
      </c>
      <c r="P249" s="46">
        <f t="shared" si="185"/>
        <v>0</v>
      </c>
      <c r="Q249" s="46">
        <f t="shared" si="185"/>
        <v>0</v>
      </c>
      <c r="R249" s="46">
        <f t="shared" si="185"/>
        <v>24</v>
      </c>
      <c r="S249" s="47">
        <f t="shared" si="185"/>
        <v>0</v>
      </c>
      <c r="T249" s="48">
        <f t="shared" si="185"/>
        <v>24</v>
      </c>
      <c r="V249" s="45">
        <f t="shared" ref="V249:AD249" si="186">SUM(V245:V248)</f>
        <v>328</v>
      </c>
      <c r="W249" s="46">
        <f t="shared" si="186"/>
        <v>31</v>
      </c>
      <c r="X249" s="46">
        <f t="shared" si="186"/>
        <v>3</v>
      </c>
      <c r="Y249" s="46">
        <f t="shared" si="186"/>
        <v>1</v>
      </c>
      <c r="Z249" s="46">
        <f t="shared" si="186"/>
        <v>1</v>
      </c>
      <c r="AA249" s="46">
        <f t="shared" si="186"/>
        <v>27</v>
      </c>
      <c r="AB249" s="46">
        <f t="shared" si="186"/>
        <v>41</v>
      </c>
      <c r="AC249" s="47">
        <f t="shared" si="186"/>
        <v>1</v>
      </c>
      <c r="AD249" s="48">
        <f t="shared" si="186"/>
        <v>433</v>
      </c>
      <c r="AF249" s="45">
        <f t="shared" ref="AF249:AN249" si="187">SUM(AF245:AF248)</f>
        <v>1</v>
      </c>
      <c r="AG249" s="46">
        <f t="shared" si="187"/>
        <v>0</v>
      </c>
      <c r="AH249" s="46">
        <f t="shared" si="187"/>
        <v>0</v>
      </c>
      <c r="AI249" s="46">
        <f t="shared" si="187"/>
        <v>0</v>
      </c>
      <c r="AJ249" s="46">
        <f t="shared" si="187"/>
        <v>0</v>
      </c>
      <c r="AK249" s="46">
        <f t="shared" si="187"/>
        <v>0</v>
      </c>
      <c r="AL249" s="46">
        <f t="shared" si="187"/>
        <v>0</v>
      </c>
      <c r="AM249" s="47">
        <f t="shared" si="187"/>
        <v>0</v>
      </c>
      <c r="AN249" s="48">
        <f t="shared" si="187"/>
        <v>1</v>
      </c>
      <c r="AP249" s="48">
        <f>SUM(AP245:AP248)</f>
        <v>843</v>
      </c>
    </row>
    <row r="250" spans="1:42" ht="15.75" customHeight="1">
      <c r="A250" s="56">
        <v>0.375</v>
      </c>
      <c r="B250" s="32">
        <v>13</v>
      </c>
      <c r="C250" s="33">
        <v>2</v>
      </c>
      <c r="D250" s="33">
        <v>1</v>
      </c>
      <c r="E250" s="33">
        <v>0</v>
      </c>
      <c r="F250" s="33">
        <v>0</v>
      </c>
      <c r="G250" s="33">
        <v>0</v>
      </c>
      <c r="H250" s="33">
        <v>46</v>
      </c>
      <c r="I250" s="34">
        <v>0</v>
      </c>
      <c r="J250" s="57">
        <f>SUM(B250:I250)</f>
        <v>62</v>
      </c>
      <c r="L250" s="32">
        <v>0</v>
      </c>
      <c r="M250" s="33">
        <v>0</v>
      </c>
      <c r="N250" s="33">
        <v>0</v>
      </c>
      <c r="O250" s="33">
        <v>0</v>
      </c>
      <c r="P250" s="33">
        <v>0</v>
      </c>
      <c r="Q250" s="33">
        <v>0</v>
      </c>
      <c r="R250" s="33">
        <v>6</v>
      </c>
      <c r="S250" s="34">
        <v>0</v>
      </c>
      <c r="T250" s="57">
        <f>SUM(L250:S250)</f>
        <v>6</v>
      </c>
      <c r="V250" s="32">
        <v>115</v>
      </c>
      <c r="W250" s="33">
        <v>18</v>
      </c>
      <c r="X250" s="33">
        <v>0</v>
      </c>
      <c r="Y250" s="33">
        <v>1</v>
      </c>
      <c r="Z250" s="33">
        <v>2</v>
      </c>
      <c r="AA250" s="33">
        <v>1</v>
      </c>
      <c r="AB250" s="33">
        <v>2</v>
      </c>
      <c r="AC250" s="34">
        <v>0</v>
      </c>
      <c r="AD250" s="57">
        <f>SUM(V250:AC250)</f>
        <v>139</v>
      </c>
      <c r="AF250" s="32">
        <v>0</v>
      </c>
      <c r="AG250" s="33">
        <v>0</v>
      </c>
      <c r="AH250" s="33">
        <v>0</v>
      </c>
      <c r="AI250" s="33">
        <v>0</v>
      </c>
      <c r="AJ250" s="33">
        <v>0</v>
      </c>
      <c r="AK250" s="33">
        <v>0</v>
      </c>
      <c r="AL250" s="33">
        <v>0</v>
      </c>
      <c r="AM250" s="34">
        <v>0</v>
      </c>
      <c r="AN250" s="57">
        <f>SUM(AF250:AM250)</f>
        <v>0</v>
      </c>
      <c r="AP250" s="57">
        <f>SUM(J250+T250+AD250+AN250)</f>
        <v>207</v>
      </c>
    </row>
    <row r="251" spans="1:42" ht="15.75" customHeight="1">
      <c r="A251" s="58">
        <v>0.38541666666666669</v>
      </c>
      <c r="B251" s="36">
        <v>5</v>
      </c>
      <c r="C251" s="37">
        <v>4</v>
      </c>
      <c r="D251" s="37">
        <v>1</v>
      </c>
      <c r="E251" s="37">
        <v>0</v>
      </c>
      <c r="F251" s="37">
        <v>0</v>
      </c>
      <c r="G251" s="37">
        <v>1</v>
      </c>
      <c r="H251" s="37">
        <v>47</v>
      </c>
      <c r="I251" s="40">
        <v>0</v>
      </c>
      <c r="J251" s="59">
        <f>SUM(B251:I251)</f>
        <v>58</v>
      </c>
      <c r="L251" s="36">
        <v>0</v>
      </c>
      <c r="M251" s="37">
        <v>0</v>
      </c>
      <c r="N251" s="37">
        <v>0</v>
      </c>
      <c r="O251" s="37">
        <v>0</v>
      </c>
      <c r="P251" s="37">
        <v>0</v>
      </c>
      <c r="Q251" s="37">
        <v>0</v>
      </c>
      <c r="R251" s="37">
        <v>2</v>
      </c>
      <c r="S251" s="40">
        <v>0</v>
      </c>
      <c r="T251" s="59">
        <f>SUM(L251:S251)</f>
        <v>2</v>
      </c>
      <c r="V251" s="36">
        <v>74</v>
      </c>
      <c r="W251" s="37">
        <v>13</v>
      </c>
      <c r="X251" s="37">
        <v>1</v>
      </c>
      <c r="Y251" s="37">
        <v>1</v>
      </c>
      <c r="Z251" s="37">
        <v>0</v>
      </c>
      <c r="AA251" s="37">
        <v>3</v>
      </c>
      <c r="AB251" s="37">
        <v>0</v>
      </c>
      <c r="AC251" s="40">
        <v>0</v>
      </c>
      <c r="AD251" s="59">
        <f>SUM(V251:AC251)</f>
        <v>92</v>
      </c>
      <c r="AF251" s="36">
        <v>0</v>
      </c>
      <c r="AG251" s="37">
        <v>0</v>
      </c>
      <c r="AH251" s="37">
        <v>0</v>
      </c>
      <c r="AI251" s="37">
        <v>0</v>
      </c>
      <c r="AJ251" s="37">
        <v>0</v>
      </c>
      <c r="AK251" s="37">
        <v>0</v>
      </c>
      <c r="AL251" s="37">
        <v>0</v>
      </c>
      <c r="AM251" s="40">
        <v>0</v>
      </c>
      <c r="AN251" s="59">
        <f>SUM(AF251:AM251)</f>
        <v>0</v>
      </c>
      <c r="AP251" s="59">
        <f>SUM(J251+T251+AD251+AN251)</f>
        <v>152</v>
      </c>
    </row>
    <row r="252" spans="1:42" ht="15.75" customHeight="1">
      <c r="A252" s="58">
        <v>0.39583333333333331</v>
      </c>
      <c r="B252" s="36">
        <v>5</v>
      </c>
      <c r="C252" s="37">
        <v>0</v>
      </c>
      <c r="D252" s="37">
        <v>0</v>
      </c>
      <c r="E252" s="37">
        <v>0</v>
      </c>
      <c r="F252" s="37">
        <v>0</v>
      </c>
      <c r="G252" s="37">
        <v>0</v>
      </c>
      <c r="H252" s="37">
        <v>27</v>
      </c>
      <c r="I252" s="40">
        <v>0</v>
      </c>
      <c r="J252" s="59">
        <f>SUM(B252:I252)</f>
        <v>32</v>
      </c>
      <c r="L252" s="36">
        <v>0</v>
      </c>
      <c r="M252" s="37">
        <v>0</v>
      </c>
      <c r="N252" s="37">
        <v>0</v>
      </c>
      <c r="O252" s="37">
        <v>0</v>
      </c>
      <c r="P252" s="37">
        <v>0</v>
      </c>
      <c r="Q252" s="37">
        <v>0</v>
      </c>
      <c r="R252" s="37">
        <v>1</v>
      </c>
      <c r="S252" s="40">
        <v>0</v>
      </c>
      <c r="T252" s="59">
        <f>SUM(L252:S252)</f>
        <v>1</v>
      </c>
      <c r="V252" s="36">
        <v>79</v>
      </c>
      <c r="W252" s="37">
        <v>11</v>
      </c>
      <c r="X252" s="37">
        <v>1</v>
      </c>
      <c r="Y252" s="37">
        <v>0</v>
      </c>
      <c r="Z252" s="37">
        <v>2</v>
      </c>
      <c r="AA252" s="37">
        <v>1</v>
      </c>
      <c r="AB252" s="37">
        <v>0</v>
      </c>
      <c r="AC252" s="40">
        <v>0</v>
      </c>
      <c r="AD252" s="59">
        <f>SUM(V252:AC252)</f>
        <v>94</v>
      </c>
      <c r="AF252" s="36">
        <v>0</v>
      </c>
      <c r="AG252" s="37">
        <v>0</v>
      </c>
      <c r="AH252" s="37">
        <v>0</v>
      </c>
      <c r="AI252" s="37">
        <v>0</v>
      </c>
      <c r="AJ252" s="37">
        <v>0</v>
      </c>
      <c r="AK252" s="37">
        <v>0</v>
      </c>
      <c r="AL252" s="37">
        <v>0</v>
      </c>
      <c r="AM252" s="40">
        <v>0</v>
      </c>
      <c r="AN252" s="59">
        <f>SUM(AF252:AM252)</f>
        <v>0</v>
      </c>
      <c r="AP252" s="59">
        <f>SUM(J252+T252+AD252+AN252)</f>
        <v>127</v>
      </c>
    </row>
    <row r="253" spans="1:42" ht="15.75" customHeight="1">
      <c r="A253" s="60">
        <v>0.40625</v>
      </c>
      <c r="B253" s="41">
        <v>1</v>
      </c>
      <c r="C253" s="42">
        <v>0</v>
      </c>
      <c r="D253" s="42">
        <v>0</v>
      </c>
      <c r="E253" s="42">
        <v>0</v>
      </c>
      <c r="F253" s="42">
        <v>0</v>
      </c>
      <c r="G253" s="42">
        <v>0</v>
      </c>
      <c r="H253" s="42">
        <v>19</v>
      </c>
      <c r="I253" s="43">
        <v>0</v>
      </c>
      <c r="J253" s="61">
        <f>SUM(B253:I253)</f>
        <v>20</v>
      </c>
      <c r="L253" s="41">
        <v>0</v>
      </c>
      <c r="M253" s="42">
        <v>0</v>
      </c>
      <c r="N253" s="42">
        <v>0</v>
      </c>
      <c r="O253" s="42">
        <v>0</v>
      </c>
      <c r="P253" s="42">
        <v>0</v>
      </c>
      <c r="Q253" s="42">
        <v>0</v>
      </c>
      <c r="R253" s="42">
        <v>2</v>
      </c>
      <c r="S253" s="43">
        <v>0</v>
      </c>
      <c r="T253" s="61">
        <f>SUM(L253:S253)</f>
        <v>2</v>
      </c>
      <c r="V253" s="41">
        <v>76</v>
      </c>
      <c r="W253" s="42">
        <v>9</v>
      </c>
      <c r="X253" s="42">
        <v>2</v>
      </c>
      <c r="Y253" s="42">
        <v>0</v>
      </c>
      <c r="Z253" s="42">
        <v>2</v>
      </c>
      <c r="AA253" s="42">
        <v>1</v>
      </c>
      <c r="AB253" s="42">
        <v>1</v>
      </c>
      <c r="AC253" s="43">
        <v>0</v>
      </c>
      <c r="AD253" s="61">
        <f>SUM(V253:AC253)</f>
        <v>91</v>
      </c>
      <c r="AF253" s="41">
        <v>0</v>
      </c>
      <c r="AG253" s="42">
        <v>0</v>
      </c>
      <c r="AH253" s="42">
        <v>0</v>
      </c>
      <c r="AI253" s="42">
        <v>0</v>
      </c>
      <c r="AJ253" s="42">
        <v>0</v>
      </c>
      <c r="AK253" s="42">
        <v>0</v>
      </c>
      <c r="AL253" s="42">
        <v>0</v>
      </c>
      <c r="AM253" s="43">
        <v>0</v>
      </c>
      <c r="AN253" s="61">
        <f>SUM(AF253:AM253)</f>
        <v>0</v>
      </c>
      <c r="AP253" s="61">
        <f>SUM(J253+T253+AD253+AN253)</f>
        <v>113</v>
      </c>
    </row>
    <row r="254" spans="1:42" ht="15.75" customHeight="1">
      <c r="A254" s="48" t="s">
        <v>29</v>
      </c>
      <c r="B254" s="45">
        <f t="shared" ref="B254:J254" si="188">SUM(B250:B253)</f>
        <v>24</v>
      </c>
      <c r="C254" s="46">
        <f t="shared" si="188"/>
        <v>6</v>
      </c>
      <c r="D254" s="46">
        <f t="shared" si="188"/>
        <v>2</v>
      </c>
      <c r="E254" s="46">
        <f t="shared" si="188"/>
        <v>0</v>
      </c>
      <c r="F254" s="46">
        <f t="shared" si="188"/>
        <v>0</v>
      </c>
      <c r="G254" s="46">
        <f t="shared" si="188"/>
        <v>1</v>
      </c>
      <c r="H254" s="46">
        <f t="shared" si="188"/>
        <v>139</v>
      </c>
      <c r="I254" s="47">
        <f t="shared" si="188"/>
        <v>0</v>
      </c>
      <c r="J254" s="48">
        <f t="shared" si="188"/>
        <v>172</v>
      </c>
      <c r="L254" s="45">
        <f t="shared" ref="L254:T254" si="189">SUM(L250:L253)</f>
        <v>0</v>
      </c>
      <c r="M254" s="46">
        <f t="shared" si="189"/>
        <v>0</v>
      </c>
      <c r="N254" s="46">
        <f t="shared" si="189"/>
        <v>0</v>
      </c>
      <c r="O254" s="46">
        <f t="shared" si="189"/>
        <v>0</v>
      </c>
      <c r="P254" s="46">
        <f t="shared" si="189"/>
        <v>0</v>
      </c>
      <c r="Q254" s="46">
        <f t="shared" si="189"/>
        <v>0</v>
      </c>
      <c r="R254" s="46">
        <f t="shared" si="189"/>
        <v>11</v>
      </c>
      <c r="S254" s="47">
        <f t="shared" si="189"/>
        <v>0</v>
      </c>
      <c r="T254" s="48">
        <f t="shared" si="189"/>
        <v>11</v>
      </c>
      <c r="V254" s="45">
        <f t="shared" ref="V254:AD254" si="190">SUM(V250:V253)</f>
        <v>344</v>
      </c>
      <c r="W254" s="46">
        <f t="shared" si="190"/>
        <v>51</v>
      </c>
      <c r="X254" s="46">
        <f t="shared" si="190"/>
        <v>4</v>
      </c>
      <c r="Y254" s="46">
        <f t="shared" si="190"/>
        <v>2</v>
      </c>
      <c r="Z254" s="46">
        <f t="shared" si="190"/>
        <v>6</v>
      </c>
      <c r="AA254" s="46">
        <f t="shared" si="190"/>
        <v>6</v>
      </c>
      <c r="AB254" s="46">
        <f t="shared" si="190"/>
        <v>3</v>
      </c>
      <c r="AC254" s="47">
        <f t="shared" si="190"/>
        <v>0</v>
      </c>
      <c r="AD254" s="48">
        <f t="shared" si="190"/>
        <v>416</v>
      </c>
      <c r="AF254" s="45">
        <f t="shared" ref="AF254:AN254" si="191">SUM(AF250:AF253)</f>
        <v>0</v>
      </c>
      <c r="AG254" s="46">
        <f t="shared" si="191"/>
        <v>0</v>
      </c>
      <c r="AH254" s="46">
        <f t="shared" si="191"/>
        <v>0</v>
      </c>
      <c r="AI254" s="46">
        <f t="shared" si="191"/>
        <v>0</v>
      </c>
      <c r="AJ254" s="46">
        <f t="shared" si="191"/>
        <v>0</v>
      </c>
      <c r="AK254" s="46">
        <f t="shared" si="191"/>
        <v>0</v>
      </c>
      <c r="AL254" s="46">
        <f t="shared" si="191"/>
        <v>0</v>
      </c>
      <c r="AM254" s="47">
        <f t="shared" si="191"/>
        <v>0</v>
      </c>
      <c r="AN254" s="48">
        <f t="shared" si="191"/>
        <v>0</v>
      </c>
      <c r="AP254" s="48">
        <f>SUM(AP250:AP253)</f>
        <v>599</v>
      </c>
    </row>
    <row r="255" spans="1:42" ht="15.75" customHeight="1">
      <c r="A255" s="56">
        <v>0.41666666666666669</v>
      </c>
      <c r="B255" s="32">
        <v>6</v>
      </c>
      <c r="C255" s="33">
        <v>3</v>
      </c>
      <c r="D255" s="33">
        <v>1</v>
      </c>
      <c r="E255" s="33">
        <v>0</v>
      </c>
      <c r="F255" s="33">
        <v>0</v>
      </c>
      <c r="G255" s="33">
        <v>0</v>
      </c>
      <c r="H255" s="33">
        <v>15</v>
      </c>
      <c r="I255" s="34">
        <v>0</v>
      </c>
      <c r="J255" s="57">
        <f>SUM(B255:I255)</f>
        <v>25</v>
      </c>
      <c r="L255" s="32">
        <v>0</v>
      </c>
      <c r="M255" s="33">
        <v>0</v>
      </c>
      <c r="N255" s="33">
        <v>0</v>
      </c>
      <c r="O255" s="33">
        <v>0</v>
      </c>
      <c r="P255" s="33">
        <v>0</v>
      </c>
      <c r="Q255" s="33">
        <v>0</v>
      </c>
      <c r="R255" s="33">
        <v>0</v>
      </c>
      <c r="S255" s="34">
        <v>0</v>
      </c>
      <c r="T255" s="57">
        <f>SUM(L255:S255)</f>
        <v>0</v>
      </c>
      <c r="V255" s="32">
        <v>55</v>
      </c>
      <c r="W255" s="33">
        <v>13</v>
      </c>
      <c r="X255" s="33">
        <v>0</v>
      </c>
      <c r="Y255" s="33">
        <v>0</v>
      </c>
      <c r="Z255" s="33">
        <v>3</v>
      </c>
      <c r="AA255" s="33">
        <v>3</v>
      </c>
      <c r="AB255" s="33">
        <v>0</v>
      </c>
      <c r="AC255" s="34">
        <v>0</v>
      </c>
      <c r="AD255" s="57">
        <f>SUM(V255:AC255)</f>
        <v>74</v>
      </c>
      <c r="AF255" s="32">
        <v>0</v>
      </c>
      <c r="AG255" s="33">
        <v>0</v>
      </c>
      <c r="AH255" s="33">
        <v>0</v>
      </c>
      <c r="AI255" s="33">
        <v>0</v>
      </c>
      <c r="AJ255" s="33">
        <v>0</v>
      </c>
      <c r="AK255" s="33">
        <v>0</v>
      </c>
      <c r="AL255" s="33">
        <v>0</v>
      </c>
      <c r="AM255" s="34">
        <v>0</v>
      </c>
      <c r="AN255" s="57">
        <f>SUM(AF255:AM255)</f>
        <v>0</v>
      </c>
      <c r="AP255" s="57">
        <f>SUM(J255+T255+AD255+AN255)</f>
        <v>99</v>
      </c>
    </row>
    <row r="256" spans="1:42" ht="15.75" customHeight="1">
      <c r="A256" s="58">
        <v>0.42708333333333331</v>
      </c>
      <c r="B256" s="36">
        <v>2</v>
      </c>
      <c r="C256" s="37">
        <v>2</v>
      </c>
      <c r="D256" s="37">
        <v>0</v>
      </c>
      <c r="E256" s="37">
        <v>0</v>
      </c>
      <c r="F256" s="37">
        <v>0</v>
      </c>
      <c r="G256" s="37">
        <v>0</v>
      </c>
      <c r="H256" s="37">
        <v>15</v>
      </c>
      <c r="I256" s="40">
        <v>0</v>
      </c>
      <c r="J256" s="59">
        <f>SUM(B256:I256)</f>
        <v>19</v>
      </c>
      <c r="L256" s="36">
        <v>0</v>
      </c>
      <c r="M256" s="37">
        <v>0</v>
      </c>
      <c r="N256" s="37">
        <v>0</v>
      </c>
      <c r="O256" s="37">
        <v>0</v>
      </c>
      <c r="P256" s="37">
        <v>0</v>
      </c>
      <c r="Q256" s="37">
        <v>0</v>
      </c>
      <c r="R256" s="37">
        <v>2</v>
      </c>
      <c r="S256" s="40">
        <v>0</v>
      </c>
      <c r="T256" s="59">
        <f>SUM(L256:S256)</f>
        <v>2</v>
      </c>
      <c r="V256" s="36">
        <v>51</v>
      </c>
      <c r="W256" s="37">
        <v>11</v>
      </c>
      <c r="X256" s="37">
        <v>1</v>
      </c>
      <c r="Y256" s="37">
        <v>0</v>
      </c>
      <c r="Z256" s="37">
        <v>2</v>
      </c>
      <c r="AA256" s="37">
        <v>0</v>
      </c>
      <c r="AB256" s="37">
        <v>1</v>
      </c>
      <c r="AC256" s="40">
        <v>0</v>
      </c>
      <c r="AD256" s="59">
        <f>SUM(V256:AC256)</f>
        <v>66</v>
      </c>
      <c r="AF256" s="36">
        <v>1</v>
      </c>
      <c r="AG256" s="37">
        <v>0</v>
      </c>
      <c r="AH256" s="37">
        <v>0</v>
      </c>
      <c r="AI256" s="37">
        <v>0</v>
      </c>
      <c r="AJ256" s="37">
        <v>0</v>
      </c>
      <c r="AK256" s="37">
        <v>0</v>
      </c>
      <c r="AL256" s="37">
        <v>0</v>
      </c>
      <c r="AM256" s="40">
        <v>0</v>
      </c>
      <c r="AN256" s="59">
        <f>SUM(AF256:AM256)</f>
        <v>1</v>
      </c>
      <c r="AP256" s="59">
        <f>SUM(J256+T256+AD256+AN256)</f>
        <v>88</v>
      </c>
    </row>
    <row r="257" spans="1:42" ht="15.75" customHeight="1">
      <c r="A257" s="58">
        <v>0.4375</v>
      </c>
      <c r="B257" s="36">
        <v>6</v>
      </c>
      <c r="C257" s="37">
        <v>0</v>
      </c>
      <c r="D257" s="37">
        <v>0</v>
      </c>
      <c r="E257" s="37">
        <v>0</v>
      </c>
      <c r="F257" s="37">
        <v>0</v>
      </c>
      <c r="G257" s="37">
        <v>0</v>
      </c>
      <c r="H257" s="37">
        <v>14</v>
      </c>
      <c r="I257" s="40">
        <v>0</v>
      </c>
      <c r="J257" s="59">
        <f>SUM(B257:I257)</f>
        <v>20</v>
      </c>
      <c r="L257" s="36">
        <v>0</v>
      </c>
      <c r="M257" s="37">
        <v>0</v>
      </c>
      <c r="N257" s="37">
        <v>0</v>
      </c>
      <c r="O257" s="37">
        <v>0</v>
      </c>
      <c r="P257" s="37">
        <v>0</v>
      </c>
      <c r="Q257" s="37">
        <v>0</v>
      </c>
      <c r="R257" s="37">
        <v>0</v>
      </c>
      <c r="S257" s="40">
        <v>0</v>
      </c>
      <c r="T257" s="59">
        <f>SUM(L257:S257)</f>
        <v>0</v>
      </c>
      <c r="V257" s="36">
        <v>56</v>
      </c>
      <c r="W257" s="37">
        <v>12</v>
      </c>
      <c r="X257" s="37">
        <v>1</v>
      </c>
      <c r="Y257" s="37">
        <v>0</v>
      </c>
      <c r="Z257" s="37">
        <v>0</v>
      </c>
      <c r="AA257" s="37">
        <v>0</v>
      </c>
      <c r="AB257" s="37">
        <v>0</v>
      </c>
      <c r="AC257" s="40">
        <v>0</v>
      </c>
      <c r="AD257" s="59">
        <f>SUM(V257:AC257)</f>
        <v>69</v>
      </c>
      <c r="AF257" s="36">
        <v>0</v>
      </c>
      <c r="AG257" s="37">
        <v>0</v>
      </c>
      <c r="AH257" s="37">
        <v>0</v>
      </c>
      <c r="AI257" s="37">
        <v>0</v>
      </c>
      <c r="AJ257" s="37">
        <v>0</v>
      </c>
      <c r="AK257" s="37">
        <v>0</v>
      </c>
      <c r="AL257" s="37">
        <v>0</v>
      </c>
      <c r="AM257" s="40">
        <v>0</v>
      </c>
      <c r="AN257" s="59">
        <f>SUM(AF257:AM257)</f>
        <v>0</v>
      </c>
      <c r="AP257" s="59">
        <f>SUM(J257+T257+AD257+AN257)</f>
        <v>89</v>
      </c>
    </row>
    <row r="258" spans="1:42" ht="15.75" customHeight="1">
      <c r="A258" s="60">
        <v>0.44791666666666669</v>
      </c>
      <c r="B258" s="41">
        <v>5</v>
      </c>
      <c r="C258" s="42">
        <v>3</v>
      </c>
      <c r="D258" s="42">
        <v>0</v>
      </c>
      <c r="E258" s="42">
        <v>0</v>
      </c>
      <c r="F258" s="42">
        <v>0</v>
      </c>
      <c r="G258" s="42">
        <v>0</v>
      </c>
      <c r="H258" s="42">
        <v>11</v>
      </c>
      <c r="I258" s="43">
        <v>0</v>
      </c>
      <c r="J258" s="61">
        <f>SUM(B258:I258)</f>
        <v>19</v>
      </c>
      <c r="L258" s="41">
        <v>0</v>
      </c>
      <c r="M258" s="42">
        <v>0</v>
      </c>
      <c r="N258" s="42">
        <v>0</v>
      </c>
      <c r="O258" s="42">
        <v>0</v>
      </c>
      <c r="P258" s="42">
        <v>0</v>
      </c>
      <c r="Q258" s="42">
        <v>0</v>
      </c>
      <c r="R258" s="42">
        <v>0</v>
      </c>
      <c r="S258" s="43">
        <v>0</v>
      </c>
      <c r="T258" s="61">
        <f>SUM(L258:S258)</f>
        <v>0</v>
      </c>
      <c r="V258" s="41">
        <v>61</v>
      </c>
      <c r="W258" s="42">
        <v>6</v>
      </c>
      <c r="X258" s="42">
        <v>2</v>
      </c>
      <c r="Y258" s="42">
        <v>0</v>
      </c>
      <c r="Z258" s="42">
        <v>1</v>
      </c>
      <c r="AA258" s="42">
        <v>2</v>
      </c>
      <c r="AB258" s="42">
        <v>0</v>
      </c>
      <c r="AC258" s="43">
        <v>0</v>
      </c>
      <c r="AD258" s="61">
        <f>SUM(V258:AC258)</f>
        <v>72</v>
      </c>
      <c r="AF258" s="41">
        <v>0</v>
      </c>
      <c r="AG258" s="42">
        <v>0</v>
      </c>
      <c r="AH258" s="42">
        <v>0</v>
      </c>
      <c r="AI258" s="42">
        <v>0</v>
      </c>
      <c r="AJ258" s="42">
        <v>0</v>
      </c>
      <c r="AK258" s="42">
        <v>0</v>
      </c>
      <c r="AL258" s="42">
        <v>0</v>
      </c>
      <c r="AM258" s="43">
        <v>0</v>
      </c>
      <c r="AN258" s="61">
        <f>SUM(AF258:AM258)</f>
        <v>0</v>
      </c>
      <c r="AP258" s="61">
        <f>SUM(J258+T258+AD258+AN258)</f>
        <v>91</v>
      </c>
    </row>
    <row r="259" spans="1:42" ht="15.75" customHeight="1">
      <c r="A259" s="48" t="s">
        <v>29</v>
      </c>
      <c r="B259" s="45">
        <f t="shared" ref="B259:J259" si="192">SUM(B255:B258)</f>
        <v>19</v>
      </c>
      <c r="C259" s="46">
        <f t="shared" si="192"/>
        <v>8</v>
      </c>
      <c r="D259" s="46">
        <f t="shared" si="192"/>
        <v>1</v>
      </c>
      <c r="E259" s="46">
        <f t="shared" si="192"/>
        <v>0</v>
      </c>
      <c r="F259" s="46">
        <f t="shared" si="192"/>
        <v>0</v>
      </c>
      <c r="G259" s="46">
        <f t="shared" si="192"/>
        <v>0</v>
      </c>
      <c r="H259" s="46">
        <f t="shared" si="192"/>
        <v>55</v>
      </c>
      <c r="I259" s="47">
        <f t="shared" si="192"/>
        <v>0</v>
      </c>
      <c r="J259" s="48">
        <f t="shared" si="192"/>
        <v>83</v>
      </c>
      <c r="L259" s="45">
        <f t="shared" ref="L259:T259" si="193">SUM(L255:L258)</f>
        <v>0</v>
      </c>
      <c r="M259" s="46">
        <f t="shared" si="193"/>
        <v>0</v>
      </c>
      <c r="N259" s="46">
        <f t="shared" si="193"/>
        <v>0</v>
      </c>
      <c r="O259" s="46">
        <f t="shared" si="193"/>
        <v>0</v>
      </c>
      <c r="P259" s="46">
        <f t="shared" si="193"/>
        <v>0</v>
      </c>
      <c r="Q259" s="46">
        <f t="shared" si="193"/>
        <v>0</v>
      </c>
      <c r="R259" s="46">
        <f t="shared" si="193"/>
        <v>2</v>
      </c>
      <c r="S259" s="47">
        <f t="shared" si="193"/>
        <v>0</v>
      </c>
      <c r="T259" s="48">
        <f t="shared" si="193"/>
        <v>2</v>
      </c>
      <c r="V259" s="45">
        <f t="shared" ref="V259:AD259" si="194">SUM(V255:V258)</f>
        <v>223</v>
      </c>
      <c r="W259" s="46">
        <f t="shared" si="194"/>
        <v>42</v>
      </c>
      <c r="X259" s="46">
        <f t="shared" si="194"/>
        <v>4</v>
      </c>
      <c r="Y259" s="46">
        <f t="shared" si="194"/>
        <v>0</v>
      </c>
      <c r="Z259" s="46">
        <f t="shared" si="194"/>
        <v>6</v>
      </c>
      <c r="AA259" s="46">
        <f t="shared" si="194"/>
        <v>5</v>
      </c>
      <c r="AB259" s="46">
        <f t="shared" si="194"/>
        <v>1</v>
      </c>
      <c r="AC259" s="47">
        <f t="shared" si="194"/>
        <v>0</v>
      </c>
      <c r="AD259" s="48">
        <f t="shared" si="194"/>
        <v>281</v>
      </c>
      <c r="AF259" s="45">
        <f t="shared" ref="AF259:AN259" si="195">SUM(AF255:AF258)</f>
        <v>1</v>
      </c>
      <c r="AG259" s="46">
        <f t="shared" si="195"/>
        <v>0</v>
      </c>
      <c r="AH259" s="46">
        <f t="shared" si="195"/>
        <v>0</v>
      </c>
      <c r="AI259" s="46">
        <f t="shared" si="195"/>
        <v>0</v>
      </c>
      <c r="AJ259" s="46">
        <f t="shared" si="195"/>
        <v>0</v>
      </c>
      <c r="AK259" s="46">
        <f t="shared" si="195"/>
        <v>0</v>
      </c>
      <c r="AL259" s="46">
        <f t="shared" si="195"/>
        <v>0</v>
      </c>
      <c r="AM259" s="47">
        <f t="shared" si="195"/>
        <v>0</v>
      </c>
      <c r="AN259" s="48">
        <f t="shared" si="195"/>
        <v>1</v>
      </c>
      <c r="AP259" s="48">
        <f>SUM(AP255:AP258)</f>
        <v>367</v>
      </c>
    </row>
    <row r="260" spans="1:42" ht="15.75" customHeight="1">
      <c r="A260" s="56">
        <v>0.45833333333333331</v>
      </c>
      <c r="B260" s="32">
        <v>6</v>
      </c>
      <c r="C260" s="33">
        <v>3</v>
      </c>
      <c r="D260" s="33">
        <v>0</v>
      </c>
      <c r="E260" s="33">
        <v>0</v>
      </c>
      <c r="F260" s="33">
        <v>0</v>
      </c>
      <c r="G260" s="33">
        <v>0</v>
      </c>
      <c r="H260" s="33">
        <v>8</v>
      </c>
      <c r="I260" s="34">
        <v>0</v>
      </c>
      <c r="J260" s="57">
        <f>SUM(B260:I260)</f>
        <v>17</v>
      </c>
      <c r="L260" s="32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4">
        <v>0</v>
      </c>
      <c r="T260" s="57">
        <f>SUM(L260:S260)</f>
        <v>0</v>
      </c>
      <c r="V260" s="32">
        <v>61</v>
      </c>
      <c r="W260" s="33">
        <v>20</v>
      </c>
      <c r="X260" s="33">
        <v>2</v>
      </c>
      <c r="Y260" s="33">
        <v>0</v>
      </c>
      <c r="Z260" s="33">
        <v>2</v>
      </c>
      <c r="AA260" s="33">
        <v>1</v>
      </c>
      <c r="AB260" s="33">
        <v>2</v>
      </c>
      <c r="AC260" s="34">
        <v>0</v>
      </c>
      <c r="AD260" s="57">
        <f>SUM(V260:AC260)</f>
        <v>88</v>
      </c>
      <c r="AF260" s="32">
        <v>0</v>
      </c>
      <c r="AG260" s="33">
        <v>0</v>
      </c>
      <c r="AH260" s="33">
        <v>0</v>
      </c>
      <c r="AI260" s="33">
        <v>0</v>
      </c>
      <c r="AJ260" s="33">
        <v>0</v>
      </c>
      <c r="AK260" s="33">
        <v>0</v>
      </c>
      <c r="AL260" s="33">
        <v>0</v>
      </c>
      <c r="AM260" s="34">
        <v>0</v>
      </c>
      <c r="AN260" s="57">
        <f>SUM(AF260:AM260)</f>
        <v>0</v>
      </c>
      <c r="AP260" s="57">
        <f>SUM(J260+T260+AD260+AN260)</f>
        <v>105</v>
      </c>
    </row>
    <row r="261" spans="1:42" ht="15.75" customHeight="1">
      <c r="A261" s="58">
        <v>0.46875</v>
      </c>
      <c r="B261" s="36">
        <v>1</v>
      </c>
      <c r="C261" s="37">
        <v>1</v>
      </c>
      <c r="D261" s="37">
        <v>1</v>
      </c>
      <c r="E261" s="37">
        <v>0</v>
      </c>
      <c r="F261" s="37">
        <v>0</v>
      </c>
      <c r="G261" s="37">
        <v>0</v>
      </c>
      <c r="H261" s="37">
        <v>3</v>
      </c>
      <c r="I261" s="40">
        <v>0</v>
      </c>
      <c r="J261" s="59">
        <f>SUM(B261:I261)</f>
        <v>6</v>
      </c>
      <c r="L261" s="36">
        <v>0</v>
      </c>
      <c r="M261" s="37">
        <v>0</v>
      </c>
      <c r="N261" s="37">
        <v>0</v>
      </c>
      <c r="O261" s="37">
        <v>0</v>
      </c>
      <c r="P261" s="37">
        <v>0</v>
      </c>
      <c r="Q261" s="37">
        <v>0</v>
      </c>
      <c r="R261" s="37">
        <v>3</v>
      </c>
      <c r="S261" s="40">
        <v>0</v>
      </c>
      <c r="T261" s="59">
        <f>SUM(L261:S261)</f>
        <v>3</v>
      </c>
      <c r="V261" s="36">
        <v>63</v>
      </c>
      <c r="W261" s="37">
        <v>15</v>
      </c>
      <c r="X261" s="37">
        <v>1</v>
      </c>
      <c r="Y261" s="37">
        <v>1</v>
      </c>
      <c r="Z261" s="37">
        <v>1</v>
      </c>
      <c r="AA261" s="37">
        <v>0</v>
      </c>
      <c r="AB261" s="37">
        <v>1</v>
      </c>
      <c r="AC261" s="40">
        <v>0</v>
      </c>
      <c r="AD261" s="59">
        <f>SUM(V261:AC261)</f>
        <v>82</v>
      </c>
      <c r="AF261" s="36">
        <v>1</v>
      </c>
      <c r="AG261" s="37">
        <v>0</v>
      </c>
      <c r="AH261" s="37">
        <v>0</v>
      </c>
      <c r="AI261" s="37">
        <v>0</v>
      </c>
      <c r="AJ261" s="37">
        <v>0</v>
      </c>
      <c r="AK261" s="37">
        <v>0</v>
      </c>
      <c r="AL261" s="37">
        <v>0</v>
      </c>
      <c r="AM261" s="40">
        <v>0</v>
      </c>
      <c r="AN261" s="59">
        <f>SUM(AF261:AM261)</f>
        <v>1</v>
      </c>
      <c r="AP261" s="59">
        <f>SUM(J261+T261+AD261+AN261)</f>
        <v>92</v>
      </c>
    </row>
    <row r="262" spans="1:42" ht="15.75" customHeight="1">
      <c r="A262" s="58">
        <v>0.47916666666666669</v>
      </c>
      <c r="B262" s="36">
        <v>1</v>
      </c>
      <c r="C262" s="37">
        <v>3</v>
      </c>
      <c r="D262" s="37">
        <v>0</v>
      </c>
      <c r="E262" s="37">
        <v>0</v>
      </c>
      <c r="F262" s="37">
        <v>0</v>
      </c>
      <c r="G262" s="37">
        <v>0</v>
      </c>
      <c r="H262" s="37">
        <v>8</v>
      </c>
      <c r="I262" s="40">
        <v>0</v>
      </c>
      <c r="J262" s="59">
        <f>SUM(B262:I262)</f>
        <v>12</v>
      </c>
      <c r="L262" s="36">
        <v>0</v>
      </c>
      <c r="M262" s="37">
        <v>0</v>
      </c>
      <c r="N262" s="37">
        <v>0</v>
      </c>
      <c r="O262" s="37">
        <v>0</v>
      </c>
      <c r="P262" s="37">
        <v>0</v>
      </c>
      <c r="Q262" s="37">
        <v>0</v>
      </c>
      <c r="R262" s="37">
        <v>1</v>
      </c>
      <c r="S262" s="40">
        <v>0</v>
      </c>
      <c r="T262" s="59">
        <f>SUM(L262:S262)</f>
        <v>1</v>
      </c>
      <c r="V262" s="36">
        <v>46</v>
      </c>
      <c r="W262" s="37">
        <v>12</v>
      </c>
      <c r="X262" s="37">
        <v>4</v>
      </c>
      <c r="Y262" s="37">
        <v>0</v>
      </c>
      <c r="Z262" s="37">
        <v>2</v>
      </c>
      <c r="AA262" s="37">
        <v>4</v>
      </c>
      <c r="AB262" s="37">
        <v>0</v>
      </c>
      <c r="AC262" s="40">
        <v>0</v>
      </c>
      <c r="AD262" s="59">
        <f>SUM(V262:AC262)</f>
        <v>68</v>
      </c>
      <c r="AF262" s="36">
        <v>0</v>
      </c>
      <c r="AG262" s="37">
        <v>0</v>
      </c>
      <c r="AH262" s="37">
        <v>0</v>
      </c>
      <c r="AI262" s="37">
        <v>0</v>
      </c>
      <c r="AJ262" s="37">
        <v>0</v>
      </c>
      <c r="AK262" s="37">
        <v>0</v>
      </c>
      <c r="AL262" s="37">
        <v>0</v>
      </c>
      <c r="AM262" s="40">
        <v>0</v>
      </c>
      <c r="AN262" s="59">
        <f>SUM(AF262:AM262)</f>
        <v>0</v>
      </c>
      <c r="AP262" s="59">
        <f>SUM(J262+T262+AD262+AN262)</f>
        <v>81</v>
      </c>
    </row>
    <row r="263" spans="1:42" ht="15.75" customHeight="1">
      <c r="A263" s="60">
        <v>0.48958333333333331</v>
      </c>
      <c r="B263" s="41">
        <v>10</v>
      </c>
      <c r="C263" s="42">
        <v>0</v>
      </c>
      <c r="D263" s="42">
        <v>1</v>
      </c>
      <c r="E263" s="42">
        <v>0</v>
      </c>
      <c r="F263" s="42">
        <v>0</v>
      </c>
      <c r="G263" s="42">
        <v>0</v>
      </c>
      <c r="H263" s="42">
        <v>11</v>
      </c>
      <c r="I263" s="43">
        <v>0</v>
      </c>
      <c r="J263" s="61">
        <f>SUM(B263:I263)</f>
        <v>22</v>
      </c>
      <c r="L263" s="41">
        <v>0</v>
      </c>
      <c r="M263" s="42">
        <v>0</v>
      </c>
      <c r="N263" s="42">
        <v>0</v>
      </c>
      <c r="O263" s="42">
        <v>0</v>
      </c>
      <c r="P263" s="42">
        <v>0</v>
      </c>
      <c r="Q263" s="42">
        <v>0</v>
      </c>
      <c r="R263" s="42">
        <v>0</v>
      </c>
      <c r="S263" s="43">
        <v>0</v>
      </c>
      <c r="T263" s="61">
        <f>SUM(L263:S263)</f>
        <v>0</v>
      </c>
      <c r="V263" s="41">
        <v>61</v>
      </c>
      <c r="W263" s="42">
        <v>9</v>
      </c>
      <c r="X263" s="42">
        <v>0</v>
      </c>
      <c r="Y263" s="42">
        <v>0</v>
      </c>
      <c r="Z263" s="42">
        <v>2</v>
      </c>
      <c r="AA263" s="42">
        <v>0</v>
      </c>
      <c r="AB263" s="42">
        <v>1</v>
      </c>
      <c r="AC263" s="43">
        <v>0</v>
      </c>
      <c r="AD263" s="61">
        <f>SUM(V263:AC263)</f>
        <v>73</v>
      </c>
      <c r="AF263" s="41">
        <v>1</v>
      </c>
      <c r="AG263" s="42">
        <v>0</v>
      </c>
      <c r="AH263" s="42">
        <v>0</v>
      </c>
      <c r="AI263" s="42">
        <v>0</v>
      </c>
      <c r="AJ263" s="42">
        <v>0</v>
      </c>
      <c r="AK263" s="42">
        <v>0</v>
      </c>
      <c r="AL263" s="42">
        <v>0</v>
      </c>
      <c r="AM263" s="43">
        <v>0</v>
      </c>
      <c r="AN263" s="61">
        <f>SUM(AF263:AM263)</f>
        <v>1</v>
      </c>
      <c r="AP263" s="61">
        <f>SUM(J263+T263+AD263+AN263)</f>
        <v>96</v>
      </c>
    </row>
    <row r="264" spans="1:42" ht="15.75" customHeight="1">
      <c r="A264" s="48" t="s">
        <v>29</v>
      </c>
      <c r="B264" s="45">
        <f t="shared" ref="B264:J264" si="196">SUM(B260:B263)</f>
        <v>18</v>
      </c>
      <c r="C264" s="46">
        <f t="shared" si="196"/>
        <v>7</v>
      </c>
      <c r="D264" s="46">
        <f t="shared" si="196"/>
        <v>2</v>
      </c>
      <c r="E264" s="46">
        <f t="shared" si="196"/>
        <v>0</v>
      </c>
      <c r="F264" s="46">
        <f t="shared" si="196"/>
        <v>0</v>
      </c>
      <c r="G264" s="46">
        <f t="shared" si="196"/>
        <v>0</v>
      </c>
      <c r="H264" s="46">
        <f t="shared" si="196"/>
        <v>30</v>
      </c>
      <c r="I264" s="47">
        <f t="shared" si="196"/>
        <v>0</v>
      </c>
      <c r="J264" s="48">
        <f t="shared" si="196"/>
        <v>57</v>
      </c>
      <c r="L264" s="45">
        <f t="shared" ref="L264:T264" si="197">SUM(L260:L263)</f>
        <v>0</v>
      </c>
      <c r="M264" s="46">
        <f t="shared" si="197"/>
        <v>0</v>
      </c>
      <c r="N264" s="46">
        <f t="shared" si="197"/>
        <v>0</v>
      </c>
      <c r="O264" s="46">
        <f t="shared" si="197"/>
        <v>0</v>
      </c>
      <c r="P264" s="46">
        <f t="shared" si="197"/>
        <v>0</v>
      </c>
      <c r="Q264" s="46">
        <f t="shared" si="197"/>
        <v>0</v>
      </c>
      <c r="R264" s="46">
        <f t="shared" si="197"/>
        <v>4</v>
      </c>
      <c r="S264" s="47">
        <f t="shared" si="197"/>
        <v>0</v>
      </c>
      <c r="T264" s="48">
        <f t="shared" si="197"/>
        <v>4</v>
      </c>
      <c r="V264" s="45">
        <f t="shared" ref="V264:AD264" si="198">SUM(V260:V263)</f>
        <v>231</v>
      </c>
      <c r="W264" s="46">
        <f t="shared" si="198"/>
        <v>56</v>
      </c>
      <c r="X264" s="46">
        <f t="shared" si="198"/>
        <v>7</v>
      </c>
      <c r="Y264" s="46">
        <f t="shared" si="198"/>
        <v>1</v>
      </c>
      <c r="Z264" s="46">
        <f t="shared" si="198"/>
        <v>7</v>
      </c>
      <c r="AA264" s="46">
        <f t="shared" si="198"/>
        <v>5</v>
      </c>
      <c r="AB264" s="46">
        <f t="shared" si="198"/>
        <v>4</v>
      </c>
      <c r="AC264" s="47">
        <f t="shared" si="198"/>
        <v>0</v>
      </c>
      <c r="AD264" s="48">
        <f t="shared" si="198"/>
        <v>311</v>
      </c>
      <c r="AF264" s="45">
        <f t="shared" ref="AF264:AN264" si="199">SUM(AF260:AF263)</f>
        <v>2</v>
      </c>
      <c r="AG264" s="46">
        <f t="shared" si="199"/>
        <v>0</v>
      </c>
      <c r="AH264" s="46">
        <f t="shared" si="199"/>
        <v>0</v>
      </c>
      <c r="AI264" s="46">
        <f t="shared" si="199"/>
        <v>0</v>
      </c>
      <c r="AJ264" s="46">
        <f t="shared" si="199"/>
        <v>0</v>
      </c>
      <c r="AK264" s="46">
        <f t="shared" si="199"/>
        <v>0</v>
      </c>
      <c r="AL264" s="46">
        <f t="shared" si="199"/>
        <v>0</v>
      </c>
      <c r="AM264" s="47">
        <f t="shared" si="199"/>
        <v>0</v>
      </c>
      <c r="AN264" s="48">
        <f t="shared" si="199"/>
        <v>2</v>
      </c>
      <c r="AP264" s="48">
        <f>SUM(AP260:AP263)</f>
        <v>374</v>
      </c>
    </row>
    <row r="265" spans="1:42" ht="15.75" customHeight="1">
      <c r="A265" s="56">
        <v>0.5</v>
      </c>
      <c r="B265" s="32">
        <v>10</v>
      </c>
      <c r="C265" s="33">
        <v>0</v>
      </c>
      <c r="D265" s="33">
        <v>1</v>
      </c>
      <c r="E265" s="33">
        <v>0</v>
      </c>
      <c r="F265" s="33">
        <v>0</v>
      </c>
      <c r="G265" s="33">
        <v>0</v>
      </c>
      <c r="H265" s="33">
        <v>11</v>
      </c>
      <c r="I265" s="34">
        <v>0</v>
      </c>
      <c r="J265" s="57">
        <f>SUM(B265:I265)</f>
        <v>22</v>
      </c>
      <c r="L265" s="32">
        <v>0</v>
      </c>
      <c r="M265" s="33">
        <v>0</v>
      </c>
      <c r="N265" s="33">
        <v>0</v>
      </c>
      <c r="O265" s="33">
        <v>0</v>
      </c>
      <c r="P265" s="33">
        <v>0</v>
      </c>
      <c r="Q265" s="33">
        <v>0</v>
      </c>
      <c r="R265" s="33">
        <v>1</v>
      </c>
      <c r="S265" s="34">
        <v>0</v>
      </c>
      <c r="T265" s="57">
        <f>SUM(L265:S265)</f>
        <v>1</v>
      </c>
      <c r="V265" s="32">
        <v>62</v>
      </c>
      <c r="W265" s="33">
        <v>19</v>
      </c>
      <c r="X265" s="33">
        <v>3</v>
      </c>
      <c r="Y265" s="33">
        <v>0</v>
      </c>
      <c r="Z265" s="33">
        <v>0</v>
      </c>
      <c r="AA265" s="33">
        <v>2</v>
      </c>
      <c r="AB265" s="33">
        <v>1</v>
      </c>
      <c r="AC265" s="34">
        <v>0</v>
      </c>
      <c r="AD265" s="57">
        <f>SUM(V265:AC265)</f>
        <v>87</v>
      </c>
      <c r="AF265" s="32">
        <v>1</v>
      </c>
      <c r="AG265" s="33">
        <v>0</v>
      </c>
      <c r="AH265" s="33">
        <v>0</v>
      </c>
      <c r="AI265" s="33">
        <v>0</v>
      </c>
      <c r="AJ265" s="33">
        <v>0</v>
      </c>
      <c r="AK265" s="33">
        <v>0</v>
      </c>
      <c r="AL265" s="33">
        <v>0</v>
      </c>
      <c r="AM265" s="34">
        <v>0</v>
      </c>
      <c r="AN265" s="57">
        <f>SUM(AF265:AM265)</f>
        <v>1</v>
      </c>
      <c r="AP265" s="57">
        <f>SUM(J265+T265+AD265+AN265)</f>
        <v>111</v>
      </c>
    </row>
    <row r="266" spans="1:42" ht="15.75" customHeight="1">
      <c r="A266" s="58">
        <v>0.51041666666666663</v>
      </c>
      <c r="B266" s="36">
        <v>5</v>
      </c>
      <c r="C266" s="37">
        <v>2</v>
      </c>
      <c r="D266" s="37">
        <v>0</v>
      </c>
      <c r="E266" s="37">
        <v>0</v>
      </c>
      <c r="F266" s="37">
        <v>0</v>
      </c>
      <c r="G266" s="37">
        <v>0</v>
      </c>
      <c r="H266" s="37">
        <v>5</v>
      </c>
      <c r="I266" s="40">
        <v>0</v>
      </c>
      <c r="J266" s="59">
        <f>SUM(B266:I266)</f>
        <v>12</v>
      </c>
      <c r="L266" s="36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40">
        <v>0</v>
      </c>
      <c r="T266" s="59">
        <f>SUM(L266:S266)</f>
        <v>0</v>
      </c>
      <c r="V266" s="36">
        <v>50</v>
      </c>
      <c r="W266" s="37">
        <v>12</v>
      </c>
      <c r="X266" s="37">
        <v>1</v>
      </c>
      <c r="Y266" s="37">
        <v>0</v>
      </c>
      <c r="Z266" s="37">
        <v>2</v>
      </c>
      <c r="AA266" s="37">
        <v>1</v>
      </c>
      <c r="AB266" s="37">
        <v>0</v>
      </c>
      <c r="AC266" s="40">
        <v>0</v>
      </c>
      <c r="AD266" s="59">
        <f>SUM(V266:AC266)</f>
        <v>66</v>
      </c>
      <c r="AF266" s="36">
        <v>1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40">
        <v>0</v>
      </c>
      <c r="AN266" s="59">
        <f>SUM(AF266:AM266)</f>
        <v>1</v>
      </c>
      <c r="AP266" s="59">
        <f>SUM(J266+T266+AD266+AN266)</f>
        <v>79</v>
      </c>
    </row>
    <row r="267" spans="1:42" ht="15.75" customHeight="1">
      <c r="A267" s="58">
        <v>0.52083333333333337</v>
      </c>
      <c r="B267" s="36">
        <v>7</v>
      </c>
      <c r="C267" s="37">
        <v>1</v>
      </c>
      <c r="D267" s="37">
        <v>0</v>
      </c>
      <c r="E267" s="37">
        <v>0</v>
      </c>
      <c r="F267" s="37">
        <v>0</v>
      </c>
      <c r="G267" s="37">
        <v>0</v>
      </c>
      <c r="H267" s="37">
        <v>7</v>
      </c>
      <c r="I267" s="40">
        <v>0</v>
      </c>
      <c r="J267" s="59">
        <f>SUM(B267:I267)</f>
        <v>15</v>
      </c>
      <c r="L267" s="36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40">
        <v>0</v>
      </c>
      <c r="T267" s="59">
        <f>SUM(L267:S267)</f>
        <v>0</v>
      </c>
      <c r="V267" s="36">
        <v>51</v>
      </c>
      <c r="W267" s="37">
        <v>11</v>
      </c>
      <c r="X267" s="37">
        <v>1</v>
      </c>
      <c r="Y267" s="37">
        <v>0</v>
      </c>
      <c r="Z267" s="37">
        <v>0</v>
      </c>
      <c r="AA267" s="37">
        <v>1</v>
      </c>
      <c r="AB267" s="37">
        <v>0</v>
      </c>
      <c r="AC267" s="40">
        <v>0</v>
      </c>
      <c r="AD267" s="59">
        <f>SUM(V267:AC267)</f>
        <v>64</v>
      </c>
      <c r="AF267" s="36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40">
        <v>0</v>
      </c>
      <c r="AN267" s="59">
        <f>SUM(AF267:AM267)</f>
        <v>0</v>
      </c>
      <c r="AP267" s="59">
        <f>SUM(J267+T267+AD267+AN267)</f>
        <v>79</v>
      </c>
    </row>
    <row r="268" spans="1:42" ht="15.75" customHeight="1">
      <c r="A268" s="60">
        <v>0.53125</v>
      </c>
      <c r="B268" s="41">
        <v>4</v>
      </c>
      <c r="C268" s="42">
        <v>2</v>
      </c>
      <c r="D268" s="42">
        <v>0</v>
      </c>
      <c r="E268" s="42">
        <v>0</v>
      </c>
      <c r="F268" s="42">
        <v>0</v>
      </c>
      <c r="G268" s="42">
        <v>0</v>
      </c>
      <c r="H268" s="42">
        <v>15</v>
      </c>
      <c r="I268" s="43">
        <v>0</v>
      </c>
      <c r="J268" s="61">
        <f>SUM(B268:I268)</f>
        <v>21</v>
      </c>
      <c r="L268" s="41">
        <v>0</v>
      </c>
      <c r="M268" s="42">
        <v>0</v>
      </c>
      <c r="N268" s="42">
        <v>0</v>
      </c>
      <c r="O268" s="42">
        <v>0</v>
      </c>
      <c r="P268" s="42">
        <v>0</v>
      </c>
      <c r="Q268" s="42">
        <v>0</v>
      </c>
      <c r="R268" s="42">
        <v>0</v>
      </c>
      <c r="S268" s="43">
        <v>0</v>
      </c>
      <c r="T268" s="61">
        <f>SUM(L268:S268)</f>
        <v>0</v>
      </c>
      <c r="V268" s="41">
        <v>61</v>
      </c>
      <c r="W268" s="42">
        <v>13</v>
      </c>
      <c r="X268" s="42">
        <v>0</v>
      </c>
      <c r="Y268" s="42">
        <v>0</v>
      </c>
      <c r="Z268" s="42">
        <v>4</v>
      </c>
      <c r="AA268" s="42">
        <v>0</v>
      </c>
      <c r="AB268" s="42">
        <v>2</v>
      </c>
      <c r="AC268" s="43">
        <v>0</v>
      </c>
      <c r="AD268" s="61">
        <f>SUM(V268:AC268)</f>
        <v>80</v>
      </c>
      <c r="AF268" s="41">
        <v>1</v>
      </c>
      <c r="AG268" s="42">
        <v>0</v>
      </c>
      <c r="AH268" s="42">
        <v>0</v>
      </c>
      <c r="AI268" s="42">
        <v>0</v>
      </c>
      <c r="AJ268" s="42">
        <v>0</v>
      </c>
      <c r="AK268" s="42">
        <v>0</v>
      </c>
      <c r="AL268" s="42">
        <v>0</v>
      </c>
      <c r="AM268" s="43">
        <v>0</v>
      </c>
      <c r="AN268" s="61">
        <f>SUM(AF268:AM268)</f>
        <v>1</v>
      </c>
      <c r="AP268" s="61">
        <f>SUM(J268+T268+AD268+AN268)</f>
        <v>102</v>
      </c>
    </row>
    <row r="269" spans="1:42" ht="15.75" customHeight="1">
      <c r="A269" s="48" t="s">
        <v>29</v>
      </c>
      <c r="B269" s="45">
        <f t="shared" ref="B269:J269" si="200">SUM(B265:B268)</f>
        <v>26</v>
      </c>
      <c r="C269" s="46">
        <f t="shared" si="200"/>
        <v>5</v>
      </c>
      <c r="D269" s="46">
        <f t="shared" si="200"/>
        <v>1</v>
      </c>
      <c r="E269" s="46">
        <f t="shared" si="200"/>
        <v>0</v>
      </c>
      <c r="F269" s="46">
        <f t="shared" si="200"/>
        <v>0</v>
      </c>
      <c r="G269" s="46">
        <f t="shared" si="200"/>
        <v>0</v>
      </c>
      <c r="H269" s="46">
        <f t="shared" si="200"/>
        <v>38</v>
      </c>
      <c r="I269" s="47">
        <f t="shared" si="200"/>
        <v>0</v>
      </c>
      <c r="J269" s="48">
        <f t="shared" si="200"/>
        <v>70</v>
      </c>
      <c r="L269" s="45">
        <f t="shared" ref="L269:T269" si="201">SUM(L265:L268)</f>
        <v>0</v>
      </c>
      <c r="M269" s="46">
        <f t="shared" si="201"/>
        <v>0</v>
      </c>
      <c r="N269" s="46">
        <f t="shared" si="201"/>
        <v>0</v>
      </c>
      <c r="O269" s="46">
        <f t="shared" si="201"/>
        <v>0</v>
      </c>
      <c r="P269" s="46">
        <f t="shared" si="201"/>
        <v>0</v>
      </c>
      <c r="Q269" s="46">
        <f t="shared" si="201"/>
        <v>0</v>
      </c>
      <c r="R269" s="46">
        <f t="shared" si="201"/>
        <v>1</v>
      </c>
      <c r="S269" s="47">
        <f t="shared" si="201"/>
        <v>0</v>
      </c>
      <c r="T269" s="48">
        <f t="shared" si="201"/>
        <v>1</v>
      </c>
      <c r="V269" s="45">
        <f t="shared" ref="V269:AD269" si="202">SUM(V265:V268)</f>
        <v>224</v>
      </c>
      <c r="W269" s="46">
        <f t="shared" si="202"/>
        <v>55</v>
      </c>
      <c r="X269" s="46">
        <f t="shared" si="202"/>
        <v>5</v>
      </c>
      <c r="Y269" s="46">
        <f t="shared" si="202"/>
        <v>0</v>
      </c>
      <c r="Z269" s="46">
        <f t="shared" si="202"/>
        <v>6</v>
      </c>
      <c r="AA269" s="46">
        <f t="shared" si="202"/>
        <v>4</v>
      </c>
      <c r="AB269" s="46">
        <f t="shared" si="202"/>
        <v>3</v>
      </c>
      <c r="AC269" s="47">
        <f t="shared" si="202"/>
        <v>0</v>
      </c>
      <c r="AD269" s="48">
        <f t="shared" si="202"/>
        <v>297</v>
      </c>
      <c r="AF269" s="45">
        <f t="shared" ref="AF269:AN269" si="203">SUM(AF265:AF268)</f>
        <v>3</v>
      </c>
      <c r="AG269" s="46">
        <f t="shared" si="203"/>
        <v>0</v>
      </c>
      <c r="AH269" s="46">
        <f t="shared" si="203"/>
        <v>0</v>
      </c>
      <c r="AI269" s="46">
        <f t="shared" si="203"/>
        <v>0</v>
      </c>
      <c r="AJ269" s="46">
        <f t="shared" si="203"/>
        <v>0</v>
      </c>
      <c r="AK269" s="46">
        <f t="shared" si="203"/>
        <v>0</v>
      </c>
      <c r="AL269" s="46">
        <f t="shared" si="203"/>
        <v>0</v>
      </c>
      <c r="AM269" s="47">
        <f t="shared" si="203"/>
        <v>0</v>
      </c>
      <c r="AN269" s="48">
        <f t="shared" si="203"/>
        <v>3</v>
      </c>
      <c r="AP269" s="48">
        <f>SUM(AP265:AP268)</f>
        <v>371</v>
      </c>
    </row>
    <row r="271" spans="1:42" ht="15.75" customHeight="1">
      <c r="A271" s="48" t="s">
        <v>30</v>
      </c>
      <c r="B271" s="45">
        <f t="shared" ref="B271:J271" si="204">SUM(B269+B264+B259+B254+B249+B244)</f>
        <v>223</v>
      </c>
      <c r="C271" s="46">
        <f t="shared" si="204"/>
        <v>35</v>
      </c>
      <c r="D271" s="46">
        <f t="shared" si="204"/>
        <v>6</v>
      </c>
      <c r="E271" s="46">
        <f t="shared" si="204"/>
        <v>0</v>
      </c>
      <c r="F271" s="46">
        <f t="shared" si="204"/>
        <v>0</v>
      </c>
      <c r="G271" s="46">
        <f t="shared" si="204"/>
        <v>1</v>
      </c>
      <c r="H271" s="46">
        <f t="shared" si="204"/>
        <v>742</v>
      </c>
      <c r="I271" s="47">
        <f t="shared" si="204"/>
        <v>0</v>
      </c>
      <c r="J271" s="48">
        <f t="shared" si="204"/>
        <v>1007</v>
      </c>
      <c r="L271" s="45">
        <f t="shared" ref="L271:T271" si="205">SUM(L269+L264+L259+L254+L249+L244)</f>
        <v>0</v>
      </c>
      <c r="M271" s="46">
        <f t="shared" si="205"/>
        <v>0</v>
      </c>
      <c r="N271" s="46">
        <f t="shared" si="205"/>
        <v>0</v>
      </c>
      <c r="O271" s="46">
        <f t="shared" si="205"/>
        <v>0</v>
      </c>
      <c r="P271" s="46">
        <f t="shared" si="205"/>
        <v>0</v>
      </c>
      <c r="Q271" s="46">
        <f t="shared" si="205"/>
        <v>1</v>
      </c>
      <c r="R271" s="46">
        <f t="shared" si="205"/>
        <v>57</v>
      </c>
      <c r="S271" s="47">
        <f t="shared" si="205"/>
        <v>1</v>
      </c>
      <c r="T271" s="48">
        <f t="shared" si="205"/>
        <v>59</v>
      </c>
      <c r="V271" s="45">
        <f t="shared" ref="V271:AD271" si="206">SUM(V269+V264+V259+V254+V249+V244)</f>
        <v>1692</v>
      </c>
      <c r="W271" s="46">
        <f t="shared" si="206"/>
        <v>274</v>
      </c>
      <c r="X271" s="46">
        <f t="shared" si="206"/>
        <v>27</v>
      </c>
      <c r="Y271" s="46">
        <f t="shared" si="206"/>
        <v>7</v>
      </c>
      <c r="Z271" s="46">
        <f t="shared" si="206"/>
        <v>29</v>
      </c>
      <c r="AA271" s="46">
        <f t="shared" si="206"/>
        <v>65</v>
      </c>
      <c r="AB271" s="46">
        <f t="shared" si="206"/>
        <v>79</v>
      </c>
      <c r="AC271" s="47">
        <f t="shared" si="206"/>
        <v>1</v>
      </c>
      <c r="AD271" s="48">
        <f t="shared" si="206"/>
        <v>2174</v>
      </c>
      <c r="AF271" s="45">
        <f t="shared" ref="AF271:AN271" si="207">SUM(AF269+AF264+AF259+AF254+AF249+AF244)</f>
        <v>8</v>
      </c>
      <c r="AG271" s="46">
        <f t="shared" si="207"/>
        <v>0</v>
      </c>
      <c r="AH271" s="46">
        <f t="shared" si="207"/>
        <v>0</v>
      </c>
      <c r="AI271" s="46">
        <f t="shared" si="207"/>
        <v>0</v>
      </c>
      <c r="AJ271" s="46">
        <f t="shared" si="207"/>
        <v>0</v>
      </c>
      <c r="AK271" s="46">
        <f t="shared" si="207"/>
        <v>0</v>
      </c>
      <c r="AL271" s="46">
        <f t="shared" si="207"/>
        <v>0</v>
      </c>
      <c r="AM271" s="47">
        <f t="shared" si="207"/>
        <v>0</v>
      </c>
      <c r="AN271" s="48">
        <f t="shared" si="207"/>
        <v>8</v>
      </c>
      <c r="AP271" s="48">
        <f>SUM(AP269+AP264+AP259+AP254+AP249+AP244)</f>
        <v>3248</v>
      </c>
    </row>
    <row r="273" spans="1:42" ht="15.75" customHeight="1">
      <c r="A273" s="44" t="s">
        <v>14</v>
      </c>
      <c r="B273" s="44" t="str">
        <f>$AH$9</f>
        <v>Arm D - Cumberland Road</v>
      </c>
    </row>
    <row r="274" spans="1:42" ht="15.75" customHeight="1">
      <c r="B274" s="45" t="s">
        <v>16</v>
      </c>
      <c r="C274" s="46"/>
      <c r="D274" s="46" t="str">
        <f>$D$9</f>
        <v>Arm A - Wapping Road</v>
      </c>
      <c r="E274" s="46"/>
      <c r="F274" s="46"/>
      <c r="G274" s="46"/>
      <c r="H274" s="46"/>
      <c r="I274" s="47"/>
      <c r="J274" s="48"/>
      <c r="L274" s="45" t="s">
        <v>16</v>
      </c>
      <c r="M274" s="46"/>
      <c r="N274" s="46" t="str">
        <f>$N$9</f>
        <v>Arm B - River Path</v>
      </c>
      <c r="O274" s="46"/>
      <c r="P274" s="46"/>
      <c r="Q274" s="46"/>
      <c r="R274" s="46"/>
      <c r="S274" s="47"/>
      <c r="T274" s="48"/>
      <c r="V274" s="45" t="s">
        <v>16</v>
      </c>
      <c r="W274" s="46"/>
      <c r="X274" s="46" t="str">
        <f>$X$9</f>
        <v>Arm C - Commerical Road</v>
      </c>
      <c r="Y274" s="46"/>
      <c r="Z274" s="46"/>
      <c r="AA274" s="46"/>
      <c r="AB274" s="46"/>
      <c r="AC274" s="47"/>
      <c r="AD274" s="48"/>
      <c r="AF274" s="45" t="s">
        <v>16</v>
      </c>
      <c r="AG274" s="46"/>
      <c r="AH274" s="46" t="str">
        <f>$AH$9</f>
        <v>Arm D - Cumberland Road</v>
      </c>
      <c r="AI274" s="46"/>
      <c r="AJ274" s="46"/>
      <c r="AK274" s="46"/>
      <c r="AL274" s="46"/>
      <c r="AM274" s="47"/>
      <c r="AN274" s="48"/>
      <c r="AP274" s="49" t="s">
        <v>28</v>
      </c>
    </row>
    <row r="275" spans="1:42" s="50" customFormat="1" ht="15.75" customHeight="1">
      <c r="B275" s="51" t="str">
        <f>$B$10</f>
        <v>CAR</v>
      </c>
      <c r="C275" s="52" t="str">
        <f>$C$10</f>
        <v>LGV</v>
      </c>
      <c r="D275" s="52" t="str">
        <f>$D$10</f>
        <v>OGV1</v>
      </c>
      <c r="E275" s="52" t="str">
        <f>$E$10</f>
        <v>OGV2</v>
      </c>
      <c r="F275" s="52" t="str">
        <f>$F$10</f>
        <v>PSV</v>
      </c>
      <c r="G275" s="52" t="str">
        <f>$G$10</f>
        <v>MC</v>
      </c>
      <c r="H275" s="52" t="str">
        <f>$H$10</f>
        <v>PC</v>
      </c>
      <c r="I275" s="53" t="str">
        <f>$I$10</f>
        <v>PC</v>
      </c>
      <c r="J275" s="54" t="s">
        <v>24</v>
      </c>
      <c r="L275" s="51" t="str">
        <f>$B$10</f>
        <v>CAR</v>
      </c>
      <c r="M275" s="52" t="str">
        <f>$C$10</f>
        <v>LGV</v>
      </c>
      <c r="N275" s="52" t="str">
        <f>$D$10</f>
        <v>OGV1</v>
      </c>
      <c r="O275" s="52" t="str">
        <f>$E$10</f>
        <v>OGV2</v>
      </c>
      <c r="P275" s="52" t="str">
        <f>$F$10</f>
        <v>PSV</v>
      </c>
      <c r="Q275" s="52" t="str">
        <f>$G$10</f>
        <v>MC</v>
      </c>
      <c r="R275" s="52" t="str">
        <f>$H$10</f>
        <v>PC</v>
      </c>
      <c r="S275" s="53" t="str">
        <f>$I$10</f>
        <v>PC</v>
      </c>
      <c r="T275" s="54" t="s">
        <v>24</v>
      </c>
      <c r="V275" s="51" t="str">
        <f>$B$10</f>
        <v>CAR</v>
      </c>
      <c r="W275" s="52" t="str">
        <f>$C$10</f>
        <v>LGV</v>
      </c>
      <c r="X275" s="52" t="str">
        <f>$D$10</f>
        <v>OGV1</v>
      </c>
      <c r="Y275" s="52" t="str">
        <f>$E$10</f>
        <v>OGV2</v>
      </c>
      <c r="Z275" s="52" t="str">
        <f>$F$10</f>
        <v>PSV</v>
      </c>
      <c r="AA275" s="52" t="str">
        <f>$G$10</f>
        <v>MC</v>
      </c>
      <c r="AB275" s="52" t="str">
        <f>$H$10</f>
        <v>PC</v>
      </c>
      <c r="AC275" s="53" t="str">
        <f>$I$10</f>
        <v>PC</v>
      </c>
      <c r="AD275" s="54" t="s">
        <v>24</v>
      </c>
      <c r="AF275" s="51" t="str">
        <f>$B$10</f>
        <v>CAR</v>
      </c>
      <c r="AG275" s="52" t="str">
        <f>$C$10</f>
        <v>LGV</v>
      </c>
      <c r="AH275" s="52" t="str">
        <f>$D$10</f>
        <v>OGV1</v>
      </c>
      <c r="AI275" s="52" t="str">
        <f>$E$10</f>
        <v>OGV2</v>
      </c>
      <c r="AJ275" s="52" t="str">
        <f>$F$10</f>
        <v>PSV</v>
      </c>
      <c r="AK275" s="52" t="str">
        <f>$G$10</f>
        <v>MC</v>
      </c>
      <c r="AL275" s="52" t="str">
        <f>$H$10</f>
        <v>PC</v>
      </c>
      <c r="AM275" s="53" t="str">
        <f>$I$10</f>
        <v>PC</v>
      </c>
      <c r="AN275" s="54" t="s">
        <v>24</v>
      </c>
      <c r="AP275" s="55"/>
    </row>
    <row r="277" spans="1:42" ht="15.75" customHeight="1">
      <c r="A277" s="56">
        <v>0.54166666666666663</v>
      </c>
      <c r="B277" s="32">
        <v>4</v>
      </c>
      <c r="C277" s="33">
        <v>0</v>
      </c>
      <c r="D277" s="33">
        <v>0</v>
      </c>
      <c r="E277" s="33">
        <v>0</v>
      </c>
      <c r="F277" s="33">
        <v>0</v>
      </c>
      <c r="G277" s="33">
        <v>0</v>
      </c>
      <c r="H277" s="33">
        <v>10</v>
      </c>
      <c r="I277" s="34">
        <v>0</v>
      </c>
      <c r="J277" s="57">
        <f>SUM(B277:I277)</f>
        <v>14</v>
      </c>
      <c r="L277" s="32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4">
        <v>0</v>
      </c>
      <c r="T277" s="57">
        <f>SUM(L277:S277)</f>
        <v>0</v>
      </c>
      <c r="V277" s="32">
        <v>62</v>
      </c>
      <c r="W277" s="33">
        <v>9</v>
      </c>
      <c r="X277" s="33">
        <v>2</v>
      </c>
      <c r="Y277" s="33">
        <v>0</v>
      </c>
      <c r="Z277" s="33">
        <v>0</v>
      </c>
      <c r="AA277" s="33">
        <v>0</v>
      </c>
      <c r="AB277" s="33">
        <v>6</v>
      </c>
      <c r="AC277" s="34">
        <v>0</v>
      </c>
      <c r="AD277" s="57">
        <f>SUM(V277:AC277)</f>
        <v>79</v>
      </c>
      <c r="AF277" s="32">
        <v>1</v>
      </c>
      <c r="AG277" s="33">
        <v>0</v>
      </c>
      <c r="AH277" s="33">
        <v>0</v>
      </c>
      <c r="AI277" s="33">
        <v>0</v>
      </c>
      <c r="AJ277" s="33">
        <v>0</v>
      </c>
      <c r="AK277" s="33">
        <v>0</v>
      </c>
      <c r="AL277" s="33">
        <v>0</v>
      </c>
      <c r="AM277" s="34">
        <v>0</v>
      </c>
      <c r="AN277" s="57">
        <f>SUM(AF277:AM277)</f>
        <v>1</v>
      </c>
      <c r="AP277" s="57">
        <f>SUM(J277+T277+AD277+AN277)</f>
        <v>94</v>
      </c>
    </row>
    <row r="278" spans="1:42" ht="15.75" customHeight="1">
      <c r="A278" s="58">
        <v>0.55208333333333337</v>
      </c>
      <c r="B278" s="36">
        <v>3</v>
      </c>
      <c r="C278" s="37">
        <v>0</v>
      </c>
      <c r="D278" s="37">
        <v>0</v>
      </c>
      <c r="E278" s="37">
        <v>0</v>
      </c>
      <c r="F278" s="37">
        <v>0</v>
      </c>
      <c r="G278" s="37">
        <v>0</v>
      </c>
      <c r="H278" s="37">
        <v>14</v>
      </c>
      <c r="I278" s="40">
        <v>0</v>
      </c>
      <c r="J278" s="59">
        <f>SUM(B278:I278)</f>
        <v>17</v>
      </c>
      <c r="L278" s="36">
        <v>0</v>
      </c>
      <c r="M278" s="37">
        <v>0</v>
      </c>
      <c r="N278" s="37">
        <v>0</v>
      </c>
      <c r="O278" s="37">
        <v>0</v>
      </c>
      <c r="P278" s="37">
        <v>0</v>
      </c>
      <c r="Q278" s="37">
        <v>0</v>
      </c>
      <c r="R278" s="37">
        <v>1</v>
      </c>
      <c r="S278" s="40">
        <v>0</v>
      </c>
      <c r="T278" s="59">
        <f>SUM(L278:S278)</f>
        <v>1</v>
      </c>
      <c r="V278" s="36">
        <v>71</v>
      </c>
      <c r="W278" s="37">
        <v>11</v>
      </c>
      <c r="X278" s="37">
        <v>0</v>
      </c>
      <c r="Y278" s="37">
        <v>1</v>
      </c>
      <c r="Z278" s="37">
        <v>1</v>
      </c>
      <c r="AA278" s="37">
        <v>1</v>
      </c>
      <c r="AB278" s="37">
        <v>0</v>
      </c>
      <c r="AC278" s="40">
        <v>0</v>
      </c>
      <c r="AD278" s="59">
        <f>SUM(V278:AC278)</f>
        <v>85</v>
      </c>
      <c r="AF278" s="36">
        <v>0</v>
      </c>
      <c r="AG278" s="37">
        <v>0</v>
      </c>
      <c r="AH278" s="37">
        <v>0</v>
      </c>
      <c r="AI278" s="37">
        <v>0</v>
      </c>
      <c r="AJ278" s="37">
        <v>0</v>
      </c>
      <c r="AK278" s="37">
        <v>0</v>
      </c>
      <c r="AL278" s="37">
        <v>0</v>
      </c>
      <c r="AM278" s="40">
        <v>0</v>
      </c>
      <c r="AN278" s="59">
        <f>SUM(AF278:AM278)</f>
        <v>0</v>
      </c>
      <c r="AP278" s="59">
        <f>SUM(J278+T278+AD278+AN278)</f>
        <v>103</v>
      </c>
    </row>
    <row r="279" spans="1:42" ht="15.75" customHeight="1">
      <c r="A279" s="58">
        <v>0.5625</v>
      </c>
      <c r="B279" s="36">
        <v>4</v>
      </c>
      <c r="C279" s="37">
        <v>1</v>
      </c>
      <c r="D279" s="37">
        <v>0</v>
      </c>
      <c r="E279" s="37">
        <v>0</v>
      </c>
      <c r="F279" s="37">
        <v>0</v>
      </c>
      <c r="G279" s="37">
        <v>0</v>
      </c>
      <c r="H279" s="37">
        <v>9</v>
      </c>
      <c r="I279" s="40">
        <v>0</v>
      </c>
      <c r="J279" s="59">
        <f>SUM(B279:I279)</f>
        <v>14</v>
      </c>
      <c r="L279" s="36">
        <v>0</v>
      </c>
      <c r="M279" s="37">
        <v>0</v>
      </c>
      <c r="N279" s="37">
        <v>0</v>
      </c>
      <c r="O279" s="37">
        <v>0</v>
      </c>
      <c r="P279" s="37">
        <v>0</v>
      </c>
      <c r="Q279" s="37">
        <v>0</v>
      </c>
      <c r="R279" s="37">
        <v>1</v>
      </c>
      <c r="S279" s="40">
        <v>0</v>
      </c>
      <c r="T279" s="59">
        <f>SUM(L279:S279)</f>
        <v>1</v>
      </c>
      <c r="V279" s="36">
        <v>56</v>
      </c>
      <c r="W279" s="37">
        <v>13</v>
      </c>
      <c r="X279" s="37">
        <v>4</v>
      </c>
      <c r="Y279" s="37">
        <v>0</v>
      </c>
      <c r="Z279" s="37">
        <v>0</v>
      </c>
      <c r="AA279" s="37">
        <v>1</v>
      </c>
      <c r="AB279" s="37">
        <v>1</v>
      </c>
      <c r="AC279" s="40">
        <v>0</v>
      </c>
      <c r="AD279" s="59">
        <f>SUM(V279:AC279)</f>
        <v>75</v>
      </c>
      <c r="AF279" s="36">
        <v>0</v>
      </c>
      <c r="AG279" s="37">
        <v>0</v>
      </c>
      <c r="AH279" s="37">
        <v>0</v>
      </c>
      <c r="AI279" s="37">
        <v>0</v>
      </c>
      <c r="AJ279" s="37">
        <v>0</v>
      </c>
      <c r="AK279" s="37">
        <v>0</v>
      </c>
      <c r="AL279" s="37">
        <v>0</v>
      </c>
      <c r="AM279" s="40">
        <v>0</v>
      </c>
      <c r="AN279" s="59">
        <f>SUM(AF279:AM279)</f>
        <v>0</v>
      </c>
      <c r="AP279" s="59">
        <f>SUM(J279+T279+AD279+AN279)</f>
        <v>90</v>
      </c>
    </row>
    <row r="280" spans="1:42" ht="15.75" customHeight="1">
      <c r="A280" s="60">
        <v>0.57291666666666663</v>
      </c>
      <c r="B280" s="41">
        <v>1</v>
      </c>
      <c r="C280" s="42">
        <v>1</v>
      </c>
      <c r="D280" s="42">
        <v>0</v>
      </c>
      <c r="E280" s="42">
        <v>0</v>
      </c>
      <c r="F280" s="42">
        <v>0</v>
      </c>
      <c r="G280" s="42">
        <v>0</v>
      </c>
      <c r="H280" s="42">
        <v>15</v>
      </c>
      <c r="I280" s="43">
        <v>0</v>
      </c>
      <c r="J280" s="61">
        <f>SUM(B280:I280)</f>
        <v>17</v>
      </c>
      <c r="L280" s="41">
        <v>0</v>
      </c>
      <c r="M280" s="42">
        <v>0</v>
      </c>
      <c r="N280" s="42">
        <v>0</v>
      </c>
      <c r="O280" s="42">
        <v>0</v>
      </c>
      <c r="P280" s="42">
        <v>0</v>
      </c>
      <c r="Q280" s="42">
        <v>0</v>
      </c>
      <c r="R280" s="42">
        <v>3</v>
      </c>
      <c r="S280" s="43">
        <v>1</v>
      </c>
      <c r="T280" s="61">
        <f>SUM(L280:S280)</f>
        <v>4</v>
      </c>
      <c r="V280" s="41">
        <v>68</v>
      </c>
      <c r="W280" s="42">
        <v>11</v>
      </c>
      <c r="X280" s="42">
        <v>4</v>
      </c>
      <c r="Y280" s="42">
        <v>0</v>
      </c>
      <c r="Z280" s="42">
        <v>2</v>
      </c>
      <c r="AA280" s="42">
        <v>1</v>
      </c>
      <c r="AB280" s="42">
        <v>2</v>
      </c>
      <c r="AC280" s="43">
        <v>0</v>
      </c>
      <c r="AD280" s="61">
        <f>SUM(V280:AC280)</f>
        <v>88</v>
      </c>
      <c r="AF280" s="41">
        <v>0</v>
      </c>
      <c r="AG280" s="42">
        <v>0</v>
      </c>
      <c r="AH280" s="42">
        <v>0</v>
      </c>
      <c r="AI280" s="42">
        <v>0</v>
      </c>
      <c r="AJ280" s="42">
        <v>0</v>
      </c>
      <c r="AK280" s="42">
        <v>0</v>
      </c>
      <c r="AL280" s="42">
        <v>0</v>
      </c>
      <c r="AM280" s="43">
        <v>0</v>
      </c>
      <c r="AN280" s="61">
        <f>SUM(AF280:AM280)</f>
        <v>0</v>
      </c>
      <c r="AP280" s="61">
        <f>SUM(J280+T280+AD280+AN280)</f>
        <v>109</v>
      </c>
    </row>
    <row r="281" spans="1:42" ht="15.75" customHeight="1">
      <c r="A281" s="48" t="s">
        <v>29</v>
      </c>
      <c r="B281" s="45">
        <f t="shared" ref="B281:J281" si="208">SUM(B277:B280)</f>
        <v>12</v>
      </c>
      <c r="C281" s="46">
        <f t="shared" si="208"/>
        <v>2</v>
      </c>
      <c r="D281" s="46">
        <f t="shared" si="208"/>
        <v>0</v>
      </c>
      <c r="E281" s="46">
        <f t="shared" si="208"/>
        <v>0</v>
      </c>
      <c r="F281" s="46">
        <f t="shared" si="208"/>
        <v>0</v>
      </c>
      <c r="G281" s="46">
        <f t="shared" si="208"/>
        <v>0</v>
      </c>
      <c r="H281" s="46">
        <f t="shared" si="208"/>
        <v>48</v>
      </c>
      <c r="I281" s="47">
        <f t="shared" si="208"/>
        <v>0</v>
      </c>
      <c r="J281" s="48">
        <f t="shared" si="208"/>
        <v>62</v>
      </c>
      <c r="L281" s="45">
        <f t="shared" ref="L281:T281" si="209">SUM(L277:L280)</f>
        <v>0</v>
      </c>
      <c r="M281" s="46">
        <f t="shared" si="209"/>
        <v>0</v>
      </c>
      <c r="N281" s="46">
        <f t="shared" si="209"/>
        <v>0</v>
      </c>
      <c r="O281" s="46">
        <f t="shared" si="209"/>
        <v>0</v>
      </c>
      <c r="P281" s="46">
        <f t="shared" si="209"/>
        <v>0</v>
      </c>
      <c r="Q281" s="46">
        <f t="shared" si="209"/>
        <v>0</v>
      </c>
      <c r="R281" s="46">
        <f t="shared" si="209"/>
        <v>5</v>
      </c>
      <c r="S281" s="47">
        <f t="shared" si="209"/>
        <v>1</v>
      </c>
      <c r="T281" s="48">
        <f t="shared" si="209"/>
        <v>6</v>
      </c>
      <c r="V281" s="45">
        <f t="shared" ref="V281:AD281" si="210">SUM(V277:V280)</f>
        <v>257</v>
      </c>
      <c r="W281" s="46">
        <f t="shared" si="210"/>
        <v>44</v>
      </c>
      <c r="X281" s="46">
        <f t="shared" si="210"/>
        <v>10</v>
      </c>
      <c r="Y281" s="46">
        <f t="shared" si="210"/>
        <v>1</v>
      </c>
      <c r="Z281" s="46">
        <f t="shared" si="210"/>
        <v>3</v>
      </c>
      <c r="AA281" s="46">
        <f t="shared" si="210"/>
        <v>3</v>
      </c>
      <c r="AB281" s="46">
        <f t="shared" si="210"/>
        <v>9</v>
      </c>
      <c r="AC281" s="47">
        <f t="shared" si="210"/>
        <v>0</v>
      </c>
      <c r="AD281" s="48">
        <f t="shared" si="210"/>
        <v>327</v>
      </c>
      <c r="AF281" s="45">
        <f t="shared" ref="AF281:AN281" si="211">SUM(AF277:AF280)</f>
        <v>1</v>
      </c>
      <c r="AG281" s="46">
        <f t="shared" si="211"/>
        <v>0</v>
      </c>
      <c r="AH281" s="46">
        <f t="shared" si="211"/>
        <v>0</v>
      </c>
      <c r="AI281" s="46">
        <f t="shared" si="211"/>
        <v>0</v>
      </c>
      <c r="AJ281" s="46">
        <f t="shared" si="211"/>
        <v>0</v>
      </c>
      <c r="AK281" s="46">
        <f t="shared" si="211"/>
        <v>0</v>
      </c>
      <c r="AL281" s="46">
        <f t="shared" si="211"/>
        <v>0</v>
      </c>
      <c r="AM281" s="47">
        <f t="shared" si="211"/>
        <v>0</v>
      </c>
      <c r="AN281" s="48">
        <f t="shared" si="211"/>
        <v>1</v>
      </c>
      <c r="AP281" s="48">
        <f>SUM(AP277:AP280)</f>
        <v>396</v>
      </c>
    </row>
    <row r="282" spans="1:42" ht="15.75" customHeight="1">
      <c r="A282" s="56">
        <v>0.58333333333333337</v>
      </c>
      <c r="B282" s="32">
        <v>3</v>
      </c>
      <c r="C282" s="33">
        <v>1</v>
      </c>
      <c r="D282" s="33">
        <v>0</v>
      </c>
      <c r="E282" s="33">
        <v>0</v>
      </c>
      <c r="F282" s="33">
        <v>0</v>
      </c>
      <c r="G282" s="33">
        <v>0</v>
      </c>
      <c r="H282" s="33">
        <v>5</v>
      </c>
      <c r="I282" s="34">
        <v>0</v>
      </c>
      <c r="J282" s="57">
        <f>SUM(B282:I282)</f>
        <v>9</v>
      </c>
      <c r="L282" s="32">
        <v>0</v>
      </c>
      <c r="M282" s="33">
        <v>0</v>
      </c>
      <c r="N282" s="33">
        <v>0</v>
      </c>
      <c r="O282" s="33">
        <v>0</v>
      </c>
      <c r="P282" s="33">
        <v>0</v>
      </c>
      <c r="Q282" s="33">
        <v>0</v>
      </c>
      <c r="R282" s="33">
        <v>4</v>
      </c>
      <c r="S282" s="34">
        <v>0</v>
      </c>
      <c r="T282" s="57">
        <f>SUM(L282:S282)</f>
        <v>4</v>
      </c>
      <c r="V282" s="32">
        <v>96</v>
      </c>
      <c r="W282" s="33">
        <v>17</v>
      </c>
      <c r="X282" s="33">
        <v>1</v>
      </c>
      <c r="Y282" s="33">
        <v>0</v>
      </c>
      <c r="Z282" s="33">
        <v>1</v>
      </c>
      <c r="AA282" s="33">
        <v>2</v>
      </c>
      <c r="AB282" s="33">
        <v>2</v>
      </c>
      <c r="AC282" s="34">
        <v>0</v>
      </c>
      <c r="AD282" s="57">
        <f>SUM(V282:AC282)</f>
        <v>119</v>
      </c>
      <c r="AF282" s="32">
        <v>0</v>
      </c>
      <c r="AG282" s="33">
        <v>0</v>
      </c>
      <c r="AH282" s="33">
        <v>0</v>
      </c>
      <c r="AI282" s="33">
        <v>0</v>
      </c>
      <c r="AJ282" s="33">
        <v>0</v>
      </c>
      <c r="AK282" s="33">
        <v>0</v>
      </c>
      <c r="AL282" s="33">
        <v>0</v>
      </c>
      <c r="AM282" s="34">
        <v>0</v>
      </c>
      <c r="AN282" s="57">
        <f>SUM(AF282:AM282)</f>
        <v>0</v>
      </c>
      <c r="AP282" s="57">
        <f>SUM(J282+T282+AD282+AN282)</f>
        <v>132</v>
      </c>
    </row>
    <row r="283" spans="1:42" ht="15.75" customHeight="1">
      <c r="A283" s="58">
        <v>0.59375</v>
      </c>
      <c r="B283" s="36">
        <v>3</v>
      </c>
      <c r="C283" s="37">
        <v>1</v>
      </c>
      <c r="D283" s="37">
        <v>0</v>
      </c>
      <c r="E283" s="37">
        <v>0</v>
      </c>
      <c r="F283" s="37">
        <v>0</v>
      </c>
      <c r="G283" s="37">
        <v>0</v>
      </c>
      <c r="H283" s="37">
        <v>6</v>
      </c>
      <c r="I283" s="40">
        <v>0</v>
      </c>
      <c r="J283" s="59">
        <f>SUM(B283:I283)</f>
        <v>10</v>
      </c>
      <c r="L283" s="36">
        <v>0</v>
      </c>
      <c r="M283" s="37">
        <v>0</v>
      </c>
      <c r="N283" s="37">
        <v>0</v>
      </c>
      <c r="O283" s="37">
        <v>0</v>
      </c>
      <c r="P283" s="37">
        <v>0</v>
      </c>
      <c r="Q283" s="37">
        <v>0</v>
      </c>
      <c r="R283" s="37">
        <v>2</v>
      </c>
      <c r="S283" s="40">
        <v>0</v>
      </c>
      <c r="T283" s="59">
        <f>SUM(L283:S283)</f>
        <v>2</v>
      </c>
      <c r="V283" s="36">
        <v>81</v>
      </c>
      <c r="W283" s="37">
        <v>11</v>
      </c>
      <c r="X283" s="37">
        <v>6</v>
      </c>
      <c r="Y283" s="37">
        <v>0</v>
      </c>
      <c r="Z283" s="37">
        <v>2</v>
      </c>
      <c r="AA283" s="37">
        <v>0</v>
      </c>
      <c r="AB283" s="37">
        <v>0</v>
      </c>
      <c r="AC283" s="40">
        <v>0</v>
      </c>
      <c r="AD283" s="59">
        <f>SUM(V283:AC283)</f>
        <v>100</v>
      </c>
      <c r="AF283" s="36">
        <v>0</v>
      </c>
      <c r="AG283" s="37">
        <v>0</v>
      </c>
      <c r="AH283" s="37">
        <v>0</v>
      </c>
      <c r="AI283" s="37">
        <v>0</v>
      </c>
      <c r="AJ283" s="37">
        <v>0</v>
      </c>
      <c r="AK283" s="37">
        <v>0</v>
      </c>
      <c r="AL283" s="37">
        <v>0</v>
      </c>
      <c r="AM283" s="40">
        <v>0</v>
      </c>
      <c r="AN283" s="59">
        <f>SUM(AF283:AM283)</f>
        <v>0</v>
      </c>
      <c r="AP283" s="59">
        <f>SUM(J283+T283+AD283+AN283)</f>
        <v>112</v>
      </c>
    </row>
    <row r="284" spans="1:42" ht="15.75" customHeight="1">
      <c r="A284" s="58">
        <v>0.60416666666666663</v>
      </c>
      <c r="B284" s="36">
        <v>4</v>
      </c>
      <c r="C284" s="37">
        <v>1</v>
      </c>
      <c r="D284" s="37">
        <v>0</v>
      </c>
      <c r="E284" s="37">
        <v>0</v>
      </c>
      <c r="F284" s="37">
        <v>0</v>
      </c>
      <c r="G284" s="37">
        <v>0</v>
      </c>
      <c r="H284" s="37">
        <v>10</v>
      </c>
      <c r="I284" s="40">
        <v>0</v>
      </c>
      <c r="J284" s="59">
        <f>SUM(B284:I284)</f>
        <v>15</v>
      </c>
      <c r="L284" s="36">
        <v>0</v>
      </c>
      <c r="M284" s="37">
        <v>0</v>
      </c>
      <c r="N284" s="37">
        <v>0</v>
      </c>
      <c r="O284" s="37">
        <v>0</v>
      </c>
      <c r="P284" s="37">
        <v>0</v>
      </c>
      <c r="Q284" s="37">
        <v>0</v>
      </c>
      <c r="R284" s="37">
        <v>1</v>
      </c>
      <c r="S284" s="40">
        <v>0</v>
      </c>
      <c r="T284" s="59">
        <f>SUM(L284:S284)</f>
        <v>1</v>
      </c>
      <c r="V284" s="36">
        <v>53</v>
      </c>
      <c r="W284" s="37">
        <v>8</v>
      </c>
      <c r="X284" s="37">
        <v>3</v>
      </c>
      <c r="Y284" s="37">
        <v>0</v>
      </c>
      <c r="Z284" s="37">
        <v>0</v>
      </c>
      <c r="AA284" s="37">
        <v>3</v>
      </c>
      <c r="AB284" s="37">
        <v>2</v>
      </c>
      <c r="AC284" s="40">
        <v>0</v>
      </c>
      <c r="AD284" s="59">
        <f>SUM(V284:AC284)</f>
        <v>69</v>
      </c>
      <c r="AF284" s="36">
        <v>0</v>
      </c>
      <c r="AG284" s="37">
        <v>0</v>
      </c>
      <c r="AH284" s="37">
        <v>0</v>
      </c>
      <c r="AI284" s="37">
        <v>0</v>
      </c>
      <c r="AJ284" s="37">
        <v>0</v>
      </c>
      <c r="AK284" s="37">
        <v>0</v>
      </c>
      <c r="AL284" s="37">
        <v>0</v>
      </c>
      <c r="AM284" s="40">
        <v>0</v>
      </c>
      <c r="AN284" s="59">
        <f>SUM(AF284:AM284)</f>
        <v>0</v>
      </c>
      <c r="AP284" s="59">
        <f>SUM(J284+T284+AD284+AN284)</f>
        <v>85</v>
      </c>
    </row>
    <row r="285" spans="1:42" ht="15.75" customHeight="1">
      <c r="A285" s="60">
        <v>0.61458333333333337</v>
      </c>
      <c r="B285" s="41">
        <v>2</v>
      </c>
      <c r="C285" s="42">
        <v>0</v>
      </c>
      <c r="D285" s="42">
        <v>0</v>
      </c>
      <c r="E285" s="42">
        <v>0</v>
      </c>
      <c r="F285" s="42">
        <v>0</v>
      </c>
      <c r="G285" s="42">
        <v>0</v>
      </c>
      <c r="H285" s="42">
        <v>6</v>
      </c>
      <c r="I285" s="43">
        <v>0</v>
      </c>
      <c r="J285" s="61">
        <f>SUM(B285:I285)</f>
        <v>8</v>
      </c>
      <c r="L285" s="41">
        <v>0</v>
      </c>
      <c r="M285" s="42">
        <v>0</v>
      </c>
      <c r="N285" s="42">
        <v>0</v>
      </c>
      <c r="O285" s="42">
        <v>0</v>
      </c>
      <c r="P285" s="42">
        <v>0</v>
      </c>
      <c r="Q285" s="42">
        <v>0</v>
      </c>
      <c r="R285" s="42">
        <v>0</v>
      </c>
      <c r="S285" s="43">
        <v>0</v>
      </c>
      <c r="T285" s="61">
        <f>SUM(L285:S285)</f>
        <v>0</v>
      </c>
      <c r="V285" s="41">
        <v>49</v>
      </c>
      <c r="W285" s="42">
        <v>9</v>
      </c>
      <c r="X285" s="42">
        <v>3</v>
      </c>
      <c r="Y285" s="42">
        <v>0</v>
      </c>
      <c r="Z285" s="42">
        <v>2</v>
      </c>
      <c r="AA285" s="42">
        <v>1</v>
      </c>
      <c r="AB285" s="42">
        <v>1</v>
      </c>
      <c r="AC285" s="43">
        <v>0</v>
      </c>
      <c r="AD285" s="61">
        <f>SUM(V285:AC285)</f>
        <v>65</v>
      </c>
      <c r="AF285" s="41">
        <v>0</v>
      </c>
      <c r="AG285" s="42">
        <v>0</v>
      </c>
      <c r="AH285" s="42">
        <v>0</v>
      </c>
      <c r="AI285" s="42">
        <v>0</v>
      </c>
      <c r="AJ285" s="42">
        <v>0</v>
      </c>
      <c r="AK285" s="42">
        <v>0</v>
      </c>
      <c r="AL285" s="42">
        <v>0</v>
      </c>
      <c r="AM285" s="43">
        <v>0</v>
      </c>
      <c r="AN285" s="61">
        <f>SUM(AF285:AM285)</f>
        <v>0</v>
      </c>
      <c r="AP285" s="61">
        <f>SUM(J285+T285+AD285+AN285)</f>
        <v>73</v>
      </c>
    </row>
    <row r="286" spans="1:42" ht="15.75" customHeight="1">
      <c r="A286" s="48" t="s">
        <v>29</v>
      </c>
      <c r="B286" s="45">
        <f t="shared" ref="B286:J286" si="212">SUM(B282:B285)</f>
        <v>12</v>
      </c>
      <c r="C286" s="46">
        <f t="shared" si="212"/>
        <v>3</v>
      </c>
      <c r="D286" s="46">
        <f t="shared" si="212"/>
        <v>0</v>
      </c>
      <c r="E286" s="46">
        <f t="shared" si="212"/>
        <v>0</v>
      </c>
      <c r="F286" s="46">
        <f t="shared" si="212"/>
        <v>0</v>
      </c>
      <c r="G286" s="46">
        <f t="shared" si="212"/>
        <v>0</v>
      </c>
      <c r="H286" s="46">
        <f t="shared" si="212"/>
        <v>27</v>
      </c>
      <c r="I286" s="47">
        <f t="shared" si="212"/>
        <v>0</v>
      </c>
      <c r="J286" s="48">
        <f t="shared" si="212"/>
        <v>42</v>
      </c>
      <c r="L286" s="45">
        <f t="shared" ref="L286:T286" si="213">SUM(L282:L285)</f>
        <v>0</v>
      </c>
      <c r="M286" s="46">
        <f t="shared" si="213"/>
        <v>0</v>
      </c>
      <c r="N286" s="46">
        <f t="shared" si="213"/>
        <v>0</v>
      </c>
      <c r="O286" s="46">
        <f t="shared" si="213"/>
        <v>0</v>
      </c>
      <c r="P286" s="46">
        <f t="shared" si="213"/>
        <v>0</v>
      </c>
      <c r="Q286" s="46">
        <f t="shared" si="213"/>
        <v>0</v>
      </c>
      <c r="R286" s="46">
        <f t="shared" si="213"/>
        <v>7</v>
      </c>
      <c r="S286" s="47">
        <f t="shared" si="213"/>
        <v>0</v>
      </c>
      <c r="T286" s="48">
        <f t="shared" si="213"/>
        <v>7</v>
      </c>
      <c r="V286" s="45">
        <f t="shared" ref="V286:AD286" si="214">SUM(V282:V285)</f>
        <v>279</v>
      </c>
      <c r="W286" s="46">
        <f t="shared" si="214"/>
        <v>45</v>
      </c>
      <c r="X286" s="46">
        <f t="shared" si="214"/>
        <v>13</v>
      </c>
      <c r="Y286" s="46">
        <f t="shared" si="214"/>
        <v>0</v>
      </c>
      <c r="Z286" s="46">
        <f t="shared" si="214"/>
        <v>5</v>
      </c>
      <c r="AA286" s="46">
        <f t="shared" si="214"/>
        <v>6</v>
      </c>
      <c r="AB286" s="46">
        <f t="shared" si="214"/>
        <v>5</v>
      </c>
      <c r="AC286" s="47">
        <f t="shared" si="214"/>
        <v>0</v>
      </c>
      <c r="AD286" s="48">
        <f t="shared" si="214"/>
        <v>353</v>
      </c>
      <c r="AF286" s="45">
        <f t="shared" ref="AF286:AN286" si="215">SUM(AF282:AF285)</f>
        <v>0</v>
      </c>
      <c r="AG286" s="46">
        <f t="shared" si="215"/>
        <v>0</v>
      </c>
      <c r="AH286" s="46">
        <f t="shared" si="215"/>
        <v>0</v>
      </c>
      <c r="AI286" s="46">
        <f t="shared" si="215"/>
        <v>0</v>
      </c>
      <c r="AJ286" s="46">
        <f t="shared" si="215"/>
        <v>0</v>
      </c>
      <c r="AK286" s="46">
        <f t="shared" si="215"/>
        <v>0</v>
      </c>
      <c r="AL286" s="46">
        <f t="shared" si="215"/>
        <v>0</v>
      </c>
      <c r="AM286" s="47">
        <f t="shared" si="215"/>
        <v>0</v>
      </c>
      <c r="AN286" s="48">
        <f t="shared" si="215"/>
        <v>0</v>
      </c>
      <c r="AP286" s="48">
        <f>SUM(AP282:AP285)</f>
        <v>402</v>
      </c>
    </row>
    <row r="287" spans="1:42" ht="15.75" customHeight="1">
      <c r="A287" s="56">
        <v>0.625</v>
      </c>
      <c r="B287" s="32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33">
        <v>6</v>
      </c>
      <c r="I287" s="34">
        <v>0</v>
      </c>
      <c r="J287" s="57">
        <f>SUM(B287:I287)</f>
        <v>9</v>
      </c>
      <c r="L287" s="32">
        <v>0</v>
      </c>
      <c r="M287" s="33">
        <v>0</v>
      </c>
      <c r="N287" s="33">
        <v>0</v>
      </c>
      <c r="O287" s="33">
        <v>0</v>
      </c>
      <c r="P287" s="33">
        <v>0</v>
      </c>
      <c r="Q287" s="33">
        <v>0</v>
      </c>
      <c r="R287" s="33">
        <v>0</v>
      </c>
      <c r="S287" s="34">
        <v>0</v>
      </c>
      <c r="T287" s="57">
        <f>SUM(L287:S287)</f>
        <v>0</v>
      </c>
      <c r="V287" s="32">
        <v>61</v>
      </c>
      <c r="W287" s="33">
        <v>6</v>
      </c>
      <c r="X287" s="33">
        <v>1</v>
      </c>
      <c r="Y287" s="33">
        <v>0</v>
      </c>
      <c r="Z287" s="33">
        <v>0</v>
      </c>
      <c r="AA287" s="33">
        <v>2</v>
      </c>
      <c r="AB287" s="33">
        <v>0</v>
      </c>
      <c r="AC287" s="34">
        <v>0</v>
      </c>
      <c r="AD287" s="57">
        <f>SUM(V287:AC287)</f>
        <v>70</v>
      </c>
      <c r="AF287" s="32">
        <v>0</v>
      </c>
      <c r="AG287" s="33">
        <v>0</v>
      </c>
      <c r="AH287" s="33">
        <v>0</v>
      </c>
      <c r="AI287" s="33">
        <v>0</v>
      </c>
      <c r="AJ287" s="33">
        <v>0</v>
      </c>
      <c r="AK287" s="33">
        <v>0</v>
      </c>
      <c r="AL287" s="33">
        <v>0</v>
      </c>
      <c r="AM287" s="34">
        <v>0</v>
      </c>
      <c r="AN287" s="57">
        <f>SUM(AF287:AM287)</f>
        <v>0</v>
      </c>
      <c r="AP287" s="57">
        <f>SUM(J287+T287+AD287+AN287)</f>
        <v>79</v>
      </c>
    </row>
    <row r="288" spans="1:42" ht="15.75" customHeight="1">
      <c r="A288" s="58">
        <v>0.63541666666666663</v>
      </c>
      <c r="B288" s="36">
        <v>4</v>
      </c>
      <c r="C288" s="37">
        <v>0</v>
      </c>
      <c r="D288" s="37">
        <v>0</v>
      </c>
      <c r="E288" s="37">
        <v>0</v>
      </c>
      <c r="F288" s="37">
        <v>0</v>
      </c>
      <c r="G288" s="37">
        <v>0</v>
      </c>
      <c r="H288" s="37">
        <v>5</v>
      </c>
      <c r="I288" s="40">
        <v>0</v>
      </c>
      <c r="J288" s="59">
        <f>SUM(B288:I288)</f>
        <v>9</v>
      </c>
      <c r="L288" s="36">
        <v>0</v>
      </c>
      <c r="M288" s="37">
        <v>0</v>
      </c>
      <c r="N288" s="37">
        <v>0</v>
      </c>
      <c r="O288" s="37">
        <v>0</v>
      </c>
      <c r="P288" s="37">
        <v>0</v>
      </c>
      <c r="Q288" s="37">
        <v>0</v>
      </c>
      <c r="R288" s="37">
        <v>0</v>
      </c>
      <c r="S288" s="40">
        <v>0</v>
      </c>
      <c r="T288" s="59">
        <f>SUM(L288:S288)</f>
        <v>0</v>
      </c>
      <c r="V288" s="36">
        <v>70</v>
      </c>
      <c r="W288" s="37">
        <v>14</v>
      </c>
      <c r="X288" s="37">
        <v>0</v>
      </c>
      <c r="Y288" s="37">
        <v>0</v>
      </c>
      <c r="Z288" s="37">
        <v>1</v>
      </c>
      <c r="AA288" s="37">
        <v>1</v>
      </c>
      <c r="AB288" s="37">
        <v>0</v>
      </c>
      <c r="AC288" s="40">
        <v>0</v>
      </c>
      <c r="AD288" s="59">
        <f>SUM(V288:AC288)</f>
        <v>86</v>
      </c>
      <c r="AF288" s="36">
        <v>0</v>
      </c>
      <c r="AG288" s="37">
        <v>0</v>
      </c>
      <c r="AH288" s="37">
        <v>0</v>
      </c>
      <c r="AI288" s="37">
        <v>0</v>
      </c>
      <c r="AJ288" s="37">
        <v>0</v>
      </c>
      <c r="AK288" s="37">
        <v>0</v>
      </c>
      <c r="AL288" s="37">
        <v>0</v>
      </c>
      <c r="AM288" s="40">
        <v>0</v>
      </c>
      <c r="AN288" s="59">
        <f>SUM(AF288:AM288)</f>
        <v>0</v>
      </c>
      <c r="AP288" s="59">
        <f>SUM(J288+T288+AD288+AN288)</f>
        <v>95</v>
      </c>
    </row>
    <row r="289" spans="1:42" ht="15.75" customHeight="1">
      <c r="A289" s="58">
        <v>0.64583333333333337</v>
      </c>
      <c r="B289" s="36">
        <v>3</v>
      </c>
      <c r="C289" s="37">
        <v>0</v>
      </c>
      <c r="D289" s="37">
        <v>0</v>
      </c>
      <c r="E289" s="37">
        <v>0</v>
      </c>
      <c r="F289" s="37">
        <v>0</v>
      </c>
      <c r="G289" s="37">
        <v>0</v>
      </c>
      <c r="H289" s="37">
        <v>10</v>
      </c>
      <c r="I289" s="40">
        <v>0</v>
      </c>
      <c r="J289" s="59">
        <f>SUM(B289:I289)</f>
        <v>13</v>
      </c>
      <c r="L289" s="36">
        <v>0</v>
      </c>
      <c r="M289" s="37">
        <v>0</v>
      </c>
      <c r="N289" s="37">
        <v>0</v>
      </c>
      <c r="O289" s="37">
        <v>0</v>
      </c>
      <c r="P289" s="37">
        <v>0</v>
      </c>
      <c r="Q289" s="37">
        <v>0</v>
      </c>
      <c r="R289" s="37">
        <v>0</v>
      </c>
      <c r="S289" s="40">
        <v>0</v>
      </c>
      <c r="T289" s="59">
        <f>SUM(L289:S289)</f>
        <v>0</v>
      </c>
      <c r="V289" s="36">
        <v>68</v>
      </c>
      <c r="W289" s="37">
        <v>20</v>
      </c>
      <c r="X289" s="37">
        <v>1</v>
      </c>
      <c r="Y289" s="37">
        <v>0</v>
      </c>
      <c r="Z289" s="37">
        <v>0</v>
      </c>
      <c r="AA289" s="37">
        <v>1</v>
      </c>
      <c r="AB289" s="37">
        <v>2</v>
      </c>
      <c r="AC289" s="40">
        <v>0</v>
      </c>
      <c r="AD289" s="59">
        <f>SUM(V289:AC289)</f>
        <v>92</v>
      </c>
      <c r="AF289" s="36">
        <v>0</v>
      </c>
      <c r="AG289" s="37">
        <v>0</v>
      </c>
      <c r="AH289" s="37">
        <v>0</v>
      </c>
      <c r="AI289" s="37">
        <v>0</v>
      </c>
      <c r="AJ289" s="37">
        <v>0</v>
      </c>
      <c r="AK289" s="37">
        <v>0</v>
      </c>
      <c r="AL289" s="37">
        <v>0</v>
      </c>
      <c r="AM289" s="40">
        <v>0</v>
      </c>
      <c r="AN289" s="59">
        <f>SUM(AF289:AM289)</f>
        <v>0</v>
      </c>
      <c r="AP289" s="59">
        <f>SUM(J289+T289+AD289+AN289)</f>
        <v>105</v>
      </c>
    </row>
    <row r="290" spans="1:42" ht="15.75" customHeight="1">
      <c r="A290" s="60">
        <v>0.65625</v>
      </c>
      <c r="B290" s="41">
        <v>3</v>
      </c>
      <c r="C290" s="42">
        <v>0</v>
      </c>
      <c r="D290" s="42">
        <v>0</v>
      </c>
      <c r="E290" s="42">
        <v>0</v>
      </c>
      <c r="F290" s="42">
        <v>0</v>
      </c>
      <c r="G290" s="42">
        <v>0</v>
      </c>
      <c r="H290" s="42">
        <v>5</v>
      </c>
      <c r="I290" s="43">
        <v>0</v>
      </c>
      <c r="J290" s="61">
        <f>SUM(B290:I290)</f>
        <v>8</v>
      </c>
      <c r="L290" s="41">
        <v>0</v>
      </c>
      <c r="M290" s="42">
        <v>0</v>
      </c>
      <c r="N290" s="42">
        <v>0</v>
      </c>
      <c r="O290" s="42">
        <v>0</v>
      </c>
      <c r="P290" s="42">
        <v>0</v>
      </c>
      <c r="Q290" s="42">
        <v>0</v>
      </c>
      <c r="R290" s="42">
        <v>0</v>
      </c>
      <c r="S290" s="43">
        <v>0</v>
      </c>
      <c r="T290" s="61">
        <f>SUM(L290:S290)</f>
        <v>0</v>
      </c>
      <c r="V290" s="41">
        <v>79</v>
      </c>
      <c r="W290" s="42">
        <v>22</v>
      </c>
      <c r="X290" s="42">
        <v>2</v>
      </c>
      <c r="Y290" s="42">
        <v>1</v>
      </c>
      <c r="Z290" s="42">
        <v>2</v>
      </c>
      <c r="AA290" s="42">
        <v>2</v>
      </c>
      <c r="AB290" s="42">
        <v>0</v>
      </c>
      <c r="AC290" s="43">
        <v>0</v>
      </c>
      <c r="AD290" s="61">
        <f>SUM(V290:AC290)</f>
        <v>108</v>
      </c>
      <c r="AF290" s="41">
        <v>0</v>
      </c>
      <c r="AG290" s="42">
        <v>0</v>
      </c>
      <c r="AH290" s="42">
        <v>0</v>
      </c>
      <c r="AI290" s="42">
        <v>0</v>
      </c>
      <c r="AJ290" s="42">
        <v>0</v>
      </c>
      <c r="AK290" s="42">
        <v>0</v>
      </c>
      <c r="AL290" s="42">
        <v>0</v>
      </c>
      <c r="AM290" s="43">
        <v>0</v>
      </c>
      <c r="AN290" s="61">
        <f>SUM(AF290:AM290)</f>
        <v>0</v>
      </c>
      <c r="AP290" s="61">
        <f>SUM(J290+T290+AD290+AN290)</f>
        <v>116</v>
      </c>
    </row>
    <row r="291" spans="1:42" ht="15.75" customHeight="1">
      <c r="A291" s="48" t="s">
        <v>29</v>
      </c>
      <c r="B291" s="45">
        <f t="shared" ref="B291:J291" si="216">SUM(B287:B290)</f>
        <v>13</v>
      </c>
      <c r="C291" s="46">
        <f t="shared" si="216"/>
        <v>0</v>
      </c>
      <c r="D291" s="46">
        <f t="shared" si="216"/>
        <v>0</v>
      </c>
      <c r="E291" s="46">
        <f t="shared" si="216"/>
        <v>0</v>
      </c>
      <c r="F291" s="46">
        <f t="shared" si="216"/>
        <v>0</v>
      </c>
      <c r="G291" s="46">
        <f t="shared" si="216"/>
        <v>0</v>
      </c>
      <c r="H291" s="46">
        <f t="shared" si="216"/>
        <v>26</v>
      </c>
      <c r="I291" s="47">
        <f t="shared" si="216"/>
        <v>0</v>
      </c>
      <c r="J291" s="48">
        <f t="shared" si="216"/>
        <v>39</v>
      </c>
      <c r="L291" s="45">
        <f t="shared" ref="L291:T291" si="217">SUM(L287:L290)</f>
        <v>0</v>
      </c>
      <c r="M291" s="46">
        <f t="shared" si="217"/>
        <v>0</v>
      </c>
      <c r="N291" s="46">
        <f t="shared" si="217"/>
        <v>0</v>
      </c>
      <c r="O291" s="46">
        <f t="shared" si="217"/>
        <v>0</v>
      </c>
      <c r="P291" s="46">
        <f t="shared" si="217"/>
        <v>0</v>
      </c>
      <c r="Q291" s="46">
        <f t="shared" si="217"/>
        <v>0</v>
      </c>
      <c r="R291" s="46">
        <f t="shared" si="217"/>
        <v>0</v>
      </c>
      <c r="S291" s="47">
        <f t="shared" si="217"/>
        <v>0</v>
      </c>
      <c r="T291" s="48">
        <f t="shared" si="217"/>
        <v>0</v>
      </c>
      <c r="V291" s="45">
        <f t="shared" ref="V291:AD291" si="218">SUM(V287:V290)</f>
        <v>278</v>
      </c>
      <c r="W291" s="46">
        <f t="shared" si="218"/>
        <v>62</v>
      </c>
      <c r="X291" s="46">
        <f t="shared" si="218"/>
        <v>4</v>
      </c>
      <c r="Y291" s="46">
        <f t="shared" si="218"/>
        <v>1</v>
      </c>
      <c r="Z291" s="46">
        <f t="shared" si="218"/>
        <v>3</v>
      </c>
      <c r="AA291" s="46">
        <f t="shared" si="218"/>
        <v>6</v>
      </c>
      <c r="AB291" s="46">
        <f t="shared" si="218"/>
        <v>2</v>
      </c>
      <c r="AC291" s="47">
        <f t="shared" si="218"/>
        <v>0</v>
      </c>
      <c r="AD291" s="48">
        <f t="shared" si="218"/>
        <v>356</v>
      </c>
      <c r="AF291" s="45">
        <f t="shared" ref="AF291:AN291" si="219">SUM(AF287:AF290)</f>
        <v>0</v>
      </c>
      <c r="AG291" s="46">
        <f t="shared" si="219"/>
        <v>0</v>
      </c>
      <c r="AH291" s="46">
        <f t="shared" si="219"/>
        <v>0</v>
      </c>
      <c r="AI291" s="46">
        <f t="shared" si="219"/>
        <v>0</v>
      </c>
      <c r="AJ291" s="46">
        <f t="shared" si="219"/>
        <v>0</v>
      </c>
      <c r="AK291" s="46">
        <f t="shared" si="219"/>
        <v>0</v>
      </c>
      <c r="AL291" s="46">
        <f t="shared" si="219"/>
        <v>0</v>
      </c>
      <c r="AM291" s="47">
        <f t="shared" si="219"/>
        <v>0</v>
      </c>
      <c r="AN291" s="48">
        <f t="shared" si="219"/>
        <v>0</v>
      </c>
      <c r="AP291" s="48">
        <f>SUM(AP287:AP290)</f>
        <v>395</v>
      </c>
    </row>
    <row r="292" spans="1:42" ht="15.75" customHeight="1">
      <c r="A292" s="56">
        <v>0.66666666666666663</v>
      </c>
      <c r="B292" s="32">
        <v>5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14</v>
      </c>
      <c r="I292" s="34">
        <v>0</v>
      </c>
      <c r="J292" s="57">
        <f>SUM(B292:I292)</f>
        <v>19</v>
      </c>
      <c r="L292" s="32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4">
        <v>0</v>
      </c>
      <c r="T292" s="57">
        <f>SUM(L292:S292)</f>
        <v>0</v>
      </c>
      <c r="V292" s="32">
        <v>97</v>
      </c>
      <c r="W292" s="33">
        <v>15</v>
      </c>
      <c r="X292" s="33">
        <v>1</v>
      </c>
      <c r="Y292" s="33">
        <v>0</v>
      </c>
      <c r="Z292" s="33">
        <v>1</v>
      </c>
      <c r="AA292" s="33">
        <v>6</v>
      </c>
      <c r="AB292" s="33">
        <v>1</v>
      </c>
      <c r="AC292" s="34">
        <v>0</v>
      </c>
      <c r="AD292" s="57">
        <f>SUM(V292:AC292)</f>
        <v>121</v>
      </c>
      <c r="AF292" s="32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4">
        <v>0</v>
      </c>
      <c r="AN292" s="57">
        <f>SUM(AF292:AM292)</f>
        <v>0</v>
      </c>
      <c r="AP292" s="57">
        <f>SUM(J292+T292+AD292+AN292)</f>
        <v>140</v>
      </c>
    </row>
    <row r="293" spans="1:42" ht="15.75" customHeight="1">
      <c r="A293" s="58">
        <v>0.67708333333333337</v>
      </c>
      <c r="B293" s="36">
        <v>5</v>
      </c>
      <c r="C293" s="37">
        <v>0</v>
      </c>
      <c r="D293" s="37">
        <v>0</v>
      </c>
      <c r="E293" s="37">
        <v>0</v>
      </c>
      <c r="F293" s="37">
        <v>0</v>
      </c>
      <c r="G293" s="37">
        <v>0</v>
      </c>
      <c r="H293" s="37">
        <v>17</v>
      </c>
      <c r="I293" s="40">
        <v>0</v>
      </c>
      <c r="J293" s="59">
        <f>SUM(B293:I293)</f>
        <v>22</v>
      </c>
      <c r="L293" s="36">
        <v>0</v>
      </c>
      <c r="M293" s="37">
        <v>0</v>
      </c>
      <c r="N293" s="37">
        <v>0</v>
      </c>
      <c r="O293" s="37">
        <v>0</v>
      </c>
      <c r="P293" s="37">
        <v>0</v>
      </c>
      <c r="Q293" s="37">
        <v>0</v>
      </c>
      <c r="R293" s="37">
        <v>0</v>
      </c>
      <c r="S293" s="40">
        <v>0</v>
      </c>
      <c r="T293" s="59">
        <f>SUM(L293:S293)</f>
        <v>0</v>
      </c>
      <c r="V293" s="36">
        <v>85</v>
      </c>
      <c r="W293" s="37">
        <v>17</v>
      </c>
      <c r="X293" s="37">
        <v>2</v>
      </c>
      <c r="Y293" s="37">
        <v>0</v>
      </c>
      <c r="Z293" s="37">
        <v>0</v>
      </c>
      <c r="AA293" s="37">
        <v>2</v>
      </c>
      <c r="AB293" s="37">
        <v>2</v>
      </c>
      <c r="AC293" s="40">
        <v>0</v>
      </c>
      <c r="AD293" s="59">
        <f>SUM(V293:AC293)</f>
        <v>108</v>
      </c>
      <c r="AF293" s="36">
        <v>0</v>
      </c>
      <c r="AG293" s="37">
        <v>0</v>
      </c>
      <c r="AH293" s="37">
        <v>0</v>
      </c>
      <c r="AI293" s="37">
        <v>0</v>
      </c>
      <c r="AJ293" s="37">
        <v>0</v>
      </c>
      <c r="AK293" s="37">
        <v>0</v>
      </c>
      <c r="AL293" s="37">
        <v>0</v>
      </c>
      <c r="AM293" s="40">
        <v>0</v>
      </c>
      <c r="AN293" s="59">
        <f>SUM(AF293:AM293)</f>
        <v>0</v>
      </c>
      <c r="AP293" s="59">
        <f>SUM(J293+T293+AD293+AN293)</f>
        <v>130</v>
      </c>
    </row>
    <row r="294" spans="1:42" ht="15.75" customHeight="1">
      <c r="A294" s="58">
        <v>0.6875</v>
      </c>
      <c r="B294" s="36">
        <v>3</v>
      </c>
      <c r="C294" s="37">
        <v>2</v>
      </c>
      <c r="D294" s="37">
        <v>0</v>
      </c>
      <c r="E294" s="37">
        <v>0</v>
      </c>
      <c r="F294" s="37">
        <v>0</v>
      </c>
      <c r="G294" s="37">
        <v>0</v>
      </c>
      <c r="H294" s="37">
        <v>11</v>
      </c>
      <c r="I294" s="40">
        <v>0</v>
      </c>
      <c r="J294" s="59">
        <f>SUM(B294:I294)</f>
        <v>16</v>
      </c>
      <c r="L294" s="36">
        <v>0</v>
      </c>
      <c r="M294" s="37">
        <v>0</v>
      </c>
      <c r="N294" s="37">
        <v>0</v>
      </c>
      <c r="O294" s="37">
        <v>0</v>
      </c>
      <c r="P294" s="37">
        <v>0</v>
      </c>
      <c r="Q294" s="37">
        <v>0</v>
      </c>
      <c r="R294" s="37">
        <v>0</v>
      </c>
      <c r="S294" s="40">
        <v>0</v>
      </c>
      <c r="T294" s="59">
        <f>SUM(L294:S294)</f>
        <v>0</v>
      </c>
      <c r="V294" s="36">
        <v>101</v>
      </c>
      <c r="W294" s="37">
        <v>24</v>
      </c>
      <c r="X294" s="37">
        <v>0</v>
      </c>
      <c r="Y294" s="37">
        <v>0</v>
      </c>
      <c r="Z294" s="37">
        <v>0</v>
      </c>
      <c r="AA294" s="37">
        <v>3</v>
      </c>
      <c r="AB294" s="37">
        <v>2</v>
      </c>
      <c r="AC294" s="40">
        <v>0</v>
      </c>
      <c r="AD294" s="59">
        <f>SUM(V294:AC294)</f>
        <v>130</v>
      </c>
      <c r="AF294" s="36">
        <v>0</v>
      </c>
      <c r="AG294" s="37">
        <v>0</v>
      </c>
      <c r="AH294" s="37">
        <v>0</v>
      </c>
      <c r="AI294" s="37">
        <v>0</v>
      </c>
      <c r="AJ294" s="37">
        <v>0</v>
      </c>
      <c r="AK294" s="37">
        <v>0</v>
      </c>
      <c r="AL294" s="37">
        <v>0</v>
      </c>
      <c r="AM294" s="40">
        <v>0</v>
      </c>
      <c r="AN294" s="59">
        <f>SUM(AF294:AM294)</f>
        <v>0</v>
      </c>
      <c r="AP294" s="59">
        <f>SUM(J294+T294+AD294+AN294)</f>
        <v>146</v>
      </c>
    </row>
    <row r="295" spans="1:42" ht="15.75" customHeight="1">
      <c r="A295" s="60">
        <v>0.69791666666666663</v>
      </c>
      <c r="B295" s="41">
        <v>24</v>
      </c>
      <c r="C295" s="42">
        <v>0</v>
      </c>
      <c r="D295" s="42">
        <v>0</v>
      </c>
      <c r="E295" s="42">
        <v>0</v>
      </c>
      <c r="F295" s="42">
        <v>0</v>
      </c>
      <c r="G295" s="42">
        <v>0</v>
      </c>
      <c r="H295" s="42">
        <v>5</v>
      </c>
      <c r="I295" s="43">
        <v>0</v>
      </c>
      <c r="J295" s="61">
        <f>SUM(B295:I295)</f>
        <v>29</v>
      </c>
      <c r="L295" s="41">
        <v>0</v>
      </c>
      <c r="M295" s="42">
        <v>0</v>
      </c>
      <c r="N295" s="42">
        <v>0</v>
      </c>
      <c r="O295" s="42">
        <v>0</v>
      </c>
      <c r="P295" s="42">
        <v>0</v>
      </c>
      <c r="Q295" s="42">
        <v>0</v>
      </c>
      <c r="R295" s="42">
        <v>0</v>
      </c>
      <c r="S295" s="43">
        <v>0</v>
      </c>
      <c r="T295" s="61">
        <f>SUM(L295:S295)</f>
        <v>0</v>
      </c>
      <c r="V295" s="41">
        <v>120</v>
      </c>
      <c r="W295" s="42">
        <v>18</v>
      </c>
      <c r="X295" s="42">
        <v>0</v>
      </c>
      <c r="Y295" s="42">
        <v>0</v>
      </c>
      <c r="Z295" s="42">
        <v>1</v>
      </c>
      <c r="AA295" s="42">
        <v>3</v>
      </c>
      <c r="AB295" s="42">
        <v>5</v>
      </c>
      <c r="AC295" s="43">
        <v>0</v>
      </c>
      <c r="AD295" s="61">
        <f>SUM(V295:AC295)</f>
        <v>147</v>
      </c>
      <c r="AF295" s="41">
        <v>0</v>
      </c>
      <c r="AG295" s="42">
        <v>0</v>
      </c>
      <c r="AH295" s="42">
        <v>0</v>
      </c>
      <c r="AI295" s="42">
        <v>0</v>
      </c>
      <c r="AJ295" s="42">
        <v>0</v>
      </c>
      <c r="AK295" s="42">
        <v>0</v>
      </c>
      <c r="AL295" s="42">
        <v>0</v>
      </c>
      <c r="AM295" s="43">
        <v>0</v>
      </c>
      <c r="AN295" s="61">
        <f>SUM(AF295:AM295)</f>
        <v>0</v>
      </c>
      <c r="AP295" s="61">
        <f>SUM(J295+T295+AD295+AN295)</f>
        <v>176</v>
      </c>
    </row>
    <row r="296" spans="1:42" ht="15.75" customHeight="1">
      <c r="A296" s="48" t="s">
        <v>29</v>
      </c>
      <c r="B296" s="45">
        <f t="shared" ref="B296:J296" si="220">SUM(B292:B295)</f>
        <v>37</v>
      </c>
      <c r="C296" s="46">
        <f t="shared" si="220"/>
        <v>2</v>
      </c>
      <c r="D296" s="46">
        <f t="shared" si="220"/>
        <v>0</v>
      </c>
      <c r="E296" s="46">
        <f t="shared" si="220"/>
        <v>0</v>
      </c>
      <c r="F296" s="46">
        <f t="shared" si="220"/>
        <v>0</v>
      </c>
      <c r="G296" s="46">
        <f t="shared" si="220"/>
        <v>0</v>
      </c>
      <c r="H296" s="46">
        <f t="shared" si="220"/>
        <v>47</v>
      </c>
      <c r="I296" s="47">
        <f t="shared" si="220"/>
        <v>0</v>
      </c>
      <c r="J296" s="48">
        <f t="shared" si="220"/>
        <v>86</v>
      </c>
      <c r="L296" s="45">
        <f t="shared" ref="L296:T296" si="221">SUM(L292:L295)</f>
        <v>0</v>
      </c>
      <c r="M296" s="46">
        <f t="shared" si="221"/>
        <v>0</v>
      </c>
      <c r="N296" s="46">
        <f t="shared" si="221"/>
        <v>0</v>
      </c>
      <c r="O296" s="46">
        <f t="shared" si="221"/>
        <v>0</v>
      </c>
      <c r="P296" s="46">
        <f t="shared" si="221"/>
        <v>0</v>
      </c>
      <c r="Q296" s="46">
        <f t="shared" si="221"/>
        <v>0</v>
      </c>
      <c r="R296" s="46">
        <f t="shared" si="221"/>
        <v>0</v>
      </c>
      <c r="S296" s="47">
        <f t="shared" si="221"/>
        <v>0</v>
      </c>
      <c r="T296" s="48">
        <f t="shared" si="221"/>
        <v>0</v>
      </c>
      <c r="V296" s="45">
        <f t="shared" ref="V296:AD296" si="222">SUM(V292:V295)</f>
        <v>403</v>
      </c>
      <c r="W296" s="46">
        <f t="shared" si="222"/>
        <v>74</v>
      </c>
      <c r="X296" s="46">
        <f t="shared" si="222"/>
        <v>3</v>
      </c>
      <c r="Y296" s="46">
        <f t="shared" si="222"/>
        <v>0</v>
      </c>
      <c r="Z296" s="46">
        <f t="shared" si="222"/>
        <v>2</v>
      </c>
      <c r="AA296" s="46">
        <f t="shared" si="222"/>
        <v>14</v>
      </c>
      <c r="AB296" s="46">
        <f t="shared" si="222"/>
        <v>10</v>
      </c>
      <c r="AC296" s="47">
        <f t="shared" si="222"/>
        <v>0</v>
      </c>
      <c r="AD296" s="48">
        <f t="shared" si="222"/>
        <v>506</v>
      </c>
      <c r="AF296" s="45">
        <f t="shared" ref="AF296:AN296" si="223">SUM(AF292:AF295)</f>
        <v>0</v>
      </c>
      <c r="AG296" s="46">
        <f t="shared" si="223"/>
        <v>0</v>
      </c>
      <c r="AH296" s="46">
        <f t="shared" si="223"/>
        <v>0</v>
      </c>
      <c r="AI296" s="46">
        <f t="shared" si="223"/>
        <v>0</v>
      </c>
      <c r="AJ296" s="46">
        <f t="shared" si="223"/>
        <v>0</v>
      </c>
      <c r="AK296" s="46">
        <f t="shared" si="223"/>
        <v>0</v>
      </c>
      <c r="AL296" s="46">
        <f t="shared" si="223"/>
        <v>0</v>
      </c>
      <c r="AM296" s="47">
        <f t="shared" si="223"/>
        <v>0</v>
      </c>
      <c r="AN296" s="48">
        <f t="shared" si="223"/>
        <v>0</v>
      </c>
      <c r="AP296" s="48">
        <f>SUM(AP292:AP295)</f>
        <v>592</v>
      </c>
    </row>
    <row r="297" spans="1:42" ht="15.75" customHeight="1">
      <c r="A297" s="56">
        <v>0.70833333333333337</v>
      </c>
      <c r="B297" s="32">
        <v>3</v>
      </c>
      <c r="C297" s="33">
        <v>2</v>
      </c>
      <c r="D297" s="33">
        <v>0</v>
      </c>
      <c r="E297" s="33">
        <v>0</v>
      </c>
      <c r="F297" s="33">
        <v>0</v>
      </c>
      <c r="G297" s="33">
        <v>0</v>
      </c>
      <c r="H297" s="33">
        <v>5</v>
      </c>
      <c r="I297" s="34">
        <v>0</v>
      </c>
      <c r="J297" s="57">
        <f>SUM(B297:I297)</f>
        <v>10</v>
      </c>
      <c r="L297" s="32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4">
        <v>0</v>
      </c>
      <c r="T297" s="57">
        <f>SUM(L297:S297)</f>
        <v>0</v>
      </c>
      <c r="V297" s="32">
        <v>101</v>
      </c>
      <c r="W297" s="33">
        <v>11</v>
      </c>
      <c r="X297" s="33">
        <v>1</v>
      </c>
      <c r="Y297" s="33">
        <v>0</v>
      </c>
      <c r="Z297" s="33">
        <v>1</v>
      </c>
      <c r="AA297" s="33">
        <v>3</v>
      </c>
      <c r="AB297" s="33">
        <v>2</v>
      </c>
      <c r="AC297" s="34">
        <v>0</v>
      </c>
      <c r="AD297" s="57">
        <f>SUM(V297:AC297)</f>
        <v>119</v>
      </c>
      <c r="AF297" s="32">
        <v>0</v>
      </c>
      <c r="AG297" s="33">
        <v>0</v>
      </c>
      <c r="AH297" s="33">
        <v>0</v>
      </c>
      <c r="AI297" s="33">
        <v>0</v>
      </c>
      <c r="AJ297" s="33">
        <v>0</v>
      </c>
      <c r="AK297" s="33">
        <v>0</v>
      </c>
      <c r="AL297" s="33">
        <v>0</v>
      </c>
      <c r="AM297" s="34">
        <v>0</v>
      </c>
      <c r="AN297" s="57">
        <f>SUM(AF297:AM297)</f>
        <v>0</v>
      </c>
      <c r="AP297" s="57">
        <f>SUM(J297+T297+AD297+AN297)</f>
        <v>129</v>
      </c>
    </row>
    <row r="298" spans="1:42" ht="15.75" customHeight="1">
      <c r="A298" s="58">
        <v>0.71875</v>
      </c>
      <c r="B298" s="36">
        <v>5</v>
      </c>
      <c r="C298" s="37">
        <v>0</v>
      </c>
      <c r="D298" s="37">
        <v>0</v>
      </c>
      <c r="E298" s="37">
        <v>0</v>
      </c>
      <c r="F298" s="37">
        <v>0</v>
      </c>
      <c r="G298" s="37">
        <v>1</v>
      </c>
      <c r="H298" s="37">
        <v>25</v>
      </c>
      <c r="I298" s="40">
        <v>0</v>
      </c>
      <c r="J298" s="59">
        <f>SUM(B298:I298)</f>
        <v>31</v>
      </c>
      <c r="L298" s="36">
        <v>0</v>
      </c>
      <c r="M298" s="37">
        <v>0</v>
      </c>
      <c r="N298" s="37">
        <v>0</v>
      </c>
      <c r="O298" s="37">
        <v>0</v>
      </c>
      <c r="P298" s="37">
        <v>0</v>
      </c>
      <c r="Q298" s="37">
        <v>0</v>
      </c>
      <c r="R298" s="37">
        <v>0</v>
      </c>
      <c r="S298" s="40">
        <v>0</v>
      </c>
      <c r="T298" s="59">
        <f>SUM(L298:S298)</f>
        <v>0</v>
      </c>
      <c r="V298" s="36">
        <v>102</v>
      </c>
      <c r="W298" s="37">
        <v>6</v>
      </c>
      <c r="X298" s="37">
        <v>1</v>
      </c>
      <c r="Y298" s="37">
        <v>0</v>
      </c>
      <c r="Z298" s="37">
        <v>1</v>
      </c>
      <c r="AA298" s="37">
        <v>0</v>
      </c>
      <c r="AB298" s="37">
        <v>0</v>
      </c>
      <c r="AC298" s="40">
        <v>0</v>
      </c>
      <c r="AD298" s="59">
        <f>SUM(V298:AC298)</f>
        <v>110</v>
      </c>
      <c r="AF298" s="36">
        <v>0</v>
      </c>
      <c r="AG298" s="37">
        <v>0</v>
      </c>
      <c r="AH298" s="37">
        <v>0</v>
      </c>
      <c r="AI298" s="37">
        <v>0</v>
      </c>
      <c r="AJ298" s="37">
        <v>0</v>
      </c>
      <c r="AK298" s="37">
        <v>0</v>
      </c>
      <c r="AL298" s="37">
        <v>0</v>
      </c>
      <c r="AM298" s="40">
        <v>0</v>
      </c>
      <c r="AN298" s="59">
        <f>SUM(AF298:AM298)</f>
        <v>0</v>
      </c>
      <c r="AP298" s="59">
        <f>SUM(J298+T298+AD298+AN298)</f>
        <v>141</v>
      </c>
    </row>
    <row r="299" spans="1:42" ht="15.75" customHeight="1">
      <c r="A299" s="58">
        <v>0.72916666666666663</v>
      </c>
      <c r="B299" s="36">
        <v>1</v>
      </c>
      <c r="C299" s="37">
        <v>0</v>
      </c>
      <c r="D299" s="37">
        <v>0</v>
      </c>
      <c r="E299" s="37">
        <v>0</v>
      </c>
      <c r="F299" s="37">
        <v>0</v>
      </c>
      <c r="G299" s="37">
        <v>1</v>
      </c>
      <c r="H299" s="37">
        <v>15</v>
      </c>
      <c r="I299" s="40">
        <v>0</v>
      </c>
      <c r="J299" s="59">
        <f>SUM(B299:I299)</f>
        <v>17</v>
      </c>
      <c r="L299" s="36">
        <v>0</v>
      </c>
      <c r="M299" s="37">
        <v>0</v>
      </c>
      <c r="N299" s="37">
        <v>0</v>
      </c>
      <c r="O299" s="37">
        <v>0</v>
      </c>
      <c r="P299" s="37">
        <v>0</v>
      </c>
      <c r="Q299" s="37">
        <v>0</v>
      </c>
      <c r="R299" s="37">
        <v>0</v>
      </c>
      <c r="S299" s="40">
        <v>0</v>
      </c>
      <c r="T299" s="59">
        <f>SUM(L299:S299)</f>
        <v>0</v>
      </c>
      <c r="V299" s="36">
        <v>96</v>
      </c>
      <c r="W299" s="37">
        <v>9</v>
      </c>
      <c r="X299" s="37">
        <v>1</v>
      </c>
      <c r="Y299" s="37">
        <v>0</v>
      </c>
      <c r="Z299" s="37">
        <v>2</v>
      </c>
      <c r="AA299" s="37">
        <v>6</v>
      </c>
      <c r="AB299" s="37">
        <v>9</v>
      </c>
      <c r="AC299" s="40">
        <v>0</v>
      </c>
      <c r="AD299" s="59">
        <f>SUM(V299:AC299)</f>
        <v>123</v>
      </c>
      <c r="AF299" s="36">
        <v>0</v>
      </c>
      <c r="AG299" s="37">
        <v>0</v>
      </c>
      <c r="AH299" s="37">
        <v>0</v>
      </c>
      <c r="AI299" s="37">
        <v>0</v>
      </c>
      <c r="AJ299" s="37">
        <v>0</v>
      </c>
      <c r="AK299" s="37">
        <v>0</v>
      </c>
      <c r="AL299" s="37">
        <v>0</v>
      </c>
      <c r="AM299" s="40">
        <v>0</v>
      </c>
      <c r="AN299" s="59">
        <f>SUM(AF299:AM299)</f>
        <v>0</v>
      </c>
      <c r="AP299" s="59">
        <f>SUM(J299+T299+AD299+AN299)</f>
        <v>140</v>
      </c>
    </row>
    <row r="300" spans="1:42" ht="15.75" customHeight="1">
      <c r="A300" s="60">
        <v>0.73958333333333337</v>
      </c>
      <c r="B300" s="41">
        <v>4</v>
      </c>
      <c r="C300" s="42">
        <v>0</v>
      </c>
      <c r="D300" s="42">
        <v>0</v>
      </c>
      <c r="E300" s="42">
        <v>0</v>
      </c>
      <c r="F300" s="42">
        <v>0</v>
      </c>
      <c r="G300" s="42">
        <v>0</v>
      </c>
      <c r="H300" s="42">
        <v>23</v>
      </c>
      <c r="I300" s="43">
        <v>0</v>
      </c>
      <c r="J300" s="61">
        <f>SUM(B300:I300)</f>
        <v>27</v>
      </c>
      <c r="L300" s="41">
        <v>0</v>
      </c>
      <c r="M300" s="42">
        <v>0</v>
      </c>
      <c r="N300" s="42">
        <v>0</v>
      </c>
      <c r="O300" s="42">
        <v>0</v>
      </c>
      <c r="P300" s="42">
        <v>0</v>
      </c>
      <c r="Q300" s="42">
        <v>0</v>
      </c>
      <c r="R300" s="42">
        <v>0</v>
      </c>
      <c r="S300" s="43">
        <v>0</v>
      </c>
      <c r="T300" s="61">
        <f>SUM(L300:S300)</f>
        <v>0</v>
      </c>
      <c r="V300" s="41">
        <v>105</v>
      </c>
      <c r="W300" s="42">
        <v>7</v>
      </c>
      <c r="X300" s="42">
        <v>0</v>
      </c>
      <c r="Y300" s="42">
        <v>0</v>
      </c>
      <c r="Z300" s="42">
        <v>0</v>
      </c>
      <c r="AA300" s="42">
        <v>2</v>
      </c>
      <c r="AB300" s="42">
        <v>2</v>
      </c>
      <c r="AC300" s="43">
        <v>0</v>
      </c>
      <c r="AD300" s="61">
        <f>SUM(V300:AC300)</f>
        <v>116</v>
      </c>
      <c r="AF300" s="41">
        <v>0</v>
      </c>
      <c r="AG300" s="42">
        <v>0</v>
      </c>
      <c r="AH300" s="42">
        <v>0</v>
      </c>
      <c r="AI300" s="42">
        <v>0</v>
      </c>
      <c r="AJ300" s="42">
        <v>0</v>
      </c>
      <c r="AK300" s="42">
        <v>0</v>
      </c>
      <c r="AL300" s="42">
        <v>0</v>
      </c>
      <c r="AM300" s="43">
        <v>0</v>
      </c>
      <c r="AN300" s="61">
        <f>SUM(AF300:AM300)</f>
        <v>0</v>
      </c>
      <c r="AP300" s="61">
        <f>SUM(J300+T300+AD300+AN300)</f>
        <v>143</v>
      </c>
    </row>
    <row r="301" spans="1:42" ht="15.75" customHeight="1">
      <c r="A301" s="48" t="s">
        <v>29</v>
      </c>
      <c r="B301" s="45">
        <f t="shared" ref="B301:J301" si="224">SUM(B297:B300)</f>
        <v>13</v>
      </c>
      <c r="C301" s="46">
        <f t="shared" si="224"/>
        <v>2</v>
      </c>
      <c r="D301" s="46">
        <f t="shared" si="224"/>
        <v>0</v>
      </c>
      <c r="E301" s="46">
        <f t="shared" si="224"/>
        <v>0</v>
      </c>
      <c r="F301" s="46">
        <f t="shared" si="224"/>
        <v>0</v>
      </c>
      <c r="G301" s="46">
        <f t="shared" si="224"/>
        <v>2</v>
      </c>
      <c r="H301" s="46">
        <f t="shared" si="224"/>
        <v>68</v>
      </c>
      <c r="I301" s="47">
        <f t="shared" si="224"/>
        <v>0</v>
      </c>
      <c r="J301" s="48">
        <f t="shared" si="224"/>
        <v>85</v>
      </c>
      <c r="L301" s="45">
        <f t="shared" ref="L301:T301" si="225">SUM(L297:L300)</f>
        <v>0</v>
      </c>
      <c r="M301" s="46">
        <f t="shared" si="225"/>
        <v>0</v>
      </c>
      <c r="N301" s="46">
        <f t="shared" si="225"/>
        <v>0</v>
      </c>
      <c r="O301" s="46">
        <f t="shared" si="225"/>
        <v>0</v>
      </c>
      <c r="P301" s="46">
        <f t="shared" si="225"/>
        <v>0</v>
      </c>
      <c r="Q301" s="46">
        <f t="shared" si="225"/>
        <v>0</v>
      </c>
      <c r="R301" s="46">
        <f t="shared" si="225"/>
        <v>0</v>
      </c>
      <c r="S301" s="47">
        <f t="shared" si="225"/>
        <v>0</v>
      </c>
      <c r="T301" s="48">
        <f t="shared" si="225"/>
        <v>0</v>
      </c>
      <c r="V301" s="45">
        <f t="shared" ref="V301:AD301" si="226">SUM(V297:V300)</f>
        <v>404</v>
      </c>
      <c r="W301" s="46">
        <f t="shared" si="226"/>
        <v>33</v>
      </c>
      <c r="X301" s="46">
        <f t="shared" si="226"/>
        <v>3</v>
      </c>
      <c r="Y301" s="46">
        <f t="shared" si="226"/>
        <v>0</v>
      </c>
      <c r="Z301" s="46">
        <f t="shared" si="226"/>
        <v>4</v>
      </c>
      <c r="AA301" s="46">
        <f t="shared" si="226"/>
        <v>11</v>
      </c>
      <c r="AB301" s="46">
        <f t="shared" si="226"/>
        <v>13</v>
      </c>
      <c r="AC301" s="47">
        <f t="shared" si="226"/>
        <v>0</v>
      </c>
      <c r="AD301" s="48">
        <f t="shared" si="226"/>
        <v>468</v>
      </c>
      <c r="AF301" s="45">
        <f t="shared" ref="AF301:AN301" si="227">SUM(AF297:AF300)</f>
        <v>0</v>
      </c>
      <c r="AG301" s="46">
        <f t="shared" si="227"/>
        <v>0</v>
      </c>
      <c r="AH301" s="46">
        <f t="shared" si="227"/>
        <v>0</v>
      </c>
      <c r="AI301" s="46">
        <f t="shared" si="227"/>
        <v>0</v>
      </c>
      <c r="AJ301" s="46">
        <f t="shared" si="227"/>
        <v>0</v>
      </c>
      <c r="AK301" s="46">
        <f t="shared" si="227"/>
        <v>0</v>
      </c>
      <c r="AL301" s="46">
        <f t="shared" si="227"/>
        <v>0</v>
      </c>
      <c r="AM301" s="47">
        <f t="shared" si="227"/>
        <v>0</v>
      </c>
      <c r="AN301" s="48">
        <f t="shared" si="227"/>
        <v>0</v>
      </c>
      <c r="AP301" s="48">
        <f>SUM(AP297:AP300)</f>
        <v>553</v>
      </c>
    </row>
    <row r="302" spans="1:42" ht="15.75" customHeight="1">
      <c r="A302" s="56">
        <v>0.75</v>
      </c>
      <c r="B302" s="32">
        <v>7</v>
      </c>
      <c r="C302" s="33">
        <v>0</v>
      </c>
      <c r="D302" s="33">
        <v>0</v>
      </c>
      <c r="E302" s="33">
        <v>0</v>
      </c>
      <c r="F302" s="33">
        <v>0</v>
      </c>
      <c r="G302" s="33">
        <v>2</v>
      </c>
      <c r="H302" s="33">
        <v>18</v>
      </c>
      <c r="I302" s="34">
        <v>0</v>
      </c>
      <c r="J302" s="57">
        <f>SUM(B302:I302)</f>
        <v>27</v>
      </c>
      <c r="L302" s="32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4">
        <v>0</v>
      </c>
      <c r="T302" s="57">
        <f>SUM(L302:S302)</f>
        <v>0</v>
      </c>
      <c r="V302" s="32">
        <v>94</v>
      </c>
      <c r="W302" s="33">
        <v>7</v>
      </c>
      <c r="X302" s="33">
        <v>0</v>
      </c>
      <c r="Y302" s="33">
        <v>0</v>
      </c>
      <c r="Z302" s="33">
        <v>1</v>
      </c>
      <c r="AA302" s="33">
        <v>3</v>
      </c>
      <c r="AB302" s="33">
        <v>0</v>
      </c>
      <c r="AC302" s="34">
        <v>0</v>
      </c>
      <c r="AD302" s="57">
        <f>SUM(V302:AC302)</f>
        <v>105</v>
      </c>
      <c r="AF302" s="32">
        <v>0</v>
      </c>
      <c r="AG302" s="33">
        <v>0</v>
      </c>
      <c r="AH302" s="33">
        <v>0</v>
      </c>
      <c r="AI302" s="33">
        <v>0</v>
      </c>
      <c r="AJ302" s="33">
        <v>0</v>
      </c>
      <c r="AK302" s="33">
        <v>0</v>
      </c>
      <c r="AL302" s="33">
        <v>0</v>
      </c>
      <c r="AM302" s="34">
        <v>0</v>
      </c>
      <c r="AN302" s="57">
        <f>SUM(AF302:AM302)</f>
        <v>0</v>
      </c>
      <c r="AP302" s="57">
        <f>SUM(J302+T302+AD302+AN302)</f>
        <v>132</v>
      </c>
    </row>
    <row r="303" spans="1:42" ht="15.75" customHeight="1">
      <c r="A303" s="58">
        <v>0.76041666666666663</v>
      </c>
      <c r="B303" s="36">
        <v>3</v>
      </c>
      <c r="C303" s="37">
        <v>0</v>
      </c>
      <c r="D303" s="37">
        <v>0</v>
      </c>
      <c r="E303" s="37">
        <v>0</v>
      </c>
      <c r="F303" s="37">
        <v>0</v>
      </c>
      <c r="G303" s="37">
        <v>0</v>
      </c>
      <c r="H303" s="37">
        <v>15</v>
      </c>
      <c r="I303" s="40">
        <v>0</v>
      </c>
      <c r="J303" s="59">
        <f>SUM(B303:I303)</f>
        <v>18</v>
      </c>
      <c r="L303" s="36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40">
        <v>0</v>
      </c>
      <c r="T303" s="59">
        <f>SUM(L303:S303)</f>
        <v>0</v>
      </c>
      <c r="V303" s="36">
        <v>88</v>
      </c>
      <c r="W303" s="37">
        <v>7</v>
      </c>
      <c r="X303" s="37">
        <v>0</v>
      </c>
      <c r="Y303" s="37">
        <v>0</v>
      </c>
      <c r="Z303" s="37">
        <v>1</v>
      </c>
      <c r="AA303" s="37">
        <v>3</v>
      </c>
      <c r="AB303" s="37">
        <v>4</v>
      </c>
      <c r="AC303" s="40">
        <v>0</v>
      </c>
      <c r="AD303" s="59">
        <f>SUM(V303:AC303)</f>
        <v>103</v>
      </c>
      <c r="AF303" s="36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40">
        <v>0</v>
      </c>
      <c r="AN303" s="59">
        <f>SUM(AF303:AM303)</f>
        <v>0</v>
      </c>
      <c r="AP303" s="59">
        <f>SUM(J303+T303+AD303+AN303)</f>
        <v>121</v>
      </c>
    </row>
    <row r="304" spans="1:42" ht="15.75" customHeight="1">
      <c r="A304" s="58">
        <v>0.77083333333333337</v>
      </c>
      <c r="B304" s="36">
        <v>4</v>
      </c>
      <c r="C304" s="37">
        <v>0</v>
      </c>
      <c r="D304" s="37">
        <v>0</v>
      </c>
      <c r="E304" s="37">
        <v>0</v>
      </c>
      <c r="F304" s="37">
        <v>0</v>
      </c>
      <c r="G304" s="37">
        <v>0</v>
      </c>
      <c r="H304" s="37">
        <v>20</v>
      </c>
      <c r="I304" s="40">
        <v>0</v>
      </c>
      <c r="J304" s="59">
        <f>SUM(B304:I304)</f>
        <v>24</v>
      </c>
      <c r="L304" s="36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40">
        <v>0</v>
      </c>
      <c r="T304" s="59">
        <f>SUM(L304:S304)</f>
        <v>0</v>
      </c>
      <c r="V304" s="36">
        <v>70</v>
      </c>
      <c r="W304" s="37">
        <v>8</v>
      </c>
      <c r="X304" s="37">
        <v>0</v>
      </c>
      <c r="Y304" s="37">
        <v>0</v>
      </c>
      <c r="Z304" s="37">
        <v>0</v>
      </c>
      <c r="AA304" s="37">
        <v>2</v>
      </c>
      <c r="AB304" s="37">
        <v>6</v>
      </c>
      <c r="AC304" s="40">
        <v>0</v>
      </c>
      <c r="AD304" s="59">
        <f>SUM(V304:AC304)</f>
        <v>86</v>
      </c>
      <c r="AF304" s="36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40">
        <v>0</v>
      </c>
      <c r="AN304" s="59">
        <f>SUM(AF304:AM304)</f>
        <v>0</v>
      </c>
      <c r="AP304" s="59">
        <f>SUM(J304+T304+AD304+AN304)</f>
        <v>110</v>
      </c>
    </row>
    <row r="305" spans="1:42" ht="15.75" customHeight="1">
      <c r="A305" s="60">
        <v>0.78125</v>
      </c>
      <c r="B305" s="41">
        <v>7</v>
      </c>
      <c r="C305" s="42">
        <v>0</v>
      </c>
      <c r="D305" s="42">
        <v>0</v>
      </c>
      <c r="E305" s="42">
        <v>0</v>
      </c>
      <c r="F305" s="42">
        <v>0</v>
      </c>
      <c r="G305" s="42">
        <v>0</v>
      </c>
      <c r="H305" s="42">
        <v>12</v>
      </c>
      <c r="I305" s="43">
        <v>0</v>
      </c>
      <c r="J305" s="61">
        <f>SUM(B305:I305)</f>
        <v>19</v>
      </c>
      <c r="L305" s="41">
        <v>0</v>
      </c>
      <c r="M305" s="42">
        <v>0</v>
      </c>
      <c r="N305" s="42">
        <v>0</v>
      </c>
      <c r="O305" s="42">
        <v>0</v>
      </c>
      <c r="P305" s="42">
        <v>0</v>
      </c>
      <c r="Q305" s="42">
        <v>0</v>
      </c>
      <c r="R305" s="42">
        <v>0</v>
      </c>
      <c r="S305" s="43">
        <v>0</v>
      </c>
      <c r="T305" s="61">
        <f>SUM(L305:S305)</f>
        <v>0</v>
      </c>
      <c r="V305" s="41">
        <v>64</v>
      </c>
      <c r="W305" s="42">
        <v>3</v>
      </c>
      <c r="X305" s="42">
        <v>1</v>
      </c>
      <c r="Y305" s="42">
        <v>0</v>
      </c>
      <c r="Z305" s="42">
        <v>1</v>
      </c>
      <c r="AA305" s="42">
        <v>3</v>
      </c>
      <c r="AB305" s="42">
        <v>7</v>
      </c>
      <c r="AC305" s="43">
        <v>0</v>
      </c>
      <c r="AD305" s="61">
        <f>SUM(V305:AC305)</f>
        <v>79</v>
      </c>
      <c r="AF305" s="41">
        <v>0</v>
      </c>
      <c r="AG305" s="42">
        <v>0</v>
      </c>
      <c r="AH305" s="42">
        <v>0</v>
      </c>
      <c r="AI305" s="42">
        <v>0</v>
      </c>
      <c r="AJ305" s="42">
        <v>0</v>
      </c>
      <c r="AK305" s="42">
        <v>0</v>
      </c>
      <c r="AL305" s="42">
        <v>0</v>
      </c>
      <c r="AM305" s="43">
        <v>0</v>
      </c>
      <c r="AN305" s="61">
        <f>SUM(AF305:AM305)</f>
        <v>0</v>
      </c>
      <c r="AP305" s="61">
        <f>SUM(J305+T305+AD305+AN305)</f>
        <v>98</v>
      </c>
    </row>
    <row r="306" spans="1:42" ht="15.75" customHeight="1">
      <c r="A306" s="48" t="s">
        <v>29</v>
      </c>
      <c r="B306" s="45">
        <f t="shared" ref="B306:J306" si="228">SUM(B302:B305)</f>
        <v>21</v>
      </c>
      <c r="C306" s="46">
        <f t="shared" si="228"/>
        <v>0</v>
      </c>
      <c r="D306" s="46">
        <f t="shared" si="228"/>
        <v>0</v>
      </c>
      <c r="E306" s="46">
        <f t="shared" si="228"/>
        <v>0</v>
      </c>
      <c r="F306" s="46">
        <f t="shared" si="228"/>
        <v>0</v>
      </c>
      <c r="G306" s="46">
        <f t="shared" si="228"/>
        <v>2</v>
      </c>
      <c r="H306" s="46">
        <f t="shared" si="228"/>
        <v>65</v>
      </c>
      <c r="I306" s="47">
        <f t="shared" si="228"/>
        <v>0</v>
      </c>
      <c r="J306" s="48">
        <f t="shared" si="228"/>
        <v>88</v>
      </c>
      <c r="L306" s="45">
        <f t="shared" ref="L306:T306" si="229">SUM(L302:L305)</f>
        <v>0</v>
      </c>
      <c r="M306" s="46">
        <f t="shared" si="229"/>
        <v>0</v>
      </c>
      <c r="N306" s="46">
        <f t="shared" si="229"/>
        <v>0</v>
      </c>
      <c r="O306" s="46">
        <f t="shared" si="229"/>
        <v>0</v>
      </c>
      <c r="P306" s="46">
        <f t="shared" si="229"/>
        <v>0</v>
      </c>
      <c r="Q306" s="46">
        <f t="shared" si="229"/>
        <v>0</v>
      </c>
      <c r="R306" s="46">
        <f t="shared" si="229"/>
        <v>0</v>
      </c>
      <c r="S306" s="47">
        <f t="shared" si="229"/>
        <v>0</v>
      </c>
      <c r="T306" s="48">
        <f t="shared" si="229"/>
        <v>0</v>
      </c>
      <c r="V306" s="45">
        <f t="shared" ref="V306:AD306" si="230">SUM(V302:V305)</f>
        <v>316</v>
      </c>
      <c r="W306" s="46">
        <f t="shared" si="230"/>
        <v>25</v>
      </c>
      <c r="X306" s="46">
        <f t="shared" si="230"/>
        <v>1</v>
      </c>
      <c r="Y306" s="46">
        <f t="shared" si="230"/>
        <v>0</v>
      </c>
      <c r="Z306" s="46">
        <f t="shared" si="230"/>
        <v>3</v>
      </c>
      <c r="AA306" s="46">
        <f t="shared" si="230"/>
        <v>11</v>
      </c>
      <c r="AB306" s="46">
        <f t="shared" si="230"/>
        <v>17</v>
      </c>
      <c r="AC306" s="47">
        <f t="shared" si="230"/>
        <v>0</v>
      </c>
      <c r="AD306" s="48">
        <f t="shared" si="230"/>
        <v>373</v>
      </c>
      <c r="AF306" s="45">
        <f t="shared" ref="AF306:AN306" si="231">SUM(AF302:AF305)</f>
        <v>0</v>
      </c>
      <c r="AG306" s="46">
        <f t="shared" si="231"/>
        <v>0</v>
      </c>
      <c r="AH306" s="46">
        <f t="shared" si="231"/>
        <v>0</v>
      </c>
      <c r="AI306" s="46">
        <f t="shared" si="231"/>
        <v>0</v>
      </c>
      <c r="AJ306" s="46">
        <f t="shared" si="231"/>
        <v>0</v>
      </c>
      <c r="AK306" s="46">
        <f t="shared" si="231"/>
        <v>0</v>
      </c>
      <c r="AL306" s="46">
        <f t="shared" si="231"/>
        <v>0</v>
      </c>
      <c r="AM306" s="47">
        <f t="shared" si="231"/>
        <v>0</v>
      </c>
      <c r="AN306" s="48">
        <f t="shared" si="231"/>
        <v>0</v>
      </c>
      <c r="AP306" s="48">
        <f>SUM(AP302:AP305)</f>
        <v>461</v>
      </c>
    </row>
    <row r="308" spans="1:42" ht="15.75" customHeight="1">
      <c r="A308" s="48" t="s">
        <v>30</v>
      </c>
      <c r="B308" s="45">
        <f t="shared" ref="B308:J308" si="232">SUM(B306+B301+B296+B291+B286+B281)</f>
        <v>108</v>
      </c>
      <c r="C308" s="46">
        <f t="shared" si="232"/>
        <v>9</v>
      </c>
      <c r="D308" s="46">
        <f t="shared" si="232"/>
        <v>0</v>
      </c>
      <c r="E308" s="46">
        <f t="shared" si="232"/>
        <v>0</v>
      </c>
      <c r="F308" s="46">
        <f t="shared" si="232"/>
        <v>0</v>
      </c>
      <c r="G308" s="46">
        <f t="shared" si="232"/>
        <v>4</v>
      </c>
      <c r="H308" s="46">
        <f t="shared" si="232"/>
        <v>281</v>
      </c>
      <c r="I308" s="47">
        <f t="shared" si="232"/>
        <v>0</v>
      </c>
      <c r="J308" s="48">
        <f t="shared" si="232"/>
        <v>402</v>
      </c>
      <c r="L308" s="45">
        <f t="shared" ref="L308:T308" si="233">SUM(L306+L301+L296+L291+L286+L281)</f>
        <v>0</v>
      </c>
      <c r="M308" s="46">
        <f t="shared" si="233"/>
        <v>0</v>
      </c>
      <c r="N308" s="46">
        <f t="shared" si="233"/>
        <v>0</v>
      </c>
      <c r="O308" s="46">
        <f t="shared" si="233"/>
        <v>0</v>
      </c>
      <c r="P308" s="46">
        <f t="shared" si="233"/>
        <v>0</v>
      </c>
      <c r="Q308" s="46">
        <f t="shared" si="233"/>
        <v>0</v>
      </c>
      <c r="R308" s="46">
        <f t="shared" si="233"/>
        <v>12</v>
      </c>
      <c r="S308" s="47">
        <f t="shared" si="233"/>
        <v>1</v>
      </c>
      <c r="T308" s="48">
        <f t="shared" si="233"/>
        <v>13</v>
      </c>
      <c r="V308" s="45">
        <f t="shared" ref="V308:AD308" si="234">SUM(V306+V301+V296+V291+V286+V281)</f>
        <v>1937</v>
      </c>
      <c r="W308" s="46">
        <f t="shared" si="234"/>
        <v>283</v>
      </c>
      <c r="X308" s="46">
        <f t="shared" si="234"/>
        <v>34</v>
      </c>
      <c r="Y308" s="46">
        <f t="shared" si="234"/>
        <v>2</v>
      </c>
      <c r="Z308" s="46">
        <f t="shared" si="234"/>
        <v>20</v>
      </c>
      <c r="AA308" s="46">
        <f t="shared" si="234"/>
        <v>51</v>
      </c>
      <c r="AB308" s="46">
        <f t="shared" si="234"/>
        <v>56</v>
      </c>
      <c r="AC308" s="47">
        <f t="shared" si="234"/>
        <v>0</v>
      </c>
      <c r="AD308" s="48">
        <f t="shared" si="234"/>
        <v>2383</v>
      </c>
      <c r="AF308" s="45">
        <f t="shared" ref="AF308:AN308" si="235">SUM(AF306+AF301+AF296+AF291+AF286+AF281)</f>
        <v>1</v>
      </c>
      <c r="AG308" s="46">
        <f t="shared" si="235"/>
        <v>0</v>
      </c>
      <c r="AH308" s="46">
        <f t="shared" si="235"/>
        <v>0</v>
      </c>
      <c r="AI308" s="46">
        <f t="shared" si="235"/>
        <v>0</v>
      </c>
      <c r="AJ308" s="46">
        <f t="shared" si="235"/>
        <v>0</v>
      </c>
      <c r="AK308" s="46">
        <f t="shared" si="235"/>
        <v>0</v>
      </c>
      <c r="AL308" s="46">
        <f t="shared" si="235"/>
        <v>0</v>
      </c>
      <c r="AM308" s="47">
        <f t="shared" si="235"/>
        <v>0</v>
      </c>
      <c r="AN308" s="48">
        <f t="shared" si="235"/>
        <v>1</v>
      </c>
      <c r="AP308" s="48">
        <f>SUM(AP306+AP301+AP296+AP291+AP286+AP281)</f>
        <v>2799</v>
      </c>
    </row>
    <row r="310" spans="1:42" ht="15.75" customHeight="1">
      <c r="A310" s="48" t="s">
        <v>24</v>
      </c>
      <c r="B310" s="45">
        <f t="shared" ref="B310:J310" si="236">SUM(B271+B308)</f>
        <v>331</v>
      </c>
      <c r="C310" s="46">
        <f t="shared" si="236"/>
        <v>44</v>
      </c>
      <c r="D310" s="46">
        <f t="shared" si="236"/>
        <v>6</v>
      </c>
      <c r="E310" s="46">
        <f t="shared" si="236"/>
        <v>0</v>
      </c>
      <c r="F310" s="46">
        <f t="shared" si="236"/>
        <v>0</v>
      </c>
      <c r="G310" s="46">
        <f t="shared" si="236"/>
        <v>5</v>
      </c>
      <c r="H310" s="46">
        <f t="shared" si="236"/>
        <v>1023</v>
      </c>
      <c r="I310" s="47">
        <f t="shared" si="236"/>
        <v>0</v>
      </c>
      <c r="J310" s="48">
        <f t="shared" si="236"/>
        <v>1409</v>
      </c>
      <c r="L310" s="45">
        <f t="shared" ref="L310:T310" si="237">SUM(L271+L308)</f>
        <v>0</v>
      </c>
      <c r="M310" s="46">
        <f t="shared" si="237"/>
        <v>0</v>
      </c>
      <c r="N310" s="46">
        <f t="shared" si="237"/>
        <v>0</v>
      </c>
      <c r="O310" s="46">
        <f t="shared" si="237"/>
        <v>0</v>
      </c>
      <c r="P310" s="46">
        <f t="shared" si="237"/>
        <v>0</v>
      </c>
      <c r="Q310" s="46">
        <f t="shared" si="237"/>
        <v>1</v>
      </c>
      <c r="R310" s="46">
        <f t="shared" si="237"/>
        <v>69</v>
      </c>
      <c r="S310" s="47">
        <f t="shared" si="237"/>
        <v>2</v>
      </c>
      <c r="T310" s="48">
        <f t="shared" si="237"/>
        <v>72</v>
      </c>
      <c r="V310" s="45">
        <f t="shared" ref="V310:AD310" si="238">SUM(V271+V308)</f>
        <v>3629</v>
      </c>
      <c r="W310" s="46">
        <f t="shared" si="238"/>
        <v>557</v>
      </c>
      <c r="X310" s="46">
        <f t="shared" si="238"/>
        <v>61</v>
      </c>
      <c r="Y310" s="46">
        <f t="shared" si="238"/>
        <v>9</v>
      </c>
      <c r="Z310" s="46">
        <f t="shared" si="238"/>
        <v>49</v>
      </c>
      <c r="AA310" s="46">
        <f t="shared" si="238"/>
        <v>116</v>
      </c>
      <c r="AB310" s="46">
        <f t="shared" si="238"/>
        <v>135</v>
      </c>
      <c r="AC310" s="47">
        <f t="shared" si="238"/>
        <v>1</v>
      </c>
      <c r="AD310" s="48">
        <f t="shared" si="238"/>
        <v>4557</v>
      </c>
      <c r="AF310" s="45">
        <f t="shared" ref="AF310:AN310" si="239">SUM(AF271+AF308)</f>
        <v>9</v>
      </c>
      <c r="AG310" s="46">
        <f t="shared" si="239"/>
        <v>0</v>
      </c>
      <c r="AH310" s="46">
        <f t="shared" si="239"/>
        <v>0</v>
      </c>
      <c r="AI310" s="46">
        <f t="shared" si="239"/>
        <v>0</v>
      </c>
      <c r="AJ310" s="46">
        <f t="shared" si="239"/>
        <v>0</v>
      </c>
      <c r="AK310" s="46">
        <f t="shared" si="239"/>
        <v>0</v>
      </c>
      <c r="AL310" s="46">
        <f t="shared" si="239"/>
        <v>0</v>
      </c>
      <c r="AM310" s="47">
        <f t="shared" si="239"/>
        <v>0</v>
      </c>
      <c r="AN310" s="48">
        <f t="shared" si="239"/>
        <v>9</v>
      </c>
      <c r="AP310" s="48">
        <f>SUM(AP271+AP308)</f>
        <v>6047</v>
      </c>
    </row>
    <row r="312" spans="1:42" ht="15.75" customHeight="1">
      <c r="A312" s="44" t="s">
        <v>31</v>
      </c>
    </row>
    <row r="313" spans="1:42" ht="15.75" customHeight="1">
      <c r="B313" s="45" t="s">
        <v>32</v>
      </c>
      <c r="C313" s="46"/>
      <c r="D313" s="46" t="str">
        <f>$D$9</f>
        <v>Arm A - Wapping Road</v>
      </c>
      <c r="E313" s="46"/>
      <c r="F313" s="46"/>
      <c r="G313" s="46"/>
      <c r="H313" s="46"/>
      <c r="I313" s="47"/>
      <c r="J313" s="48"/>
      <c r="L313" s="45" t="s">
        <v>32</v>
      </c>
      <c r="M313" s="46"/>
      <c r="N313" s="46" t="str">
        <f>$N$9</f>
        <v>Arm B - River Path</v>
      </c>
      <c r="O313" s="46"/>
      <c r="P313" s="46"/>
      <c r="Q313" s="46"/>
      <c r="R313" s="46"/>
      <c r="S313" s="47"/>
      <c r="T313" s="48"/>
      <c r="V313" s="45" t="s">
        <v>32</v>
      </c>
      <c r="W313" s="46"/>
      <c r="X313" s="46" t="str">
        <f>$X$9</f>
        <v>Arm C - Commerical Road</v>
      </c>
      <c r="Y313" s="46"/>
      <c r="Z313" s="46"/>
      <c r="AA313" s="46"/>
      <c r="AB313" s="46"/>
      <c r="AC313" s="47"/>
      <c r="AD313" s="48"/>
      <c r="AF313" s="45" t="s">
        <v>32</v>
      </c>
      <c r="AG313" s="46"/>
      <c r="AH313" s="46" t="str">
        <f>$AH$9</f>
        <v>Arm D - Cumberland Road</v>
      </c>
      <c r="AI313" s="46"/>
      <c r="AJ313" s="46"/>
      <c r="AK313" s="46"/>
      <c r="AL313" s="46"/>
      <c r="AM313" s="47"/>
      <c r="AN313" s="48"/>
      <c r="AP313" s="49" t="s">
        <v>33</v>
      </c>
    </row>
    <row r="314" spans="1:42" s="50" customFormat="1" ht="15.75" customHeight="1">
      <c r="B314" s="51" t="str">
        <f>$B$10</f>
        <v>CAR</v>
      </c>
      <c r="C314" s="52" t="str">
        <f>$C$10</f>
        <v>LGV</v>
      </c>
      <c r="D314" s="52" t="str">
        <f>$D$10</f>
        <v>OGV1</v>
      </c>
      <c r="E314" s="52" t="str">
        <f>$E$10</f>
        <v>OGV2</v>
      </c>
      <c r="F314" s="52" t="str">
        <f>$F$10</f>
        <v>PSV</v>
      </c>
      <c r="G314" s="52" t="str">
        <f>$G$10</f>
        <v>MC</v>
      </c>
      <c r="H314" s="52" t="str">
        <f>$H$10</f>
        <v>PC</v>
      </c>
      <c r="I314" s="53" t="str">
        <f>$I$10</f>
        <v>PC</v>
      </c>
      <c r="J314" s="54" t="s">
        <v>24</v>
      </c>
      <c r="L314" s="51" t="str">
        <f>$B$10</f>
        <v>CAR</v>
      </c>
      <c r="M314" s="52" t="str">
        <f>$C$10</f>
        <v>LGV</v>
      </c>
      <c r="N314" s="52" t="str">
        <f>$D$10</f>
        <v>OGV1</v>
      </c>
      <c r="O314" s="52" t="str">
        <f>$E$10</f>
        <v>OGV2</v>
      </c>
      <c r="P314" s="52" t="str">
        <f>$F$10</f>
        <v>PSV</v>
      </c>
      <c r="Q314" s="52" t="str">
        <f>$G$10</f>
        <v>MC</v>
      </c>
      <c r="R314" s="52" t="str">
        <f>$H$10</f>
        <v>PC</v>
      </c>
      <c r="S314" s="53" t="str">
        <f>$I$10</f>
        <v>PC</v>
      </c>
      <c r="T314" s="54" t="s">
        <v>24</v>
      </c>
      <c r="V314" s="51" t="str">
        <f>$B$10</f>
        <v>CAR</v>
      </c>
      <c r="W314" s="52" t="str">
        <f>$C$10</f>
        <v>LGV</v>
      </c>
      <c r="X314" s="52" t="str">
        <f>$D$10</f>
        <v>OGV1</v>
      </c>
      <c r="Y314" s="52" t="str">
        <f>$E$10</f>
        <v>OGV2</v>
      </c>
      <c r="Z314" s="52" t="str">
        <f>$F$10</f>
        <v>PSV</v>
      </c>
      <c r="AA314" s="52" t="str">
        <f>$G$10</f>
        <v>MC</v>
      </c>
      <c r="AB314" s="52" t="str">
        <f>$H$10</f>
        <v>PC</v>
      </c>
      <c r="AC314" s="53" t="str">
        <f>$I$10</f>
        <v>PC</v>
      </c>
      <c r="AD314" s="54" t="s">
        <v>24</v>
      </c>
      <c r="AF314" s="51" t="str">
        <f>$B$10</f>
        <v>CAR</v>
      </c>
      <c r="AG314" s="52" t="str">
        <f>$C$10</f>
        <v>LGV</v>
      </c>
      <c r="AH314" s="52" t="str">
        <f>$D$10</f>
        <v>OGV1</v>
      </c>
      <c r="AI314" s="52" t="str">
        <f>$E$10</f>
        <v>OGV2</v>
      </c>
      <c r="AJ314" s="52" t="str">
        <f>$F$10</f>
        <v>PSV</v>
      </c>
      <c r="AK314" s="52" t="str">
        <f>$G$10</f>
        <v>MC</v>
      </c>
      <c r="AL314" s="52" t="str">
        <f>$H$10</f>
        <v>PC</v>
      </c>
      <c r="AM314" s="53" t="str">
        <f>$I$10</f>
        <v>PC</v>
      </c>
      <c r="AN314" s="54" t="s">
        <v>24</v>
      </c>
      <c r="AP314" s="55"/>
    </row>
    <row r="316" spans="1:42" ht="15.75" customHeight="1">
      <c r="A316" s="56">
        <v>0.29166666666666669</v>
      </c>
      <c r="B316" s="32">
        <f t="shared" ref="B316:I319" si="240">SUM(B12+L12+V12+AF12)</f>
        <v>5</v>
      </c>
      <c r="C316" s="33">
        <f t="shared" si="240"/>
        <v>1</v>
      </c>
      <c r="D316" s="33">
        <f t="shared" si="240"/>
        <v>0</v>
      </c>
      <c r="E316" s="33">
        <f t="shared" si="240"/>
        <v>0</v>
      </c>
      <c r="F316" s="33">
        <f t="shared" si="240"/>
        <v>0</v>
      </c>
      <c r="G316" s="33">
        <f t="shared" si="240"/>
        <v>0</v>
      </c>
      <c r="H316" s="33">
        <f t="shared" si="240"/>
        <v>8</v>
      </c>
      <c r="I316" s="34">
        <f t="shared" si="240"/>
        <v>0</v>
      </c>
      <c r="J316" s="57">
        <f>SUM(B316:I316)</f>
        <v>14</v>
      </c>
      <c r="L316" s="32">
        <f t="shared" ref="L316:S319" si="241">SUM(B88+L88+V88+AF88)</f>
        <v>0</v>
      </c>
      <c r="M316" s="33">
        <f t="shared" si="241"/>
        <v>0</v>
      </c>
      <c r="N316" s="33">
        <f t="shared" si="241"/>
        <v>0</v>
      </c>
      <c r="O316" s="33">
        <f t="shared" si="241"/>
        <v>0</v>
      </c>
      <c r="P316" s="33">
        <f t="shared" si="241"/>
        <v>0</v>
      </c>
      <c r="Q316" s="33">
        <f t="shared" si="241"/>
        <v>0</v>
      </c>
      <c r="R316" s="33">
        <f t="shared" si="241"/>
        <v>0</v>
      </c>
      <c r="S316" s="34">
        <f t="shared" si="241"/>
        <v>0</v>
      </c>
      <c r="T316" s="57">
        <f>SUM(L316:S316)</f>
        <v>0</v>
      </c>
      <c r="V316" s="32">
        <f t="shared" ref="V316:AC319" si="242">SUM(B164+L164+V164+AF164)</f>
        <v>72</v>
      </c>
      <c r="W316" s="33">
        <f t="shared" si="242"/>
        <v>27</v>
      </c>
      <c r="X316" s="33">
        <f t="shared" si="242"/>
        <v>5</v>
      </c>
      <c r="Y316" s="33">
        <f t="shared" si="242"/>
        <v>0</v>
      </c>
      <c r="Z316" s="33">
        <f t="shared" si="242"/>
        <v>0</v>
      </c>
      <c r="AA316" s="33">
        <f t="shared" si="242"/>
        <v>4</v>
      </c>
      <c r="AB316" s="33">
        <f t="shared" si="242"/>
        <v>5</v>
      </c>
      <c r="AC316" s="34">
        <f t="shared" si="242"/>
        <v>0</v>
      </c>
      <c r="AD316" s="57">
        <f>SUM(V316:AC316)</f>
        <v>113</v>
      </c>
      <c r="AF316" s="32">
        <f t="shared" ref="AF316:AM319" si="243">SUM(B240+L240+V240+AF240)</f>
        <v>83</v>
      </c>
      <c r="AG316" s="33">
        <f t="shared" si="243"/>
        <v>15</v>
      </c>
      <c r="AH316" s="33">
        <f t="shared" si="243"/>
        <v>0</v>
      </c>
      <c r="AI316" s="33">
        <f t="shared" si="243"/>
        <v>0</v>
      </c>
      <c r="AJ316" s="33">
        <f t="shared" si="243"/>
        <v>0</v>
      </c>
      <c r="AK316" s="33">
        <f t="shared" si="243"/>
        <v>6</v>
      </c>
      <c r="AL316" s="33">
        <f t="shared" si="243"/>
        <v>23</v>
      </c>
      <c r="AM316" s="34">
        <f t="shared" si="243"/>
        <v>1</v>
      </c>
      <c r="AN316" s="57">
        <f>SUM(AF316:AM316)</f>
        <v>128</v>
      </c>
      <c r="AP316" s="57">
        <f>SUM(J316+T316+AD316+AN316)</f>
        <v>255</v>
      </c>
    </row>
    <row r="317" spans="1:42" ht="15.75" customHeight="1">
      <c r="A317" s="58">
        <v>0.30208333333333331</v>
      </c>
      <c r="B317" s="36">
        <f t="shared" si="240"/>
        <v>3</v>
      </c>
      <c r="C317" s="37">
        <f t="shared" si="240"/>
        <v>0</v>
      </c>
      <c r="D317" s="37">
        <f t="shared" si="240"/>
        <v>0</v>
      </c>
      <c r="E317" s="37">
        <f t="shared" si="240"/>
        <v>0</v>
      </c>
      <c r="F317" s="37">
        <f t="shared" si="240"/>
        <v>0</v>
      </c>
      <c r="G317" s="37">
        <f t="shared" si="240"/>
        <v>0</v>
      </c>
      <c r="H317" s="37">
        <f t="shared" si="240"/>
        <v>3</v>
      </c>
      <c r="I317" s="40">
        <f t="shared" si="240"/>
        <v>0</v>
      </c>
      <c r="J317" s="59">
        <f>SUM(B317:I317)</f>
        <v>6</v>
      </c>
      <c r="L317" s="36">
        <f t="shared" si="241"/>
        <v>0</v>
      </c>
      <c r="M317" s="37">
        <f t="shared" si="241"/>
        <v>0</v>
      </c>
      <c r="N317" s="37">
        <f t="shared" si="241"/>
        <v>0</v>
      </c>
      <c r="O317" s="37">
        <f t="shared" si="241"/>
        <v>0</v>
      </c>
      <c r="P317" s="37">
        <f t="shared" si="241"/>
        <v>0</v>
      </c>
      <c r="Q317" s="37">
        <f t="shared" si="241"/>
        <v>0</v>
      </c>
      <c r="R317" s="37">
        <f t="shared" si="241"/>
        <v>0</v>
      </c>
      <c r="S317" s="40">
        <f t="shared" si="241"/>
        <v>0</v>
      </c>
      <c r="T317" s="59">
        <f>SUM(L317:S317)</f>
        <v>0</v>
      </c>
      <c r="V317" s="36">
        <f t="shared" si="242"/>
        <v>94</v>
      </c>
      <c r="W317" s="37">
        <f t="shared" si="242"/>
        <v>22</v>
      </c>
      <c r="X317" s="37">
        <f t="shared" si="242"/>
        <v>2</v>
      </c>
      <c r="Y317" s="37">
        <f t="shared" si="242"/>
        <v>0</v>
      </c>
      <c r="Z317" s="37">
        <f t="shared" si="242"/>
        <v>0</v>
      </c>
      <c r="AA317" s="37">
        <f t="shared" si="242"/>
        <v>5</v>
      </c>
      <c r="AB317" s="37">
        <f t="shared" si="242"/>
        <v>13</v>
      </c>
      <c r="AC317" s="40">
        <f t="shared" si="242"/>
        <v>0</v>
      </c>
      <c r="AD317" s="59">
        <f>SUM(V317:AC317)</f>
        <v>136</v>
      </c>
      <c r="AF317" s="36">
        <f t="shared" si="243"/>
        <v>114</v>
      </c>
      <c r="AG317" s="37">
        <f t="shared" si="243"/>
        <v>10</v>
      </c>
      <c r="AH317" s="37">
        <f t="shared" si="243"/>
        <v>2</v>
      </c>
      <c r="AI317" s="37">
        <f t="shared" si="243"/>
        <v>0</v>
      </c>
      <c r="AJ317" s="37">
        <f t="shared" si="243"/>
        <v>1</v>
      </c>
      <c r="AK317" s="37">
        <f t="shared" si="243"/>
        <v>5</v>
      </c>
      <c r="AL317" s="37">
        <f t="shared" si="243"/>
        <v>43</v>
      </c>
      <c r="AM317" s="40">
        <f t="shared" si="243"/>
        <v>0</v>
      </c>
      <c r="AN317" s="59">
        <f>SUM(AF317:AM317)</f>
        <v>175</v>
      </c>
      <c r="AP317" s="59">
        <f>SUM(J317+T317+AD317+AN317)</f>
        <v>317</v>
      </c>
    </row>
    <row r="318" spans="1:42" ht="15.75" customHeight="1">
      <c r="A318" s="58">
        <v>0.3125</v>
      </c>
      <c r="B318" s="36">
        <f t="shared" si="240"/>
        <v>3</v>
      </c>
      <c r="C318" s="37">
        <f t="shared" si="240"/>
        <v>1</v>
      </c>
      <c r="D318" s="37">
        <f t="shared" si="240"/>
        <v>0</v>
      </c>
      <c r="E318" s="37">
        <f t="shared" si="240"/>
        <v>0</v>
      </c>
      <c r="F318" s="37">
        <f t="shared" si="240"/>
        <v>0</v>
      </c>
      <c r="G318" s="37">
        <f t="shared" si="240"/>
        <v>0</v>
      </c>
      <c r="H318" s="37">
        <f t="shared" si="240"/>
        <v>8</v>
      </c>
      <c r="I318" s="40">
        <f t="shared" si="240"/>
        <v>0</v>
      </c>
      <c r="J318" s="59">
        <f>SUM(B318:I318)</f>
        <v>12</v>
      </c>
      <c r="L318" s="36">
        <f t="shared" si="241"/>
        <v>0</v>
      </c>
      <c r="M318" s="37">
        <f t="shared" si="241"/>
        <v>0</v>
      </c>
      <c r="N318" s="37">
        <f t="shared" si="241"/>
        <v>0</v>
      </c>
      <c r="O318" s="37">
        <f t="shared" si="241"/>
        <v>0</v>
      </c>
      <c r="P318" s="37">
        <f t="shared" si="241"/>
        <v>0</v>
      </c>
      <c r="Q318" s="37">
        <f t="shared" si="241"/>
        <v>0</v>
      </c>
      <c r="R318" s="37">
        <f t="shared" si="241"/>
        <v>0</v>
      </c>
      <c r="S318" s="40">
        <f t="shared" si="241"/>
        <v>0</v>
      </c>
      <c r="T318" s="59">
        <f>SUM(L318:S318)</f>
        <v>0</v>
      </c>
      <c r="V318" s="36">
        <f t="shared" si="242"/>
        <v>131</v>
      </c>
      <c r="W318" s="37">
        <f t="shared" si="242"/>
        <v>27</v>
      </c>
      <c r="X318" s="37">
        <f t="shared" si="242"/>
        <v>3</v>
      </c>
      <c r="Y318" s="37">
        <f t="shared" si="242"/>
        <v>1</v>
      </c>
      <c r="Z318" s="37">
        <f t="shared" si="242"/>
        <v>1</v>
      </c>
      <c r="AA318" s="37">
        <f t="shared" si="242"/>
        <v>4</v>
      </c>
      <c r="AB318" s="37">
        <f t="shared" si="242"/>
        <v>8</v>
      </c>
      <c r="AC318" s="40">
        <f t="shared" si="242"/>
        <v>0</v>
      </c>
      <c r="AD318" s="59">
        <f>SUM(V318:AC318)</f>
        <v>175</v>
      </c>
      <c r="AF318" s="36">
        <f t="shared" si="243"/>
        <v>104</v>
      </c>
      <c r="AG318" s="37">
        <f t="shared" si="243"/>
        <v>9</v>
      </c>
      <c r="AH318" s="37">
        <f t="shared" si="243"/>
        <v>2</v>
      </c>
      <c r="AI318" s="37">
        <f t="shared" si="243"/>
        <v>2</v>
      </c>
      <c r="AJ318" s="37">
        <f t="shared" si="243"/>
        <v>0</v>
      </c>
      <c r="AK318" s="37">
        <f t="shared" si="243"/>
        <v>5</v>
      </c>
      <c r="AL318" s="37">
        <f t="shared" si="243"/>
        <v>71</v>
      </c>
      <c r="AM318" s="40">
        <f t="shared" si="243"/>
        <v>0</v>
      </c>
      <c r="AN318" s="59">
        <f>SUM(AF318:AM318)</f>
        <v>193</v>
      </c>
      <c r="AP318" s="59">
        <f>SUM(J318+T318+AD318+AN318)</f>
        <v>380</v>
      </c>
    </row>
    <row r="319" spans="1:42" ht="15.75" customHeight="1">
      <c r="A319" s="60">
        <v>0.32291666666666669</v>
      </c>
      <c r="B319" s="41">
        <f t="shared" si="240"/>
        <v>10</v>
      </c>
      <c r="C319" s="42">
        <f t="shared" si="240"/>
        <v>2</v>
      </c>
      <c r="D319" s="42">
        <f t="shared" si="240"/>
        <v>0</v>
      </c>
      <c r="E319" s="42">
        <f t="shared" si="240"/>
        <v>0</v>
      </c>
      <c r="F319" s="42">
        <f t="shared" si="240"/>
        <v>0</v>
      </c>
      <c r="G319" s="42">
        <f t="shared" si="240"/>
        <v>0</v>
      </c>
      <c r="H319" s="42">
        <f t="shared" si="240"/>
        <v>11</v>
      </c>
      <c r="I319" s="43">
        <f t="shared" si="240"/>
        <v>0</v>
      </c>
      <c r="J319" s="61">
        <f>SUM(B319:I319)</f>
        <v>23</v>
      </c>
      <c r="L319" s="41">
        <f t="shared" si="241"/>
        <v>0</v>
      </c>
      <c r="M319" s="42">
        <f t="shared" si="241"/>
        <v>0</v>
      </c>
      <c r="N319" s="42">
        <f t="shared" si="241"/>
        <v>0</v>
      </c>
      <c r="O319" s="42">
        <f t="shared" si="241"/>
        <v>0</v>
      </c>
      <c r="P319" s="42">
        <f t="shared" si="241"/>
        <v>0</v>
      </c>
      <c r="Q319" s="42">
        <f t="shared" si="241"/>
        <v>0</v>
      </c>
      <c r="R319" s="42">
        <f t="shared" si="241"/>
        <v>0</v>
      </c>
      <c r="S319" s="43">
        <f t="shared" si="241"/>
        <v>0</v>
      </c>
      <c r="T319" s="61">
        <f>SUM(L319:S319)</f>
        <v>0</v>
      </c>
      <c r="V319" s="41">
        <f t="shared" si="242"/>
        <v>124</v>
      </c>
      <c r="W319" s="42">
        <f t="shared" si="242"/>
        <v>21</v>
      </c>
      <c r="X319" s="42">
        <f t="shared" si="242"/>
        <v>0</v>
      </c>
      <c r="Y319" s="42">
        <f t="shared" si="242"/>
        <v>1</v>
      </c>
      <c r="Z319" s="42">
        <f t="shared" si="242"/>
        <v>0</v>
      </c>
      <c r="AA319" s="42">
        <f t="shared" si="242"/>
        <v>1</v>
      </c>
      <c r="AB319" s="42">
        <f t="shared" si="242"/>
        <v>9</v>
      </c>
      <c r="AC319" s="43">
        <f t="shared" si="242"/>
        <v>0</v>
      </c>
      <c r="AD319" s="61">
        <f>SUM(V319:AC319)</f>
        <v>156</v>
      </c>
      <c r="AF319" s="41">
        <f t="shared" si="243"/>
        <v>104</v>
      </c>
      <c r="AG319" s="42">
        <f t="shared" si="243"/>
        <v>11</v>
      </c>
      <c r="AH319" s="42">
        <f t="shared" si="243"/>
        <v>0</v>
      </c>
      <c r="AI319" s="42">
        <f t="shared" si="243"/>
        <v>1</v>
      </c>
      <c r="AJ319" s="42">
        <f t="shared" si="243"/>
        <v>2</v>
      </c>
      <c r="AK319" s="42">
        <f t="shared" si="243"/>
        <v>3</v>
      </c>
      <c r="AL319" s="42">
        <f t="shared" si="243"/>
        <v>77</v>
      </c>
      <c r="AM319" s="43">
        <f t="shared" si="243"/>
        <v>0</v>
      </c>
      <c r="AN319" s="61">
        <f>SUM(AF319:AM319)</f>
        <v>198</v>
      </c>
      <c r="AP319" s="61">
        <f>SUM(J319+T319+AD319+AN319)</f>
        <v>377</v>
      </c>
    </row>
    <row r="320" spans="1:42" ht="15.75" customHeight="1">
      <c r="A320" s="48" t="s">
        <v>29</v>
      </c>
      <c r="B320" s="45">
        <f t="shared" ref="B320:J320" si="244">SUM(B316:B319)</f>
        <v>21</v>
      </c>
      <c r="C320" s="46">
        <f t="shared" si="244"/>
        <v>4</v>
      </c>
      <c r="D320" s="46">
        <f t="shared" si="244"/>
        <v>0</v>
      </c>
      <c r="E320" s="46">
        <f t="shared" si="244"/>
        <v>0</v>
      </c>
      <c r="F320" s="46">
        <f t="shared" si="244"/>
        <v>0</v>
      </c>
      <c r="G320" s="46">
        <f t="shared" si="244"/>
        <v>0</v>
      </c>
      <c r="H320" s="46">
        <f t="shared" si="244"/>
        <v>30</v>
      </c>
      <c r="I320" s="47">
        <f t="shared" si="244"/>
        <v>0</v>
      </c>
      <c r="J320" s="48">
        <f t="shared" si="244"/>
        <v>55</v>
      </c>
      <c r="L320" s="45">
        <f t="shared" ref="L320:T320" si="245">SUM(L316:L319)</f>
        <v>0</v>
      </c>
      <c r="M320" s="46">
        <f t="shared" si="245"/>
        <v>0</v>
      </c>
      <c r="N320" s="46">
        <f t="shared" si="245"/>
        <v>0</v>
      </c>
      <c r="O320" s="46">
        <f t="shared" si="245"/>
        <v>0</v>
      </c>
      <c r="P320" s="46">
        <f t="shared" si="245"/>
        <v>0</v>
      </c>
      <c r="Q320" s="46">
        <f t="shared" si="245"/>
        <v>0</v>
      </c>
      <c r="R320" s="46">
        <f t="shared" si="245"/>
        <v>0</v>
      </c>
      <c r="S320" s="47">
        <f t="shared" si="245"/>
        <v>0</v>
      </c>
      <c r="T320" s="48">
        <f t="shared" si="245"/>
        <v>0</v>
      </c>
      <c r="V320" s="45">
        <f t="shared" ref="V320:AD320" si="246">SUM(V316:V319)</f>
        <v>421</v>
      </c>
      <c r="W320" s="46">
        <f t="shared" si="246"/>
        <v>97</v>
      </c>
      <c r="X320" s="46">
        <f t="shared" si="246"/>
        <v>10</v>
      </c>
      <c r="Y320" s="46">
        <f t="shared" si="246"/>
        <v>2</v>
      </c>
      <c r="Z320" s="46">
        <f t="shared" si="246"/>
        <v>1</v>
      </c>
      <c r="AA320" s="46">
        <f t="shared" si="246"/>
        <v>14</v>
      </c>
      <c r="AB320" s="46">
        <f t="shared" si="246"/>
        <v>35</v>
      </c>
      <c r="AC320" s="47">
        <f t="shared" si="246"/>
        <v>0</v>
      </c>
      <c r="AD320" s="48">
        <f t="shared" si="246"/>
        <v>580</v>
      </c>
      <c r="AF320" s="45">
        <f t="shared" ref="AF320:AN320" si="247">SUM(AF316:AF319)</f>
        <v>405</v>
      </c>
      <c r="AG320" s="46">
        <f t="shared" si="247"/>
        <v>45</v>
      </c>
      <c r="AH320" s="46">
        <f t="shared" si="247"/>
        <v>4</v>
      </c>
      <c r="AI320" s="46">
        <f t="shared" si="247"/>
        <v>3</v>
      </c>
      <c r="AJ320" s="46">
        <f t="shared" si="247"/>
        <v>3</v>
      </c>
      <c r="AK320" s="46">
        <f t="shared" si="247"/>
        <v>19</v>
      </c>
      <c r="AL320" s="46">
        <f t="shared" si="247"/>
        <v>214</v>
      </c>
      <c r="AM320" s="47">
        <f t="shared" si="247"/>
        <v>1</v>
      </c>
      <c r="AN320" s="48">
        <f t="shared" si="247"/>
        <v>694</v>
      </c>
      <c r="AP320" s="48">
        <f>SUM(AP316:AP319)</f>
        <v>1329</v>
      </c>
    </row>
    <row r="321" spans="1:42" ht="15.75" customHeight="1">
      <c r="A321" s="56">
        <v>0.33333333333333331</v>
      </c>
      <c r="B321" s="32">
        <f t="shared" ref="B321:I324" si="248">SUM(B17+L17+V17+AF17)</f>
        <v>9</v>
      </c>
      <c r="C321" s="33">
        <f t="shared" si="248"/>
        <v>2</v>
      </c>
      <c r="D321" s="33">
        <f t="shared" si="248"/>
        <v>0</v>
      </c>
      <c r="E321" s="33">
        <f t="shared" si="248"/>
        <v>0</v>
      </c>
      <c r="F321" s="33">
        <f t="shared" si="248"/>
        <v>0</v>
      </c>
      <c r="G321" s="33">
        <f t="shared" si="248"/>
        <v>0</v>
      </c>
      <c r="H321" s="33">
        <f t="shared" si="248"/>
        <v>10</v>
      </c>
      <c r="I321" s="34">
        <f t="shared" si="248"/>
        <v>0</v>
      </c>
      <c r="J321" s="57">
        <f>SUM(B321:I321)</f>
        <v>21</v>
      </c>
      <c r="L321" s="32">
        <f t="shared" ref="L321:S324" si="249">SUM(B93+L93+V93+AF93)</f>
        <v>0</v>
      </c>
      <c r="M321" s="33">
        <f t="shared" si="249"/>
        <v>0</v>
      </c>
      <c r="N321" s="33">
        <f t="shared" si="249"/>
        <v>0</v>
      </c>
      <c r="O321" s="33">
        <f t="shared" si="249"/>
        <v>0</v>
      </c>
      <c r="P321" s="33">
        <f t="shared" si="249"/>
        <v>0</v>
      </c>
      <c r="Q321" s="33">
        <f t="shared" si="249"/>
        <v>0</v>
      </c>
      <c r="R321" s="33">
        <f t="shared" si="249"/>
        <v>0</v>
      </c>
      <c r="S321" s="34">
        <f t="shared" si="249"/>
        <v>0</v>
      </c>
      <c r="T321" s="57">
        <f>SUM(L321:S321)</f>
        <v>0</v>
      </c>
      <c r="V321" s="32">
        <f t="shared" ref="V321:AC324" si="250">SUM(B169+L169+V169+AF169)</f>
        <v>120</v>
      </c>
      <c r="W321" s="33">
        <f t="shared" si="250"/>
        <v>13</v>
      </c>
      <c r="X321" s="33">
        <f t="shared" si="250"/>
        <v>4</v>
      </c>
      <c r="Y321" s="33">
        <f t="shared" si="250"/>
        <v>0</v>
      </c>
      <c r="Z321" s="33">
        <f t="shared" si="250"/>
        <v>0</v>
      </c>
      <c r="AA321" s="33">
        <f t="shared" si="250"/>
        <v>7</v>
      </c>
      <c r="AB321" s="33">
        <f t="shared" si="250"/>
        <v>11</v>
      </c>
      <c r="AC321" s="34">
        <f t="shared" si="250"/>
        <v>0</v>
      </c>
      <c r="AD321" s="57">
        <f>SUM(V321:AC321)</f>
        <v>155</v>
      </c>
      <c r="AF321" s="32">
        <f t="shared" ref="AF321:AM324" si="251">SUM(B245+L245+V245+AF245)</f>
        <v>132</v>
      </c>
      <c r="AG321" s="33">
        <f t="shared" si="251"/>
        <v>8</v>
      </c>
      <c r="AH321" s="33">
        <f t="shared" si="251"/>
        <v>2</v>
      </c>
      <c r="AI321" s="33">
        <f t="shared" si="251"/>
        <v>0</v>
      </c>
      <c r="AJ321" s="33">
        <f t="shared" si="251"/>
        <v>0</v>
      </c>
      <c r="AK321" s="33">
        <f t="shared" si="251"/>
        <v>7</v>
      </c>
      <c r="AL321" s="33">
        <f t="shared" si="251"/>
        <v>83</v>
      </c>
      <c r="AM321" s="34">
        <f t="shared" si="251"/>
        <v>1</v>
      </c>
      <c r="AN321" s="57">
        <f>SUM(AF321:AM321)</f>
        <v>233</v>
      </c>
      <c r="AP321" s="57">
        <f>SUM(J321+T321+AD321+AN321)</f>
        <v>409</v>
      </c>
    </row>
    <row r="322" spans="1:42" ht="15.75" customHeight="1">
      <c r="A322" s="58">
        <v>0.34375</v>
      </c>
      <c r="B322" s="36">
        <f t="shared" si="248"/>
        <v>10</v>
      </c>
      <c r="C322" s="37">
        <f t="shared" si="248"/>
        <v>1</v>
      </c>
      <c r="D322" s="37">
        <f t="shared" si="248"/>
        <v>0</v>
      </c>
      <c r="E322" s="37">
        <f t="shared" si="248"/>
        <v>0</v>
      </c>
      <c r="F322" s="37">
        <f t="shared" si="248"/>
        <v>0</v>
      </c>
      <c r="G322" s="37">
        <f t="shared" si="248"/>
        <v>0</v>
      </c>
      <c r="H322" s="37">
        <f t="shared" si="248"/>
        <v>18</v>
      </c>
      <c r="I322" s="40">
        <f t="shared" si="248"/>
        <v>0</v>
      </c>
      <c r="J322" s="59">
        <f>SUM(B322:I322)</f>
        <v>29</v>
      </c>
      <c r="L322" s="36">
        <f t="shared" si="249"/>
        <v>0</v>
      </c>
      <c r="M322" s="37">
        <f t="shared" si="249"/>
        <v>0</v>
      </c>
      <c r="N322" s="37">
        <f t="shared" si="249"/>
        <v>0</v>
      </c>
      <c r="O322" s="37">
        <f t="shared" si="249"/>
        <v>0</v>
      </c>
      <c r="P322" s="37">
        <f t="shared" si="249"/>
        <v>0</v>
      </c>
      <c r="Q322" s="37">
        <f t="shared" si="249"/>
        <v>0</v>
      </c>
      <c r="R322" s="37">
        <f t="shared" si="249"/>
        <v>0</v>
      </c>
      <c r="S322" s="40">
        <f t="shared" si="249"/>
        <v>0</v>
      </c>
      <c r="T322" s="59">
        <f>SUM(L322:S322)</f>
        <v>0</v>
      </c>
      <c r="V322" s="36">
        <f t="shared" si="250"/>
        <v>84</v>
      </c>
      <c r="W322" s="37">
        <f t="shared" si="250"/>
        <v>17</v>
      </c>
      <c r="X322" s="37">
        <f t="shared" si="250"/>
        <v>1</v>
      </c>
      <c r="Y322" s="37">
        <f t="shared" si="250"/>
        <v>0</v>
      </c>
      <c r="Z322" s="37">
        <f t="shared" si="250"/>
        <v>0</v>
      </c>
      <c r="AA322" s="37">
        <f t="shared" si="250"/>
        <v>2</v>
      </c>
      <c r="AB322" s="37">
        <f t="shared" si="250"/>
        <v>27</v>
      </c>
      <c r="AC322" s="40">
        <f t="shared" si="250"/>
        <v>0</v>
      </c>
      <c r="AD322" s="59">
        <f>SUM(V322:AC322)</f>
        <v>131</v>
      </c>
      <c r="AF322" s="36">
        <f t="shared" si="251"/>
        <v>94</v>
      </c>
      <c r="AG322" s="37">
        <f t="shared" si="251"/>
        <v>10</v>
      </c>
      <c r="AH322" s="37">
        <f t="shared" si="251"/>
        <v>0</v>
      </c>
      <c r="AI322" s="37">
        <f t="shared" si="251"/>
        <v>0</v>
      </c>
      <c r="AJ322" s="37">
        <f t="shared" si="251"/>
        <v>0</v>
      </c>
      <c r="AK322" s="37">
        <f t="shared" si="251"/>
        <v>10</v>
      </c>
      <c r="AL322" s="37">
        <f t="shared" si="251"/>
        <v>93</v>
      </c>
      <c r="AM322" s="40">
        <f t="shared" si="251"/>
        <v>0</v>
      </c>
      <c r="AN322" s="59">
        <f>SUM(AF322:AM322)</f>
        <v>207</v>
      </c>
      <c r="AP322" s="59">
        <f>SUM(J322+T322+AD322+AN322)</f>
        <v>367</v>
      </c>
    </row>
    <row r="323" spans="1:42" ht="15.75" customHeight="1">
      <c r="A323" s="58">
        <v>0.35416666666666669</v>
      </c>
      <c r="B323" s="36">
        <f t="shared" si="248"/>
        <v>7</v>
      </c>
      <c r="C323" s="37">
        <f t="shared" si="248"/>
        <v>2</v>
      </c>
      <c r="D323" s="37">
        <f t="shared" si="248"/>
        <v>0</v>
      </c>
      <c r="E323" s="37">
        <f t="shared" si="248"/>
        <v>0</v>
      </c>
      <c r="F323" s="37">
        <f t="shared" si="248"/>
        <v>0</v>
      </c>
      <c r="G323" s="37">
        <f t="shared" si="248"/>
        <v>0</v>
      </c>
      <c r="H323" s="37">
        <f t="shared" si="248"/>
        <v>16</v>
      </c>
      <c r="I323" s="40">
        <f t="shared" si="248"/>
        <v>0</v>
      </c>
      <c r="J323" s="59">
        <f>SUM(B323:I323)</f>
        <v>25</v>
      </c>
      <c r="L323" s="36">
        <f t="shared" si="249"/>
        <v>0</v>
      </c>
      <c r="M323" s="37">
        <f t="shared" si="249"/>
        <v>0</v>
      </c>
      <c r="N323" s="37">
        <f t="shared" si="249"/>
        <v>0</v>
      </c>
      <c r="O323" s="37">
        <f t="shared" si="249"/>
        <v>0</v>
      </c>
      <c r="P323" s="37">
        <f t="shared" si="249"/>
        <v>0</v>
      </c>
      <c r="Q323" s="37">
        <f t="shared" si="249"/>
        <v>0</v>
      </c>
      <c r="R323" s="37">
        <f t="shared" si="249"/>
        <v>0</v>
      </c>
      <c r="S323" s="40">
        <f t="shared" si="249"/>
        <v>0</v>
      </c>
      <c r="T323" s="59">
        <f>SUM(L323:S323)</f>
        <v>0</v>
      </c>
      <c r="V323" s="36">
        <f t="shared" si="250"/>
        <v>104</v>
      </c>
      <c r="W323" s="37">
        <f t="shared" si="250"/>
        <v>8</v>
      </c>
      <c r="X323" s="37">
        <f t="shared" si="250"/>
        <v>0</v>
      </c>
      <c r="Y323" s="37">
        <f t="shared" si="250"/>
        <v>2</v>
      </c>
      <c r="Z323" s="37">
        <f t="shared" si="250"/>
        <v>2</v>
      </c>
      <c r="AA323" s="37">
        <f t="shared" si="250"/>
        <v>1</v>
      </c>
      <c r="AB323" s="37">
        <f t="shared" si="250"/>
        <v>18</v>
      </c>
      <c r="AC323" s="40">
        <f t="shared" si="250"/>
        <v>0</v>
      </c>
      <c r="AD323" s="59">
        <f>SUM(V323:AC323)</f>
        <v>135</v>
      </c>
      <c r="AF323" s="36">
        <f t="shared" si="251"/>
        <v>86</v>
      </c>
      <c r="AG323" s="37">
        <f t="shared" si="251"/>
        <v>6</v>
      </c>
      <c r="AH323" s="37">
        <f t="shared" si="251"/>
        <v>0</v>
      </c>
      <c r="AI323" s="37">
        <f t="shared" si="251"/>
        <v>1</v>
      </c>
      <c r="AJ323" s="37">
        <f t="shared" si="251"/>
        <v>0</v>
      </c>
      <c r="AK323" s="37">
        <f t="shared" si="251"/>
        <v>5</v>
      </c>
      <c r="AL323" s="37">
        <f t="shared" si="251"/>
        <v>92</v>
      </c>
      <c r="AM323" s="40">
        <f t="shared" si="251"/>
        <v>0</v>
      </c>
      <c r="AN323" s="59">
        <f>SUM(AF323:AM323)</f>
        <v>190</v>
      </c>
      <c r="AP323" s="59">
        <f>SUM(J323+T323+AD323+AN323)</f>
        <v>350</v>
      </c>
    </row>
    <row r="324" spans="1:42" ht="15.75" customHeight="1">
      <c r="A324" s="60">
        <v>0.36458333333333331</v>
      </c>
      <c r="B324" s="41">
        <f t="shared" si="248"/>
        <v>6</v>
      </c>
      <c r="C324" s="42">
        <f t="shared" si="248"/>
        <v>0</v>
      </c>
      <c r="D324" s="42">
        <f t="shared" si="248"/>
        <v>0</v>
      </c>
      <c r="E324" s="42">
        <f t="shared" si="248"/>
        <v>0</v>
      </c>
      <c r="F324" s="42">
        <f t="shared" si="248"/>
        <v>0</v>
      </c>
      <c r="G324" s="42">
        <f t="shared" si="248"/>
        <v>0</v>
      </c>
      <c r="H324" s="42">
        <f t="shared" si="248"/>
        <v>13</v>
      </c>
      <c r="I324" s="43">
        <f t="shared" si="248"/>
        <v>0</v>
      </c>
      <c r="J324" s="61">
        <f>SUM(B324:I324)</f>
        <v>19</v>
      </c>
      <c r="L324" s="41">
        <f t="shared" si="249"/>
        <v>0</v>
      </c>
      <c r="M324" s="42">
        <f t="shared" si="249"/>
        <v>0</v>
      </c>
      <c r="N324" s="42">
        <f t="shared" si="249"/>
        <v>0</v>
      </c>
      <c r="O324" s="42">
        <f t="shared" si="249"/>
        <v>0</v>
      </c>
      <c r="P324" s="42">
        <f t="shared" si="249"/>
        <v>0</v>
      </c>
      <c r="Q324" s="42">
        <f t="shared" si="249"/>
        <v>0</v>
      </c>
      <c r="R324" s="42">
        <f t="shared" si="249"/>
        <v>0</v>
      </c>
      <c r="S324" s="43">
        <f t="shared" si="249"/>
        <v>0</v>
      </c>
      <c r="T324" s="61">
        <f>SUM(L324:S324)</f>
        <v>0</v>
      </c>
      <c r="V324" s="41">
        <f t="shared" si="250"/>
        <v>126</v>
      </c>
      <c r="W324" s="42">
        <f t="shared" si="250"/>
        <v>19</v>
      </c>
      <c r="X324" s="42">
        <f t="shared" si="250"/>
        <v>1</v>
      </c>
      <c r="Y324" s="42">
        <f t="shared" si="250"/>
        <v>1</v>
      </c>
      <c r="Z324" s="42">
        <f t="shared" si="250"/>
        <v>0</v>
      </c>
      <c r="AA324" s="42">
        <f t="shared" si="250"/>
        <v>4</v>
      </c>
      <c r="AB324" s="42">
        <f t="shared" si="250"/>
        <v>36</v>
      </c>
      <c r="AC324" s="43">
        <f t="shared" si="250"/>
        <v>0</v>
      </c>
      <c r="AD324" s="61">
        <f>SUM(V324:AC324)</f>
        <v>187</v>
      </c>
      <c r="AF324" s="41">
        <f t="shared" si="251"/>
        <v>91</v>
      </c>
      <c r="AG324" s="42">
        <f t="shared" si="251"/>
        <v>10</v>
      </c>
      <c r="AH324" s="42">
        <f t="shared" si="251"/>
        <v>1</v>
      </c>
      <c r="AI324" s="42">
        <f t="shared" si="251"/>
        <v>0</v>
      </c>
      <c r="AJ324" s="42">
        <f t="shared" si="251"/>
        <v>1</v>
      </c>
      <c r="AK324" s="42">
        <f t="shared" si="251"/>
        <v>5</v>
      </c>
      <c r="AL324" s="42">
        <f t="shared" si="251"/>
        <v>105</v>
      </c>
      <c r="AM324" s="43">
        <f t="shared" si="251"/>
        <v>0</v>
      </c>
      <c r="AN324" s="61">
        <f>SUM(AF324:AM324)</f>
        <v>213</v>
      </c>
      <c r="AP324" s="61">
        <f>SUM(J324+T324+AD324+AN324)</f>
        <v>419</v>
      </c>
    </row>
    <row r="325" spans="1:42" ht="15.75" customHeight="1">
      <c r="A325" s="48" t="s">
        <v>29</v>
      </c>
      <c r="B325" s="45">
        <f t="shared" ref="B325:J325" si="252">SUM(B321:B324)</f>
        <v>32</v>
      </c>
      <c r="C325" s="46">
        <f t="shared" si="252"/>
        <v>5</v>
      </c>
      <c r="D325" s="46">
        <f t="shared" si="252"/>
        <v>0</v>
      </c>
      <c r="E325" s="46">
        <f t="shared" si="252"/>
        <v>0</v>
      </c>
      <c r="F325" s="46">
        <f t="shared" si="252"/>
        <v>0</v>
      </c>
      <c r="G325" s="46">
        <f t="shared" si="252"/>
        <v>0</v>
      </c>
      <c r="H325" s="46">
        <f t="shared" si="252"/>
        <v>57</v>
      </c>
      <c r="I325" s="47">
        <f t="shared" si="252"/>
        <v>0</v>
      </c>
      <c r="J325" s="48">
        <f t="shared" si="252"/>
        <v>94</v>
      </c>
      <c r="L325" s="45">
        <f t="shared" ref="L325:T325" si="253">SUM(L321:L324)</f>
        <v>0</v>
      </c>
      <c r="M325" s="46">
        <f t="shared" si="253"/>
        <v>0</v>
      </c>
      <c r="N325" s="46">
        <f t="shared" si="253"/>
        <v>0</v>
      </c>
      <c r="O325" s="46">
        <f t="shared" si="253"/>
        <v>0</v>
      </c>
      <c r="P325" s="46">
        <f t="shared" si="253"/>
        <v>0</v>
      </c>
      <c r="Q325" s="46">
        <f t="shared" si="253"/>
        <v>0</v>
      </c>
      <c r="R325" s="46">
        <f t="shared" si="253"/>
        <v>0</v>
      </c>
      <c r="S325" s="47">
        <f t="shared" si="253"/>
        <v>0</v>
      </c>
      <c r="T325" s="48">
        <f t="shared" si="253"/>
        <v>0</v>
      </c>
      <c r="V325" s="45">
        <f t="shared" ref="V325:AD325" si="254">SUM(V321:V324)</f>
        <v>434</v>
      </c>
      <c r="W325" s="46">
        <f t="shared" si="254"/>
        <v>57</v>
      </c>
      <c r="X325" s="46">
        <f t="shared" si="254"/>
        <v>6</v>
      </c>
      <c r="Y325" s="46">
        <f t="shared" si="254"/>
        <v>3</v>
      </c>
      <c r="Z325" s="46">
        <f t="shared" si="254"/>
        <v>2</v>
      </c>
      <c r="AA325" s="46">
        <f t="shared" si="254"/>
        <v>14</v>
      </c>
      <c r="AB325" s="46">
        <f t="shared" si="254"/>
        <v>92</v>
      </c>
      <c r="AC325" s="47">
        <f t="shared" si="254"/>
        <v>0</v>
      </c>
      <c r="AD325" s="48">
        <f t="shared" si="254"/>
        <v>608</v>
      </c>
      <c r="AF325" s="45">
        <f t="shared" ref="AF325:AN325" si="255">SUM(AF321:AF324)</f>
        <v>403</v>
      </c>
      <c r="AG325" s="46">
        <f t="shared" si="255"/>
        <v>34</v>
      </c>
      <c r="AH325" s="46">
        <f t="shared" si="255"/>
        <v>3</v>
      </c>
      <c r="AI325" s="46">
        <f t="shared" si="255"/>
        <v>1</v>
      </c>
      <c r="AJ325" s="46">
        <f t="shared" si="255"/>
        <v>1</v>
      </c>
      <c r="AK325" s="46">
        <f t="shared" si="255"/>
        <v>27</v>
      </c>
      <c r="AL325" s="46">
        <f t="shared" si="255"/>
        <v>373</v>
      </c>
      <c r="AM325" s="47">
        <f t="shared" si="255"/>
        <v>1</v>
      </c>
      <c r="AN325" s="48">
        <f t="shared" si="255"/>
        <v>843</v>
      </c>
      <c r="AP325" s="48">
        <f>SUM(AP321:AP324)</f>
        <v>1545</v>
      </c>
    </row>
    <row r="326" spans="1:42" ht="15.75" customHeight="1">
      <c r="A326" s="56">
        <v>0.375</v>
      </c>
      <c r="B326" s="32">
        <f t="shared" ref="B326:I329" si="256">SUM(B22+L22+V22+AF22)</f>
        <v>10</v>
      </c>
      <c r="C326" s="33">
        <f t="shared" si="256"/>
        <v>0</v>
      </c>
      <c r="D326" s="33">
        <f t="shared" si="256"/>
        <v>1</v>
      </c>
      <c r="E326" s="33">
        <f t="shared" si="256"/>
        <v>1</v>
      </c>
      <c r="F326" s="33">
        <f t="shared" si="256"/>
        <v>0</v>
      </c>
      <c r="G326" s="33">
        <f t="shared" si="256"/>
        <v>0</v>
      </c>
      <c r="H326" s="33">
        <f t="shared" si="256"/>
        <v>14</v>
      </c>
      <c r="I326" s="34">
        <f t="shared" si="256"/>
        <v>0</v>
      </c>
      <c r="J326" s="57">
        <f>SUM(B326:I326)</f>
        <v>26</v>
      </c>
      <c r="L326" s="32">
        <f t="shared" ref="L326:S329" si="257">SUM(B98+L98+V98+AF98)</f>
        <v>0</v>
      </c>
      <c r="M326" s="33">
        <f t="shared" si="257"/>
        <v>0</v>
      </c>
      <c r="N326" s="33">
        <f t="shared" si="257"/>
        <v>0</v>
      </c>
      <c r="O326" s="33">
        <f t="shared" si="257"/>
        <v>0</v>
      </c>
      <c r="P326" s="33">
        <f t="shared" si="257"/>
        <v>0</v>
      </c>
      <c r="Q326" s="33">
        <f t="shared" si="257"/>
        <v>0</v>
      </c>
      <c r="R326" s="33">
        <f t="shared" si="257"/>
        <v>0</v>
      </c>
      <c r="S326" s="34">
        <f t="shared" si="257"/>
        <v>0</v>
      </c>
      <c r="T326" s="57">
        <f>SUM(L326:S326)</f>
        <v>0</v>
      </c>
      <c r="V326" s="32">
        <f t="shared" ref="V326:AC329" si="258">SUM(B174+L174+V174+AF174)</f>
        <v>98</v>
      </c>
      <c r="W326" s="33">
        <f t="shared" si="258"/>
        <v>9</v>
      </c>
      <c r="X326" s="33">
        <f t="shared" si="258"/>
        <v>1</v>
      </c>
      <c r="Y326" s="33">
        <f t="shared" si="258"/>
        <v>0</v>
      </c>
      <c r="Z326" s="33">
        <f t="shared" si="258"/>
        <v>0</v>
      </c>
      <c r="AA326" s="33">
        <f t="shared" si="258"/>
        <v>1</v>
      </c>
      <c r="AB326" s="33">
        <f t="shared" si="258"/>
        <v>18</v>
      </c>
      <c r="AC326" s="34">
        <f t="shared" si="258"/>
        <v>0</v>
      </c>
      <c r="AD326" s="57">
        <f>SUM(V326:AC326)</f>
        <v>127</v>
      </c>
      <c r="AF326" s="32">
        <f t="shared" ref="AF326:AM329" si="259">SUM(B250+L250+V250+AF250)</f>
        <v>128</v>
      </c>
      <c r="AG326" s="33">
        <f t="shared" si="259"/>
        <v>20</v>
      </c>
      <c r="AH326" s="33">
        <f t="shared" si="259"/>
        <v>1</v>
      </c>
      <c r="AI326" s="33">
        <f t="shared" si="259"/>
        <v>1</v>
      </c>
      <c r="AJ326" s="33">
        <f t="shared" si="259"/>
        <v>2</v>
      </c>
      <c r="AK326" s="33">
        <f t="shared" si="259"/>
        <v>1</v>
      </c>
      <c r="AL326" s="33">
        <f t="shared" si="259"/>
        <v>54</v>
      </c>
      <c r="AM326" s="34">
        <f t="shared" si="259"/>
        <v>0</v>
      </c>
      <c r="AN326" s="57">
        <f>SUM(AF326:AM326)</f>
        <v>207</v>
      </c>
      <c r="AP326" s="57">
        <f>SUM(J326+T326+AD326+AN326)</f>
        <v>360</v>
      </c>
    </row>
    <row r="327" spans="1:42" ht="15.75" customHeight="1">
      <c r="A327" s="58">
        <v>0.38541666666666669</v>
      </c>
      <c r="B327" s="36">
        <f t="shared" si="256"/>
        <v>4</v>
      </c>
      <c r="C327" s="37">
        <f t="shared" si="256"/>
        <v>5</v>
      </c>
      <c r="D327" s="37">
        <f t="shared" si="256"/>
        <v>0</v>
      </c>
      <c r="E327" s="37">
        <f t="shared" si="256"/>
        <v>0</v>
      </c>
      <c r="F327" s="37">
        <f t="shared" si="256"/>
        <v>0</v>
      </c>
      <c r="G327" s="37">
        <f t="shared" si="256"/>
        <v>0</v>
      </c>
      <c r="H327" s="37">
        <f t="shared" si="256"/>
        <v>13</v>
      </c>
      <c r="I327" s="40">
        <f t="shared" si="256"/>
        <v>0</v>
      </c>
      <c r="J327" s="59">
        <f>SUM(B327:I327)</f>
        <v>22</v>
      </c>
      <c r="L327" s="36">
        <f t="shared" si="257"/>
        <v>0</v>
      </c>
      <c r="M327" s="37">
        <f t="shared" si="257"/>
        <v>0</v>
      </c>
      <c r="N327" s="37">
        <f t="shared" si="257"/>
        <v>0</v>
      </c>
      <c r="O327" s="37">
        <f t="shared" si="257"/>
        <v>0</v>
      </c>
      <c r="P327" s="37">
        <f t="shared" si="257"/>
        <v>0</v>
      </c>
      <c r="Q327" s="37">
        <f t="shared" si="257"/>
        <v>0</v>
      </c>
      <c r="R327" s="37">
        <f t="shared" si="257"/>
        <v>0</v>
      </c>
      <c r="S327" s="40">
        <f t="shared" si="257"/>
        <v>0</v>
      </c>
      <c r="T327" s="59">
        <f>SUM(L327:S327)</f>
        <v>0</v>
      </c>
      <c r="V327" s="36">
        <f t="shared" si="258"/>
        <v>109</v>
      </c>
      <c r="W327" s="37">
        <f t="shared" si="258"/>
        <v>4</v>
      </c>
      <c r="X327" s="37">
        <f t="shared" si="258"/>
        <v>1</v>
      </c>
      <c r="Y327" s="37">
        <f t="shared" si="258"/>
        <v>1</v>
      </c>
      <c r="Z327" s="37">
        <f t="shared" si="258"/>
        <v>2</v>
      </c>
      <c r="AA327" s="37">
        <f t="shared" si="258"/>
        <v>1</v>
      </c>
      <c r="AB327" s="37">
        <f t="shared" si="258"/>
        <v>16</v>
      </c>
      <c r="AC327" s="40">
        <f t="shared" si="258"/>
        <v>0</v>
      </c>
      <c r="AD327" s="59">
        <f>SUM(V327:AC327)</f>
        <v>134</v>
      </c>
      <c r="AF327" s="36">
        <f t="shared" si="259"/>
        <v>79</v>
      </c>
      <c r="AG327" s="37">
        <f t="shared" si="259"/>
        <v>17</v>
      </c>
      <c r="AH327" s="37">
        <f t="shared" si="259"/>
        <v>2</v>
      </c>
      <c r="AI327" s="37">
        <f t="shared" si="259"/>
        <v>1</v>
      </c>
      <c r="AJ327" s="37">
        <f t="shared" si="259"/>
        <v>0</v>
      </c>
      <c r="AK327" s="37">
        <f t="shared" si="259"/>
        <v>4</v>
      </c>
      <c r="AL327" s="37">
        <f t="shared" si="259"/>
        <v>49</v>
      </c>
      <c r="AM327" s="40">
        <f t="shared" si="259"/>
        <v>0</v>
      </c>
      <c r="AN327" s="59">
        <f>SUM(AF327:AM327)</f>
        <v>152</v>
      </c>
      <c r="AP327" s="59">
        <f>SUM(J327+T327+AD327+AN327)</f>
        <v>308</v>
      </c>
    </row>
    <row r="328" spans="1:42" ht="15.75" customHeight="1">
      <c r="A328" s="58">
        <v>0.39583333333333331</v>
      </c>
      <c r="B328" s="36">
        <f t="shared" si="256"/>
        <v>7</v>
      </c>
      <c r="C328" s="37">
        <f t="shared" si="256"/>
        <v>2</v>
      </c>
      <c r="D328" s="37">
        <f t="shared" si="256"/>
        <v>1</v>
      </c>
      <c r="E328" s="37">
        <f t="shared" si="256"/>
        <v>1</v>
      </c>
      <c r="F328" s="37">
        <f t="shared" si="256"/>
        <v>0</v>
      </c>
      <c r="G328" s="37">
        <f t="shared" si="256"/>
        <v>0</v>
      </c>
      <c r="H328" s="37">
        <f t="shared" si="256"/>
        <v>5</v>
      </c>
      <c r="I328" s="40">
        <f t="shared" si="256"/>
        <v>0</v>
      </c>
      <c r="J328" s="59">
        <f>SUM(B328:I328)</f>
        <v>16</v>
      </c>
      <c r="L328" s="36">
        <f t="shared" si="257"/>
        <v>0</v>
      </c>
      <c r="M328" s="37">
        <f t="shared" si="257"/>
        <v>0</v>
      </c>
      <c r="N328" s="37">
        <f t="shared" si="257"/>
        <v>0</v>
      </c>
      <c r="O328" s="37">
        <f t="shared" si="257"/>
        <v>0</v>
      </c>
      <c r="P328" s="37">
        <f t="shared" si="257"/>
        <v>0</v>
      </c>
      <c r="Q328" s="37">
        <f t="shared" si="257"/>
        <v>0</v>
      </c>
      <c r="R328" s="37">
        <f t="shared" si="257"/>
        <v>0</v>
      </c>
      <c r="S328" s="40">
        <f t="shared" si="257"/>
        <v>0</v>
      </c>
      <c r="T328" s="59">
        <f>SUM(L328:S328)</f>
        <v>0</v>
      </c>
      <c r="V328" s="36">
        <f t="shared" si="258"/>
        <v>80</v>
      </c>
      <c r="W328" s="37">
        <f t="shared" si="258"/>
        <v>12</v>
      </c>
      <c r="X328" s="37">
        <f t="shared" si="258"/>
        <v>0</v>
      </c>
      <c r="Y328" s="37">
        <f t="shared" si="258"/>
        <v>2</v>
      </c>
      <c r="Z328" s="37">
        <f t="shared" si="258"/>
        <v>1</v>
      </c>
      <c r="AA328" s="37">
        <f t="shared" si="258"/>
        <v>2</v>
      </c>
      <c r="AB328" s="37">
        <f t="shared" si="258"/>
        <v>8</v>
      </c>
      <c r="AC328" s="40">
        <f t="shared" si="258"/>
        <v>0</v>
      </c>
      <c r="AD328" s="59">
        <f>SUM(V328:AC328)</f>
        <v>105</v>
      </c>
      <c r="AF328" s="36">
        <f t="shared" si="259"/>
        <v>84</v>
      </c>
      <c r="AG328" s="37">
        <f t="shared" si="259"/>
        <v>11</v>
      </c>
      <c r="AH328" s="37">
        <f t="shared" si="259"/>
        <v>1</v>
      </c>
      <c r="AI328" s="37">
        <f t="shared" si="259"/>
        <v>0</v>
      </c>
      <c r="AJ328" s="37">
        <f t="shared" si="259"/>
        <v>2</v>
      </c>
      <c r="AK328" s="37">
        <f t="shared" si="259"/>
        <v>1</v>
      </c>
      <c r="AL328" s="37">
        <f t="shared" si="259"/>
        <v>28</v>
      </c>
      <c r="AM328" s="40">
        <f t="shared" si="259"/>
        <v>0</v>
      </c>
      <c r="AN328" s="59">
        <f>SUM(AF328:AM328)</f>
        <v>127</v>
      </c>
      <c r="AP328" s="59">
        <f>SUM(J328+T328+AD328+AN328)</f>
        <v>248</v>
      </c>
    </row>
    <row r="329" spans="1:42" ht="15.75" customHeight="1">
      <c r="A329" s="60">
        <v>0.40625</v>
      </c>
      <c r="B329" s="41">
        <f t="shared" si="256"/>
        <v>4</v>
      </c>
      <c r="C329" s="42">
        <f t="shared" si="256"/>
        <v>0</v>
      </c>
      <c r="D329" s="42">
        <f t="shared" si="256"/>
        <v>1</v>
      </c>
      <c r="E329" s="42">
        <f t="shared" si="256"/>
        <v>0</v>
      </c>
      <c r="F329" s="42">
        <f t="shared" si="256"/>
        <v>0</v>
      </c>
      <c r="G329" s="42">
        <f t="shared" si="256"/>
        <v>0</v>
      </c>
      <c r="H329" s="42">
        <f t="shared" si="256"/>
        <v>5</v>
      </c>
      <c r="I329" s="43">
        <f t="shared" si="256"/>
        <v>0</v>
      </c>
      <c r="J329" s="61">
        <f>SUM(B329:I329)</f>
        <v>10</v>
      </c>
      <c r="L329" s="41">
        <f t="shared" si="257"/>
        <v>0</v>
      </c>
      <c r="M329" s="42">
        <f t="shared" si="257"/>
        <v>0</v>
      </c>
      <c r="N329" s="42">
        <f t="shared" si="257"/>
        <v>0</v>
      </c>
      <c r="O329" s="42">
        <f t="shared" si="257"/>
        <v>0</v>
      </c>
      <c r="P329" s="42">
        <f t="shared" si="257"/>
        <v>0</v>
      </c>
      <c r="Q329" s="42">
        <f t="shared" si="257"/>
        <v>0</v>
      </c>
      <c r="R329" s="42">
        <f t="shared" si="257"/>
        <v>0</v>
      </c>
      <c r="S329" s="43">
        <f t="shared" si="257"/>
        <v>0</v>
      </c>
      <c r="T329" s="61">
        <f>SUM(L329:S329)</f>
        <v>0</v>
      </c>
      <c r="V329" s="41">
        <f t="shared" si="258"/>
        <v>73</v>
      </c>
      <c r="W329" s="42">
        <f t="shared" si="258"/>
        <v>7</v>
      </c>
      <c r="X329" s="42">
        <f t="shared" si="258"/>
        <v>3</v>
      </c>
      <c r="Y329" s="42">
        <f t="shared" si="258"/>
        <v>1</v>
      </c>
      <c r="Z329" s="42">
        <f t="shared" si="258"/>
        <v>2</v>
      </c>
      <c r="AA329" s="42">
        <f t="shared" si="258"/>
        <v>1</v>
      </c>
      <c r="AB329" s="42">
        <f t="shared" si="258"/>
        <v>10</v>
      </c>
      <c r="AC329" s="43">
        <f t="shared" si="258"/>
        <v>0</v>
      </c>
      <c r="AD329" s="61">
        <f>SUM(V329:AC329)</f>
        <v>97</v>
      </c>
      <c r="AF329" s="41">
        <f t="shared" si="259"/>
        <v>77</v>
      </c>
      <c r="AG329" s="42">
        <f t="shared" si="259"/>
        <v>9</v>
      </c>
      <c r="AH329" s="42">
        <f t="shared" si="259"/>
        <v>2</v>
      </c>
      <c r="AI329" s="42">
        <f t="shared" si="259"/>
        <v>0</v>
      </c>
      <c r="AJ329" s="42">
        <f t="shared" si="259"/>
        <v>2</v>
      </c>
      <c r="AK329" s="42">
        <f t="shared" si="259"/>
        <v>1</v>
      </c>
      <c r="AL329" s="42">
        <f t="shared" si="259"/>
        <v>22</v>
      </c>
      <c r="AM329" s="43">
        <f t="shared" si="259"/>
        <v>0</v>
      </c>
      <c r="AN329" s="61">
        <f>SUM(AF329:AM329)</f>
        <v>113</v>
      </c>
      <c r="AP329" s="61">
        <f>SUM(J329+T329+AD329+AN329)</f>
        <v>220</v>
      </c>
    </row>
    <row r="330" spans="1:42" ht="15.75" customHeight="1">
      <c r="A330" s="48" t="s">
        <v>29</v>
      </c>
      <c r="B330" s="45">
        <f t="shared" ref="B330:J330" si="260">SUM(B326:B329)</f>
        <v>25</v>
      </c>
      <c r="C330" s="46">
        <f t="shared" si="260"/>
        <v>7</v>
      </c>
      <c r="D330" s="46">
        <f t="shared" si="260"/>
        <v>3</v>
      </c>
      <c r="E330" s="46">
        <f t="shared" si="260"/>
        <v>2</v>
      </c>
      <c r="F330" s="46">
        <f t="shared" si="260"/>
        <v>0</v>
      </c>
      <c r="G330" s="46">
        <f t="shared" si="260"/>
        <v>0</v>
      </c>
      <c r="H330" s="46">
        <f t="shared" si="260"/>
        <v>37</v>
      </c>
      <c r="I330" s="47">
        <f t="shared" si="260"/>
        <v>0</v>
      </c>
      <c r="J330" s="48">
        <f t="shared" si="260"/>
        <v>74</v>
      </c>
      <c r="L330" s="45">
        <f t="shared" ref="L330:T330" si="261">SUM(L326:L329)</f>
        <v>0</v>
      </c>
      <c r="M330" s="46">
        <f t="shared" si="261"/>
        <v>0</v>
      </c>
      <c r="N330" s="46">
        <f t="shared" si="261"/>
        <v>0</v>
      </c>
      <c r="O330" s="46">
        <f t="shared" si="261"/>
        <v>0</v>
      </c>
      <c r="P330" s="46">
        <f t="shared" si="261"/>
        <v>0</v>
      </c>
      <c r="Q330" s="46">
        <f t="shared" si="261"/>
        <v>0</v>
      </c>
      <c r="R330" s="46">
        <f t="shared" si="261"/>
        <v>0</v>
      </c>
      <c r="S330" s="47">
        <f t="shared" si="261"/>
        <v>0</v>
      </c>
      <c r="T330" s="48">
        <f t="shared" si="261"/>
        <v>0</v>
      </c>
      <c r="V330" s="45">
        <f t="shared" ref="V330:AD330" si="262">SUM(V326:V329)</f>
        <v>360</v>
      </c>
      <c r="W330" s="46">
        <f t="shared" si="262"/>
        <v>32</v>
      </c>
      <c r="X330" s="46">
        <f t="shared" si="262"/>
        <v>5</v>
      </c>
      <c r="Y330" s="46">
        <f t="shared" si="262"/>
        <v>4</v>
      </c>
      <c r="Z330" s="46">
        <f t="shared" si="262"/>
        <v>5</v>
      </c>
      <c r="AA330" s="46">
        <f t="shared" si="262"/>
        <v>5</v>
      </c>
      <c r="AB330" s="46">
        <f t="shared" si="262"/>
        <v>52</v>
      </c>
      <c r="AC330" s="47">
        <f t="shared" si="262"/>
        <v>0</v>
      </c>
      <c r="AD330" s="48">
        <f t="shared" si="262"/>
        <v>463</v>
      </c>
      <c r="AF330" s="45">
        <f t="shared" ref="AF330:AN330" si="263">SUM(AF326:AF329)</f>
        <v>368</v>
      </c>
      <c r="AG330" s="46">
        <f t="shared" si="263"/>
        <v>57</v>
      </c>
      <c r="AH330" s="46">
        <f t="shared" si="263"/>
        <v>6</v>
      </c>
      <c r="AI330" s="46">
        <f t="shared" si="263"/>
        <v>2</v>
      </c>
      <c r="AJ330" s="46">
        <f t="shared" si="263"/>
        <v>6</v>
      </c>
      <c r="AK330" s="46">
        <f t="shared" si="263"/>
        <v>7</v>
      </c>
      <c r="AL330" s="46">
        <f t="shared" si="263"/>
        <v>153</v>
      </c>
      <c r="AM330" s="47">
        <f t="shared" si="263"/>
        <v>0</v>
      </c>
      <c r="AN330" s="48">
        <f t="shared" si="263"/>
        <v>599</v>
      </c>
      <c r="AP330" s="48">
        <f>SUM(AP326:AP329)</f>
        <v>1136</v>
      </c>
    </row>
    <row r="331" spans="1:42" ht="15.75" customHeight="1">
      <c r="A331" s="56">
        <v>0.41666666666666669</v>
      </c>
      <c r="B331" s="32">
        <f t="shared" ref="B331:I334" si="264">SUM(B27+L27+V27+AF27)</f>
        <v>16</v>
      </c>
      <c r="C331" s="33">
        <f t="shared" si="264"/>
        <v>5</v>
      </c>
      <c r="D331" s="33">
        <f t="shared" si="264"/>
        <v>0</v>
      </c>
      <c r="E331" s="33">
        <f t="shared" si="264"/>
        <v>0</v>
      </c>
      <c r="F331" s="33">
        <f t="shared" si="264"/>
        <v>0</v>
      </c>
      <c r="G331" s="33">
        <f t="shared" si="264"/>
        <v>0</v>
      </c>
      <c r="H331" s="33">
        <f t="shared" si="264"/>
        <v>3</v>
      </c>
      <c r="I331" s="34">
        <f t="shared" si="264"/>
        <v>0</v>
      </c>
      <c r="J331" s="57">
        <f>SUM(B331:I331)</f>
        <v>24</v>
      </c>
      <c r="L331" s="32">
        <f t="shared" ref="L331:S334" si="265">SUM(B103+L103+V103+AF103)</f>
        <v>0</v>
      </c>
      <c r="M331" s="33">
        <f t="shared" si="265"/>
        <v>0</v>
      </c>
      <c r="N331" s="33">
        <f t="shared" si="265"/>
        <v>0</v>
      </c>
      <c r="O331" s="33">
        <f t="shared" si="265"/>
        <v>0</v>
      </c>
      <c r="P331" s="33">
        <f t="shared" si="265"/>
        <v>0</v>
      </c>
      <c r="Q331" s="33">
        <f t="shared" si="265"/>
        <v>0</v>
      </c>
      <c r="R331" s="33">
        <f t="shared" si="265"/>
        <v>0</v>
      </c>
      <c r="S331" s="34">
        <f t="shared" si="265"/>
        <v>0</v>
      </c>
      <c r="T331" s="57">
        <f>SUM(L331:S331)</f>
        <v>0</v>
      </c>
      <c r="V331" s="32">
        <f t="shared" ref="V331:AC334" si="266">SUM(B179+L179+V179+AF179)</f>
        <v>50</v>
      </c>
      <c r="W331" s="33">
        <f t="shared" si="266"/>
        <v>13</v>
      </c>
      <c r="X331" s="33">
        <f t="shared" si="266"/>
        <v>3</v>
      </c>
      <c r="Y331" s="33">
        <f t="shared" si="266"/>
        <v>0</v>
      </c>
      <c r="Z331" s="33">
        <f t="shared" si="266"/>
        <v>0</v>
      </c>
      <c r="AA331" s="33">
        <f t="shared" si="266"/>
        <v>1</v>
      </c>
      <c r="AB331" s="33">
        <f t="shared" si="266"/>
        <v>4</v>
      </c>
      <c r="AC331" s="34">
        <f t="shared" si="266"/>
        <v>0</v>
      </c>
      <c r="AD331" s="57">
        <f>SUM(V331:AC331)</f>
        <v>71</v>
      </c>
      <c r="AF331" s="32">
        <f t="shared" ref="AF331:AM334" si="267">SUM(B255+L255+V255+AF255)</f>
        <v>61</v>
      </c>
      <c r="AG331" s="33">
        <f t="shared" si="267"/>
        <v>16</v>
      </c>
      <c r="AH331" s="33">
        <f t="shared" si="267"/>
        <v>1</v>
      </c>
      <c r="AI331" s="33">
        <f t="shared" si="267"/>
        <v>0</v>
      </c>
      <c r="AJ331" s="33">
        <f t="shared" si="267"/>
        <v>3</v>
      </c>
      <c r="AK331" s="33">
        <f t="shared" si="267"/>
        <v>3</v>
      </c>
      <c r="AL331" s="33">
        <f t="shared" si="267"/>
        <v>15</v>
      </c>
      <c r="AM331" s="34">
        <f t="shared" si="267"/>
        <v>0</v>
      </c>
      <c r="AN331" s="57">
        <f>SUM(AF331:AM331)</f>
        <v>99</v>
      </c>
      <c r="AP331" s="57">
        <f>SUM(J331+T331+AD331+AN331)</f>
        <v>194</v>
      </c>
    </row>
    <row r="332" spans="1:42" ht="15.75" customHeight="1">
      <c r="A332" s="58">
        <v>0.42708333333333331</v>
      </c>
      <c r="B332" s="36">
        <f t="shared" si="264"/>
        <v>12</v>
      </c>
      <c r="C332" s="37">
        <f t="shared" si="264"/>
        <v>3</v>
      </c>
      <c r="D332" s="37">
        <f t="shared" si="264"/>
        <v>0</v>
      </c>
      <c r="E332" s="37">
        <f t="shared" si="264"/>
        <v>0</v>
      </c>
      <c r="F332" s="37">
        <f t="shared" si="264"/>
        <v>0</v>
      </c>
      <c r="G332" s="37">
        <f t="shared" si="264"/>
        <v>0</v>
      </c>
      <c r="H332" s="37">
        <f t="shared" si="264"/>
        <v>3</v>
      </c>
      <c r="I332" s="40">
        <f t="shared" si="264"/>
        <v>0</v>
      </c>
      <c r="J332" s="59">
        <f>SUM(B332:I332)</f>
        <v>18</v>
      </c>
      <c r="L332" s="36">
        <f t="shared" si="265"/>
        <v>0</v>
      </c>
      <c r="M332" s="37">
        <f t="shared" si="265"/>
        <v>0</v>
      </c>
      <c r="N332" s="37">
        <f t="shared" si="265"/>
        <v>0</v>
      </c>
      <c r="O332" s="37">
        <f t="shared" si="265"/>
        <v>0</v>
      </c>
      <c r="P332" s="37">
        <f t="shared" si="265"/>
        <v>0</v>
      </c>
      <c r="Q332" s="37">
        <f t="shared" si="265"/>
        <v>0</v>
      </c>
      <c r="R332" s="37">
        <f t="shared" si="265"/>
        <v>0</v>
      </c>
      <c r="S332" s="40">
        <f t="shared" si="265"/>
        <v>0</v>
      </c>
      <c r="T332" s="59">
        <f>SUM(L332:S332)</f>
        <v>0</v>
      </c>
      <c r="V332" s="36">
        <f t="shared" si="266"/>
        <v>51</v>
      </c>
      <c r="W332" s="37">
        <f t="shared" si="266"/>
        <v>9</v>
      </c>
      <c r="X332" s="37">
        <f t="shared" si="266"/>
        <v>0</v>
      </c>
      <c r="Y332" s="37">
        <f t="shared" si="266"/>
        <v>0</v>
      </c>
      <c r="Z332" s="37">
        <f t="shared" si="266"/>
        <v>1</v>
      </c>
      <c r="AA332" s="37">
        <f t="shared" si="266"/>
        <v>1</v>
      </c>
      <c r="AB332" s="37">
        <f t="shared" si="266"/>
        <v>5</v>
      </c>
      <c r="AC332" s="40">
        <f t="shared" si="266"/>
        <v>0</v>
      </c>
      <c r="AD332" s="59">
        <f>SUM(V332:AC332)</f>
        <v>67</v>
      </c>
      <c r="AF332" s="36">
        <f t="shared" si="267"/>
        <v>54</v>
      </c>
      <c r="AG332" s="37">
        <f t="shared" si="267"/>
        <v>13</v>
      </c>
      <c r="AH332" s="37">
        <f t="shared" si="267"/>
        <v>1</v>
      </c>
      <c r="AI332" s="37">
        <f t="shared" si="267"/>
        <v>0</v>
      </c>
      <c r="AJ332" s="37">
        <f t="shared" si="267"/>
        <v>2</v>
      </c>
      <c r="AK332" s="37">
        <f t="shared" si="267"/>
        <v>0</v>
      </c>
      <c r="AL332" s="37">
        <f t="shared" si="267"/>
        <v>18</v>
      </c>
      <c r="AM332" s="40">
        <f t="shared" si="267"/>
        <v>0</v>
      </c>
      <c r="AN332" s="59">
        <f>SUM(AF332:AM332)</f>
        <v>88</v>
      </c>
      <c r="AP332" s="59">
        <f>SUM(J332+T332+AD332+AN332)</f>
        <v>173</v>
      </c>
    </row>
    <row r="333" spans="1:42" ht="15.75" customHeight="1">
      <c r="A333" s="58">
        <v>0.4375</v>
      </c>
      <c r="B333" s="36">
        <f t="shared" si="264"/>
        <v>2</v>
      </c>
      <c r="C333" s="37">
        <f t="shared" si="264"/>
        <v>6</v>
      </c>
      <c r="D333" s="37">
        <f t="shared" si="264"/>
        <v>0</v>
      </c>
      <c r="E333" s="37">
        <f t="shared" si="264"/>
        <v>0</v>
      </c>
      <c r="F333" s="37">
        <f t="shared" si="264"/>
        <v>0</v>
      </c>
      <c r="G333" s="37">
        <f t="shared" si="264"/>
        <v>0</v>
      </c>
      <c r="H333" s="37">
        <f t="shared" si="264"/>
        <v>5</v>
      </c>
      <c r="I333" s="40">
        <f t="shared" si="264"/>
        <v>0</v>
      </c>
      <c r="J333" s="59">
        <f>SUM(B333:I333)</f>
        <v>13</v>
      </c>
      <c r="L333" s="36">
        <f t="shared" si="265"/>
        <v>0</v>
      </c>
      <c r="M333" s="37">
        <f t="shared" si="265"/>
        <v>0</v>
      </c>
      <c r="N333" s="37">
        <f t="shared" si="265"/>
        <v>0</v>
      </c>
      <c r="O333" s="37">
        <f t="shared" si="265"/>
        <v>0</v>
      </c>
      <c r="P333" s="37">
        <f t="shared" si="265"/>
        <v>0</v>
      </c>
      <c r="Q333" s="37">
        <f t="shared" si="265"/>
        <v>0</v>
      </c>
      <c r="R333" s="37">
        <f t="shared" si="265"/>
        <v>0</v>
      </c>
      <c r="S333" s="40">
        <f t="shared" si="265"/>
        <v>0</v>
      </c>
      <c r="T333" s="59">
        <f>SUM(L333:S333)</f>
        <v>0</v>
      </c>
      <c r="V333" s="36">
        <f t="shared" si="266"/>
        <v>57</v>
      </c>
      <c r="W333" s="37">
        <f t="shared" si="266"/>
        <v>12</v>
      </c>
      <c r="X333" s="37">
        <f t="shared" si="266"/>
        <v>2</v>
      </c>
      <c r="Y333" s="37">
        <f t="shared" si="266"/>
        <v>3</v>
      </c>
      <c r="Z333" s="37">
        <f t="shared" si="266"/>
        <v>0</v>
      </c>
      <c r="AA333" s="37">
        <f t="shared" si="266"/>
        <v>0</v>
      </c>
      <c r="AB333" s="37">
        <f t="shared" si="266"/>
        <v>6</v>
      </c>
      <c r="AC333" s="40">
        <f t="shared" si="266"/>
        <v>0</v>
      </c>
      <c r="AD333" s="59">
        <f>SUM(V333:AC333)</f>
        <v>80</v>
      </c>
      <c r="AF333" s="36">
        <f t="shared" si="267"/>
        <v>62</v>
      </c>
      <c r="AG333" s="37">
        <f t="shared" si="267"/>
        <v>12</v>
      </c>
      <c r="AH333" s="37">
        <f t="shared" si="267"/>
        <v>1</v>
      </c>
      <c r="AI333" s="37">
        <f t="shared" si="267"/>
        <v>0</v>
      </c>
      <c r="AJ333" s="37">
        <f t="shared" si="267"/>
        <v>0</v>
      </c>
      <c r="AK333" s="37">
        <f t="shared" si="267"/>
        <v>0</v>
      </c>
      <c r="AL333" s="37">
        <f t="shared" si="267"/>
        <v>14</v>
      </c>
      <c r="AM333" s="40">
        <f t="shared" si="267"/>
        <v>0</v>
      </c>
      <c r="AN333" s="59">
        <f>SUM(AF333:AM333)</f>
        <v>89</v>
      </c>
      <c r="AP333" s="59">
        <f>SUM(J333+T333+AD333+AN333)</f>
        <v>182</v>
      </c>
    </row>
    <row r="334" spans="1:42" ht="15.75" customHeight="1">
      <c r="A334" s="60">
        <v>0.44791666666666669</v>
      </c>
      <c r="B334" s="41">
        <f t="shared" si="264"/>
        <v>8</v>
      </c>
      <c r="C334" s="42">
        <f t="shared" si="264"/>
        <v>5</v>
      </c>
      <c r="D334" s="42">
        <f t="shared" si="264"/>
        <v>1</v>
      </c>
      <c r="E334" s="42">
        <f t="shared" si="264"/>
        <v>0</v>
      </c>
      <c r="F334" s="42">
        <f t="shared" si="264"/>
        <v>0</v>
      </c>
      <c r="G334" s="42">
        <f t="shared" si="264"/>
        <v>0</v>
      </c>
      <c r="H334" s="42">
        <f t="shared" si="264"/>
        <v>4</v>
      </c>
      <c r="I334" s="43">
        <f t="shared" si="264"/>
        <v>0</v>
      </c>
      <c r="J334" s="61">
        <f>SUM(B334:I334)</f>
        <v>18</v>
      </c>
      <c r="L334" s="41">
        <f t="shared" si="265"/>
        <v>0</v>
      </c>
      <c r="M334" s="42">
        <f t="shared" si="265"/>
        <v>0</v>
      </c>
      <c r="N334" s="42">
        <f t="shared" si="265"/>
        <v>0</v>
      </c>
      <c r="O334" s="42">
        <f t="shared" si="265"/>
        <v>0</v>
      </c>
      <c r="P334" s="42">
        <f t="shared" si="265"/>
        <v>0</v>
      </c>
      <c r="Q334" s="42">
        <f t="shared" si="265"/>
        <v>0</v>
      </c>
      <c r="R334" s="42">
        <f t="shared" si="265"/>
        <v>0</v>
      </c>
      <c r="S334" s="43">
        <f t="shared" si="265"/>
        <v>0</v>
      </c>
      <c r="T334" s="61">
        <f>SUM(L334:S334)</f>
        <v>0</v>
      </c>
      <c r="V334" s="41">
        <f t="shared" si="266"/>
        <v>52</v>
      </c>
      <c r="W334" s="42">
        <f t="shared" si="266"/>
        <v>18</v>
      </c>
      <c r="X334" s="42">
        <f t="shared" si="266"/>
        <v>2</v>
      </c>
      <c r="Y334" s="42">
        <f t="shared" si="266"/>
        <v>0</v>
      </c>
      <c r="Z334" s="42">
        <f t="shared" si="266"/>
        <v>2</v>
      </c>
      <c r="AA334" s="42">
        <f t="shared" si="266"/>
        <v>0</v>
      </c>
      <c r="AB334" s="42">
        <f t="shared" si="266"/>
        <v>2</v>
      </c>
      <c r="AC334" s="43">
        <f t="shared" si="266"/>
        <v>0</v>
      </c>
      <c r="AD334" s="61">
        <f>SUM(V334:AC334)</f>
        <v>76</v>
      </c>
      <c r="AF334" s="41">
        <f t="shared" si="267"/>
        <v>66</v>
      </c>
      <c r="AG334" s="42">
        <f t="shared" si="267"/>
        <v>9</v>
      </c>
      <c r="AH334" s="42">
        <f t="shared" si="267"/>
        <v>2</v>
      </c>
      <c r="AI334" s="42">
        <f t="shared" si="267"/>
        <v>0</v>
      </c>
      <c r="AJ334" s="42">
        <f t="shared" si="267"/>
        <v>1</v>
      </c>
      <c r="AK334" s="42">
        <f t="shared" si="267"/>
        <v>2</v>
      </c>
      <c r="AL334" s="42">
        <f t="shared" si="267"/>
        <v>11</v>
      </c>
      <c r="AM334" s="43">
        <f t="shared" si="267"/>
        <v>0</v>
      </c>
      <c r="AN334" s="61">
        <f>SUM(AF334:AM334)</f>
        <v>91</v>
      </c>
      <c r="AP334" s="61">
        <f>SUM(J334+T334+AD334+AN334)</f>
        <v>185</v>
      </c>
    </row>
    <row r="335" spans="1:42" ht="15.75" customHeight="1">
      <c r="A335" s="48" t="s">
        <v>29</v>
      </c>
      <c r="B335" s="45">
        <f t="shared" ref="B335:J335" si="268">SUM(B331:B334)</f>
        <v>38</v>
      </c>
      <c r="C335" s="46">
        <f t="shared" si="268"/>
        <v>19</v>
      </c>
      <c r="D335" s="46">
        <f t="shared" si="268"/>
        <v>1</v>
      </c>
      <c r="E335" s="46">
        <f t="shared" si="268"/>
        <v>0</v>
      </c>
      <c r="F335" s="46">
        <f t="shared" si="268"/>
        <v>0</v>
      </c>
      <c r="G335" s="46">
        <f t="shared" si="268"/>
        <v>0</v>
      </c>
      <c r="H335" s="46">
        <f t="shared" si="268"/>
        <v>15</v>
      </c>
      <c r="I335" s="47">
        <f t="shared" si="268"/>
        <v>0</v>
      </c>
      <c r="J335" s="48">
        <f t="shared" si="268"/>
        <v>73</v>
      </c>
      <c r="L335" s="45">
        <f t="shared" ref="L335:T335" si="269">SUM(L331:L334)</f>
        <v>0</v>
      </c>
      <c r="M335" s="46">
        <f t="shared" si="269"/>
        <v>0</v>
      </c>
      <c r="N335" s="46">
        <f t="shared" si="269"/>
        <v>0</v>
      </c>
      <c r="O335" s="46">
        <f t="shared" si="269"/>
        <v>0</v>
      </c>
      <c r="P335" s="46">
        <f t="shared" si="269"/>
        <v>0</v>
      </c>
      <c r="Q335" s="46">
        <f t="shared" si="269"/>
        <v>0</v>
      </c>
      <c r="R335" s="46">
        <f t="shared" si="269"/>
        <v>0</v>
      </c>
      <c r="S335" s="47">
        <f t="shared" si="269"/>
        <v>0</v>
      </c>
      <c r="T335" s="48">
        <f t="shared" si="269"/>
        <v>0</v>
      </c>
      <c r="V335" s="45">
        <f t="shared" ref="V335:AD335" si="270">SUM(V331:V334)</f>
        <v>210</v>
      </c>
      <c r="W335" s="46">
        <f t="shared" si="270"/>
        <v>52</v>
      </c>
      <c r="X335" s="46">
        <f t="shared" si="270"/>
        <v>7</v>
      </c>
      <c r="Y335" s="46">
        <f t="shared" si="270"/>
        <v>3</v>
      </c>
      <c r="Z335" s="46">
        <f t="shared" si="270"/>
        <v>3</v>
      </c>
      <c r="AA335" s="46">
        <f t="shared" si="270"/>
        <v>2</v>
      </c>
      <c r="AB335" s="46">
        <f t="shared" si="270"/>
        <v>17</v>
      </c>
      <c r="AC335" s="47">
        <f t="shared" si="270"/>
        <v>0</v>
      </c>
      <c r="AD335" s="48">
        <f t="shared" si="270"/>
        <v>294</v>
      </c>
      <c r="AF335" s="45">
        <f t="shared" ref="AF335:AN335" si="271">SUM(AF331:AF334)</f>
        <v>243</v>
      </c>
      <c r="AG335" s="46">
        <f t="shared" si="271"/>
        <v>50</v>
      </c>
      <c r="AH335" s="46">
        <f t="shared" si="271"/>
        <v>5</v>
      </c>
      <c r="AI335" s="46">
        <f t="shared" si="271"/>
        <v>0</v>
      </c>
      <c r="AJ335" s="46">
        <f t="shared" si="271"/>
        <v>6</v>
      </c>
      <c r="AK335" s="46">
        <f t="shared" si="271"/>
        <v>5</v>
      </c>
      <c r="AL335" s="46">
        <f t="shared" si="271"/>
        <v>58</v>
      </c>
      <c r="AM335" s="47">
        <f t="shared" si="271"/>
        <v>0</v>
      </c>
      <c r="AN335" s="48">
        <f t="shared" si="271"/>
        <v>367</v>
      </c>
      <c r="AP335" s="48">
        <f>SUM(AP331:AP334)</f>
        <v>734</v>
      </c>
    </row>
    <row r="336" spans="1:42" ht="15.75" customHeight="1">
      <c r="A336" s="56">
        <v>0.45833333333333331</v>
      </c>
      <c r="B336" s="32">
        <f t="shared" ref="B336:I339" si="272">SUM(B32+L32+V32+AF32)</f>
        <v>12</v>
      </c>
      <c r="C336" s="33">
        <f t="shared" si="272"/>
        <v>0</v>
      </c>
      <c r="D336" s="33">
        <f t="shared" si="272"/>
        <v>1</v>
      </c>
      <c r="E336" s="33">
        <f t="shared" si="272"/>
        <v>0</v>
      </c>
      <c r="F336" s="33">
        <f t="shared" si="272"/>
        <v>0</v>
      </c>
      <c r="G336" s="33">
        <f t="shared" si="272"/>
        <v>0</v>
      </c>
      <c r="H336" s="33">
        <f t="shared" si="272"/>
        <v>8</v>
      </c>
      <c r="I336" s="34">
        <f t="shared" si="272"/>
        <v>0</v>
      </c>
      <c r="J336" s="57">
        <f>SUM(B336:I336)</f>
        <v>21</v>
      </c>
      <c r="L336" s="32">
        <f t="shared" ref="L336:S339" si="273">SUM(B108+L108+V108+AF108)</f>
        <v>0</v>
      </c>
      <c r="M336" s="33">
        <f t="shared" si="273"/>
        <v>0</v>
      </c>
      <c r="N336" s="33">
        <f t="shared" si="273"/>
        <v>0</v>
      </c>
      <c r="O336" s="33">
        <f t="shared" si="273"/>
        <v>0</v>
      </c>
      <c r="P336" s="33">
        <f t="shared" si="273"/>
        <v>0</v>
      </c>
      <c r="Q336" s="33">
        <f t="shared" si="273"/>
        <v>0</v>
      </c>
      <c r="R336" s="33">
        <f t="shared" si="273"/>
        <v>0</v>
      </c>
      <c r="S336" s="34">
        <f t="shared" si="273"/>
        <v>0</v>
      </c>
      <c r="T336" s="57">
        <f>SUM(L336:S336)</f>
        <v>0</v>
      </c>
      <c r="V336" s="32">
        <f t="shared" ref="V336:AC339" si="274">SUM(B184+L184+V184+AF184)</f>
        <v>64</v>
      </c>
      <c r="W336" s="33">
        <f t="shared" si="274"/>
        <v>11</v>
      </c>
      <c r="X336" s="33">
        <f t="shared" si="274"/>
        <v>3</v>
      </c>
      <c r="Y336" s="33">
        <f t="shared" si="274"/>
        <v>3</v>
      </c>
      <c r="Z336" s="33">
        <f t="shared" si="274"/>
        <v>0</v>
      </c>
      <c r="AA336" s="33">
        <f t="shared" si="274"/>
        <v>0</v>
      </c>
      <c r="AB336" s="33">
        <f t="shared" si="274"/>
        <v>5</v>
      </c>
      <c r="AC336" s="34">
        <f t="shared" si="274"/>
        <v>0</v>
      </c>
      <c r="AD336" s="57">
        <f>SUM(V336:AC336)</f>
        <v>86</v>
      </c>
      <c r="AF336" s="32">
        <f t="shared" ref="AF336:AM339" si="275">SUM(B260+L260+V260+AF260)</f>
        <v>67</v>
      </c>
      <c r="AG336" s="33">
        <f t="shared" si="275"/>
        <v>23</v>
      </c>
      <c r="AH336" s="33">
        <f t="shared" si="275"/>
        <v>2</v>
      </c>
      <c r="AI336" s="33">
        <f t="shared" si="275"/>
        <v>0</v>
      </c>
      <c r="AJ336" s="33">
        <f t="shared" si="275"/>
        <v>2</v>
      </c>
      <c r="AK336" s="33">
        <f t="shared" si="275"/>
        <v>1</v>
      </c>
      <c r="AL336" s="33">
        <f t="shared" si="275"/>
        <v>10</v>
      </c>
      <c r="AM336" s="34">
        <f t="shared" si="275"/>
        <v>0</v>
      </c>
      <c r="AN336" s="57">
        <f>SUM(AF336:AM336)</f>
        <v>105</v>
      </c>
      <c r="AP336" s="57">
        <f>SUM(J336+T336+AD336+AN336)</f>
        <v>212</v>
      </c>
    </row>
    <row r="337" spans="1:42" ht="15.75" customHeight="1">
      <c r="A337" s="58">
        <v>0.46875</v>
      </c>
      <c r="B337" s="36">
        <f t="shared" si="272"/>
        <v>12</v>
      </c>
      <c r="C337" s="37">
        <f t="shared" si="272"/>
        <v>1</v>
      </c>
      <c r="D337" s="37">
        <f t="shared" si="272"/>
        <v>1</v>
      </c>
      <c r="E337" s="37">
        <f t="shared" si="272"/>
        <v>0</v>
      </c>
      <c r="F337" s="37">
        <f t="shared" si="272"/>
        <v>0</v>
      </c>
      <c r="G337" s="37">
        <f t="shared" si="272"/>
        <v>0</v>
      </c>
      <c r="H337" s="37">
        <f t="shared" si="272"/>
        <v>11</v>
      </c>
      <c r="I337" s="40">
        <f t="shared" si="272"/>
        <v>0</v>
      </c>
      <c r="J337" s="59">
        <f>SUM(B337:I337)</f>
        <v>25</v>
      </c>
      <c r="L337" s="36">
        <f t="shared" si="273"/>
        <v>0</v>
      </c>
      <c r="M337" s="37">
        <f t="shared" si="273"/>
        <v>0</v>
      </c>
      <c r="N337" s="37">
        <f t="shared" si="273"/>
        <v>0</v>
      </c>
      <c r="O337" s="37">
        <f t="shared" si="273"/>
        <v>0</v>
      </c>
      <c r="P337" s="37">
        <f t="shared" si="273"/>
        <v>0</v>
      </c>
      <c r="Q337" s="37">
        <f t="shared" si="273"/>
        <v>0</v>
      </c>
      <c r="R337" s="37">
        <f t="shared" si="273"/>
        <v>0</v>
      </c>
      <c r="S337" s="40">
        <f t="shared" si="273"/>
        <v>0</v>
      </c>
      <c r="T337" s="59">
        <f>SUM(L337:S337)</f>
        <v>0</v>
      </c>
      <c r="V337" s="36">
        <f t="shared" si="274"/>
        <v>49</v>
      </c>
      <c r="W337" s="37">
        <f t="shared" si="274"/>
        <v>5</v>
      </c>
      <c r="X337" s="37">
        <f t="shared" si="274"/>
        <v>1</v>
      </c>
      <c r="Y337" s="37">
        <f t="shared" si="274"/>
        <v>0</v>
      </c>
      <c r="Z337" s="37">
        <f t="shared" si="274"/>
        <v>2</v>
      </c>
      <c r="AA337" s="37">
        <f t="shared" si="274"/>
        <v>0</v>
      </c>
      <c r="AB337" s="37">
        <f t="shared" si="274"/>
        <v>1</v>
      </c>
      <c r="AC337" s="40">
        <f t="shared" si="274"/>
        <v>0</v>
      </c>
      <c r="AD337" s="59">
        <f>SUM(V337:AC337)</f>
        <v>58</v>
      </c>
      <c r="AF337" s="36">
        <f t="shared" si="275"/>
        <v>65</v>
      </c>
      <c r="AG337" s="37">
        <f t="shared" si="275"/>
        <v>16</v>
      </c>
      <c r="AH337" s="37">
        <f t="shared" si="275"/>
        <v>2</v>
      </c>
      <c r="AI337" s="37">
        <f t="shared" si="275"/>
        <v>1</v>
      </c>
      <c r="AJ337" s="37">
        <f t="shared" si="275"/>
        <v>1</v>
      </c>
      <c r="AK337" s="37">
        <f t="shared" si="275"/>
        <v>0</v>
      </c>
      <c r="AL337" s="37">
        <f t="shared" si="275"/>
        <v>7</v>
      </c>
      <c r="AM337" s="40">
        <f t="shared" si="275"/>
        <v>0</v>
      </c>
      <c r="AN337" s="59">
        <f>SUM(AF337:AM337)</f>
        <v>92</v>
      </c>
      <c r="AP337" s="59">
        <f>SUM(J337+T337+AD337+AN337)</f>
        <v>175</v>
      </c>
    </row>
    <row r="338" spans="1:42" ht="15.75" customHeight="1">
      <c r="A338" s="58">
        <v>0.47916666666666669</v>
      </c>
      <c r="B338" s="36">
        <f t="shared" si="272"/>
        <v>9</v>
      </c>
      <c r="C338" s="37">
        <f t="shared" si="272"/>
        <v>4</v>
      </c>
      <c r="D338" s="37">
        <f t="shared" si="272"/>
        <v>0</v>
      </c>
      <c r="E338" s="37">
        <f t="shared" si="272"/>
        <v>0</v>
      </c>
      <c r="F338" s="37">
        <f t="shared" si="272"/>
        <v>0</v>
      </c>
      <c r="G338" s="37">
        <f t="shared" si="272"/>
        <v>0</v>
      </c>
      <c r="H338" s="37">
        <f t="shared" si="272"/>
        <v>6</v>
      </c>
      <c r="I338" s="40">
        <f t="shared" si="272"/>
        <v>1</v>
      </c>
      <c r="J338" s="59">
        <f>SUM(B338:I338)</f>
        <v>20</v>
      </c>
      <c r="L338" s="36">
        <f t="shared" si="273"/>
        <v>0</v>
      </c>
      <c r="M338" s="37">
        <f t="shared" si="273"/>
        <v>0</v>
      </c>
      <c r="N338" s="37">
        <f t="shared" si="273"/>
        <v>0</v>
      </c>
      <c r="O338" s="37">
        <f t="shared" si="273"/>
        <v>0</v>
      </c>
      <c r="P338" s="37">
        <f t="shared" si="273"/>
        <v>0</v>
      </c>
      <c r="Q338" s="37">
        <f t="shared" si="273"/>
        <v>0</v>
      </c>
      <c r="R338" s="37">
        <f t="shared" si="273"/>
        <v>0</v>
      </c>
      <c r="S338" s="40">
        <f t="shared" si="273"/>
        <v>0</v>
      </c>
      <c r="T338" s="59">
        <f>SUM(L338:S338)</f>
        <v>0</v>
      </c>
      <c r="V338" s="36">
        <f t="shared" si="274"/>
        <v>56</v>
      </c>
      <c r="W338" s="37">
        <f t="shared" si="274"/>
        <v>8</v>
      </c>
      <c r="X338" s="37">
        <f t="shared" si="274"/>
        <v>3</v>
      </c>
      <c r="Y338" s="37">
        <f t="shared" si="274"/>
        <v>0</v>
      </c>
      <c r="Z338" s="37">
        <f t="shared" si="274"/>
        <v>2</v>
      </c>
      <c r="AA338" s="37">
        <f t="shared" si="274"/>
        <v>2</v>
      </c>
      <c r="AB338" s="37">
        <f t="shared" si="274"/>
        <v>2</v>
      </c>
      <c r="AC338" s="40">
        <f t="shared" si="274"/>
        <v>0</v>
      </c>
      <c r="AD338" s="59">
        <f>SUM(V338:AC338)</f>
        <v>73</v>
      </c>
      <c r="AF338" s="36">
        <f t="shared" si="275"/>
        <v>47</v>
      </c>
      <c r="AG338" s="37">
        <f t="shared" si="275"/>
        <v>15</v>
      </c>
      <c r="AH338" s="37">
        <f t="shared" si="275"/>
        <v>4</v>
      </c>
      <c r="AI338" s="37">
        <f t="shared" si="275"/>
        <v>0</v>
      </c>
      <c r="AJ338" s="37">
        <f t="shared" si="275"/>
        <v>2</v>
      </c>
      <c r="AK338" s="37">
        <f t="shared" si="275"/>
        <v>4</v>
      </c>
      <c r="AL338" s="37">
        <f t="shared" si="275"/>
        <v>9</v>
      </c>
      <c r="AM338" s="40">
        <f t="shared" si="275"/>
        <v>0</v>
      </c>
      <c r="AN338" s="59">
        <f>SUM(AF338:AM338)</f>
        <v>81</v>
      </c>
      <c r="AP338" s="59">
        <f>SUM(J338+T338+AD338+AN338)</f>
        <v>174</v>
      </c>
    </row>
    <row r="339" spans="1:42" ht="15.75" customHeight="1">
      <c r="A339" s="60">
        <v>0.48958333333333331</v>
      </c>
      <c r="B339" s="41">
        <f t="shared" si="272"/>
        <v>9</v>
      </c>
      <c r="C339" s="42">
        <f t="shared" si="272"/>
        <v>3</v>
      </c>
      <c r="D339" s="42">
        <f t="shared" si="272"/>
        <v>1</v>
      </c>
      <c r="E339" s="42">
        <f t="shared" si="272"/>
        <v>0</v>
      </c>
      <c r="F339" s="42">
        <f t="shared" si="272"/>
        <v>0</v>
      </c>
      <c r="G339" s="42">
        <f t="shared" si="272"/>
        <v>0</v>
      </c>
      <c r="H339" s="42">
        <f t="shared" si="272"/>
        <v>6</v>
      </c>
      <c r="I339" s="43">
        <f t="shared" si="272"/>
        <v>0</v>
      </c>
      <c r="J339" s="61">
        <f>SUM(B339:I339)</f>
        <v>19</v>
      </c>
      <c r="L339" s="41">
        <f t="shared" si="273"/>
        <v>0</v>
      </c>
      <c r="M339" s="42">
        <f t="shared" si="273"/>
        <v>0</v>
      </c>
      <c r="N339" s="42">
        <f t="shared" si="273"/>
        <v>0</v>
      </c>
      <c r="O339" s="42">
        <f t="shared" si="273"/>
        <v>0</v>
      </c>
      <c r="P339" s="42">
        <f t="shared" si="273"/>
        <v>0</v>
      </c>
      <c r="Q339" s="42">
        <f t="shared" si="273"/>
        <v>0</v>
      </c>
      <c r="R339" s="42">
        <f t="shared" si="273"/>
        <v>0</v>
      </c>
      <c r="S339" s="43">
        <f t="shared" si="273"/>
        <v>0</v>
      </c>
      <c r="T339" s="61">
        <f>SUM(L339:S339)</f>
        <v>0</v>
      </c>
      <c r="V339" s="41">
        <f t="shared" si="274"/>
        <v>47</v>
      </c>
      <c r="W339" s="42">
        <f t="shared" si="274"/>
        <v>22</v>
      </c>
      <c r="X339" s="42">
        <f t="shared" si="274"/>
        <v>4</v>
      </c>
      <c r="Y339" s="42">
        <f t="shared" si="274"/>
        <v>0</v>
      </c>
      <c r="Z339" s="42">
        <f t="shared" si="274"/>
        <v>2</v>
      </c>
      <c r="AA339" s="42">
        <f t="shared" si="274"/>
        <v>0</v>
      </c>
      <c r="AB339" s="42">
        <f t="shared" si="274"/>
        <v>4</v>
      </c>
      <c r="AC339" s="43">
        <f t="shared" si="274"/>
        <v>0</v>
      </c>
      <c r="AD339" s="61">
        <f>SUM(V339:AC339)</f>
        <v>79</v>
      </c>
      <c r="AF339" s="41">
        <f t="shared" si="275"/>
        <v>72</v>
      </c>
      <c r="AG339" s="42">
        <f t="shared" si="275"/>
        <v>9</v>
      </c>
      <c r="AH339" s="42">
        <f t="shared" si="275"/>
        <v>1</v>
      </c>
      <c r="AI339" s="42">
        <f t="shared" si="275"/>
        <v>0</v>
      </c>
      <c r="AJ339" s="42">
        <f t="shared" si="275"/>
        <v>2</v>
      </c>
      <c r="AK339" s="42">
        <f t="shared" si="275"/>
        <v>0</v>
      </c>
      <c r="AL339" s="42">
        <f t="shared" si="275"/>
        <v>12</v>
      </c>
      <c r="AM339" s="43">
        <f t="shared" si="275"/>
        <v>0</v>
      </c>
      <c r="AN339" s="61">
        <f>SUM(AF339:AM339)</f>
        <v>96</v>
      </c>
      <c r="AP339" s="61">
        <f>SUM(J339+T339+AD339+AN339)</f>
        <v>194</v>
      </c>
    </row>
    <row r="340" spans="1:42" ht="15.75" customHeight="1">
      <c r="A340" s="48" t="s">
        <v>29</v>
      </c>
      <c r="B340" s="45">
        <f t="shared" ref="B340:J340" si="276">SUM(B336:B339)</f>
        <v>42</v>
      </c>
      <c r="C340" s="46">
        <f t="shared" si="276"/>
        <v>8</v>
      </c>
      <c r="D340" s="46">
        <f t="shared" si="276"/>
        <v>3</v>
      </c>
      <c r="E340" s="46">
        <f t="shared" si="276"/>
        <v>0</v>
      </c>
      <c r="F340" s="46">
        <f t="shared" si="276"/>
        <v>0</v>
      </c>
      <c r="G340" s="46">
        <f t="shared" si="276"/>
        <v>0</v>
      </c>
      <c r="H340" s="46">
        <f t="shared" si="276"/>
        <v>31</v>
      </c>
      <c r="I340" s="47">
        <f t="shared" si="276"/>
        <v>1</v>
      </c>
      <c r="J340" s="48">
        <f t="shared" si="276"/>
        <v>85</v>
      </c>
      <c r="L340" s="45">
        <f t="shared" ref="L340:T340" si="277">SUM(L336:L339)</f>
        <v>0</v>
      </c>
      <c r="M340" s="46">
        <f t="shared" si="277"/>
        <v>0</v>
      </c>
      <c r="N340" s="46">
        <f t="shared" si="277"/>
        <v>0</v>
      </c>
      <c r="O340" s="46">
        <f t="shared" si="277"/>
        <v>0</v>
      </c>
      <c r="P340" s="46">
        <f t="shared" si="277"/>
        <v>0</v>
      </c>
      <c r="Q340" s="46">
        <f t="shared" si="277"/>
        <v>0</v>
      </c>
      <c r="R340" s="46">
        <f t="shared" si="277"/>
        <v>0</v>
      </c>
      <c r="S340" s="47">
        <f t="shared" si="277"/>
        <v>0</v>
      </c>
      <c r="T340" s="48">
        <f t="shared" si="277"/>
        <v>0</v>
      </c>
      <c r="V340" s="45">
        <f t="shared" ref="V340:AD340" si="278">SUM(V336:V339)</f>
        <v>216</v>
      </c>
      <c r="W340" s="46">
        <f t="shared" si="278"/>
        <v>46</v>
      </c>
      <c r="X340" s="46">
        <f t="shared" si="278"/>
        <v>11</v>
      </c>
      <c r="Y340" s="46">
        <f t="shared" si="278"/>
        <v>3</v>
      </c>
      <c r="Z340" s="46">
        <f t="shared" si="278"/>
        <v>6</v>
      </c>
      <c r="AA340" s="46">
        <f t="shared" si="278"/>
        <v>2</v>
      </c>
      <c r="AB340" s="46">
        <f t="shared" si="278"/>
        <v>12</v>
      </c>
      <c r="AC340" s="47">
        <f t="shared" si="278"/>
        <v>0</v>
      </c>
      <c r="AD340" s="48">
        <f t="shared" si="278"/>
        <v>296</v>
      </c>
      <c r="AF340" s="45">
        <f t="shared" ref="AF340:AN340" si="279">SUM(AF336:AF339)</f>
        <v>251</v>
      </c>
      <c r="AG340" s="46">
        <f t="shared" si="279"/>
        <v>63</v>
      </c>
      <c r="AH340" s="46">
        <f t="shared" si="279"/>
        <v>9</v>
      </c>
      <c r="AI340" s="46">
        <f t="shared" si="279"/>
        <v>1</v>
      </c>
      <c r="AJ340" s="46">
        <f t="shared" si="279"/>
        <v>7</v>
      </c>
      <c r="AK340" s="46">
        <f t="shared" si="279"/>
        <v>5</v>
      </c>
      <c r="AL340" s="46">
        <f t="shared" si="279"/>
        <v>38</v>
      </c>
      <c r="AM340" s="47">
        <f t="shared" si="279"/>
        <v>0</v>
      </c>
      <c r="AN340" s="48">
        <f t="shared" si="279"/>
        <v>374</v>
      </c>
      <c r="AP340" s="48">
        <f>SUM(AP336:AP339)</f>
        <v>755</v>
      </c>
    </row>
    <row r="341" spans="1:42" ht="15.75" customHeight="1">
      <c r="A341" s="56">
        <v>0.5</v>
      </c>
      <c r="B341" s="32">
        <f t="shared" ref="B341:I344" si="280">SUM(B37+L37+V37+AF37)</f>
        <v>14</v>
      </c>
      <c r="C341" s="33">
        <f t="shared" si="280"/>
        <v>2</v>
      </c>
      <c r="D341" s="33">
        <f t="shared" si="280"/>
        <v>2</v>
      </c>
      <c r="E341" s="33">
        <f t="shared" si="280"/>
        <v>0</v>
      </c>
      <c r="F341" s="33">
        <f t="shared" si="280"/>
        <v>0</v>
      </c>
      <c r="G341" s="33">
        <f t="shared" si="280"/>
        <v>0</v>
      </c>
      <c r="H341" s="33">
        <f t="shared" si="280"/>
        <v>9</v>
      </c>
      <c r="I341" s="34">
        <f t="shared" si="280"/>
        <v>0</v>
      </c>
      <c r="J341" s="57">
        <f>SUM(B341:I341)</f>
        <v>27</v>
      </c>
      <c r="L341" s="32">
        <f t="shared" ref="L341:S344" si="281">SUM(B113+L113+V113+AF113)</f>
        <v>0</v>
      </c>
      <c r="M341" s="33">
        <f t="shared" si="281"/>
        <v>0</v>
      </c>
      <c r="N341" s="33">
        <f t="shared" si="281"/>
        <v>0</v>
      </c>
      <c r="O341" s="33">
        <f t="shared" si="281"/>
        <v>0</v>
      </c>
      <c r="P341" s="33">
        <f t="shared" si="281"/>
        <v>0</v>
      </c>
      <c r="Q341" s="33">
        <f t="shared" si="281"/>
        <v>0</v>
      </c>
      <c r="R341" s="33">
        <f t="shared" si="281"/>
        <v>0</v>
      </c>
      <c r="S341" s="34">
        <f t="shared" si="281"/>
        <v>0</v>
      </c>
      <c r="T341" s="57">
        <f>SUM(L341:S341)</f>
        <v>0</v>
      </c>
      <c r="V341" s="32">
        <f t="shared" ref="V341:AC344" si="282">SUM(B189+L189+V189+AF189)</f>
        <v>74</v>
      </c>
      <c r="W341" s="33">
        <f t="shared" si="282"/>
        <v>14</v>
      </c>
      <c r="X341" s="33">
        <f t="shared" si="282"/>
        <v>1</v>
      </c>
      <c r="Y341" s="33">
        <f t="shared" si="282"/>
        <v>0</v>
      </c>
      <c r="Z341" s="33">
        <f t="shared" si="282"/>
        <v>2</v>
      </c>
      <c r="AA341" s="33">
        <f t="shared" si="282"/>
        <v>1</v>
      </c>
      <c r="AB341" s="33">
        <f t="shared" si="282"/>
        <v>4</v>
      </c>
      <c r="AC341" s="34">
        <f t="shared" si="282"/>
        <v>0</v>
      </c>
      <c r="AD341" s="57">
        <f>SUM(V341:AC341)</f>
        <v>96</v>
      </c>
      <c r="AF341" s="32">
        <f t="shared" ref="AF341:AM344" si="283">SUM(B265+L265+V265+AF265)</f>
        <v>73</v>
      </c>
      <c r="AG341" s="33">
        <f t="shared" si="283"/>
        <v>19</v>
      </c>
      <c r="AH341" s="33">
        <f t="shared" si="283"/>
        <v>4</v>
      </c>
      <c r="AI341" s="33">
        <f t="shared" si="283"/>
        <v>0</v>
      </c>
      <c r="AJ341" s="33">
        <f t="shared" si="283"/>
        <v>0</v>
      </c>
      <c r="AK341" s="33">
        <f t="shared" si="283"/>
        <v>2</v>
      </c>
      <c r="AL341" s="33">
        <f t="shared" si="283"/>
        <v>13</v>
      </c>
      <c r="AM341" s="34">
        <f t="shared" si="283"/>
        <v>0</v>
      </c>
      <c r="AN341" s="57">
        <f>SUM(AF341:AM341)</f>
        <v>111</v>
      </c>
      <c r="AP341" s="57">
        <f>SUM(J341+T341+AD341+AN341)</f>
        <v>234</v>
      </c>
    </row>
    <row r="342" spans="1:42" ht="15.75" customHeight="1">
      <c r="A342" s="58">
        <v>0.51041666666666663</v>
      </c>
      <c r="B342" s="36">
        <f t="shared" si="280"/>
        <v>9</v>
      </c>
      <c r="C342" s="37">
        <f t="shared" si="280"/>
        <v>4</v>
      </c>
      <c r="D342" s="37">
        <f t="shared" si="280"/>
        <v>0</v>
      </c>
      <c r="E342" s="37">
        <f t="shared" si="280"/>
        <v>0</v>
      </c>
      <c r="F342" s="37">
        <f t="shared" si="280"/>
        <v>0</v>
      </c>
      <c r="G342" s="37">
        <f t="shared" si="280"/>
        <v>0</v>
      </c>
      <c r="H342" s="37">
        <f t="shared" si="280"/>
        <v>7</v>
      </c>
      <c r="I342" s="40">
        <f t="shared" si="280"/>
        <v>0</v>
      </c>
      <c r="J342" s="59">
        <f>SUM(B342:I342)</f>
        <v>20</v>
      </c>
      <c r="L342" s="36">
        <f t="shared" si="281"/>
        <v>0</v>
      </c>
      <c r="M342" s="37">
        <f t="shared" si="281"/>
        <v>0</v>
      </c>
      <c r="N342" s="37">
        <f t="shared" si="281"/>
        <v>0</v>
      </c>
      <c r="O342" s="37">
        <f t="shared" si="281"/>
        <v>0</v>
      </c>
      <c r="P342" s="37">
        <f t="shared" si="281"/>
        <v>0</v>
      </c>
      <c r="Q342" s="37">
        <f t="shared" si="281"/>
        <v>0</v>
      </c>
      <c r="R342" s="37">
        <f t="shared" si="281"/>
        <v>0</v>
      </c>
      <c r="S342" s="40">
        <f t="shared" si="281"/>
        <v>0</v>
      </c>
      <c r="T342" s="59">
        <f>SUM(L342:S342)</f>
        <v>0</v>
      </c>
      <c r="V342" s="36">
        <f t="shared" si="282"/>
        <v>60</v>
      </c>
      <c r="W342" s="37">
        <f t="shared" si="282"/>
        <v>13</v>
      </c>
      <c r="X342" s="37">
        <f t="shared" si="282"/>
        <v>3</v>
      </c>
      <c r="Y342" s="37">
        <f t="shared" si="282"/>
        <v>1</v>
      </c>
      <c r="Z342" s="37">
        <f t="shared" si="282"/>
        <v>2</v>
      </c>
      <c r="AA342" s="37">
        <f t="shared" si="282"/>
        <v>0</v>
      </c>
      <c r="AB342" s="37">
        <f t="shared" si="282"/>
        <v>8</v>
      </c>
      <c r="AC342" s="40">
        <f t="shared" si="282"/>
        <v>0</v>
      </c>
      <c r="AD342" s="59">
        <f>SUM(V342:AC342)</f>
        <v>87</v>
      </c>
      <c r="AF342" s="36">
        <f t="shared" si="283"/>
        <v>56</v>
      </c>
      <c r="AG342" s="37">
        <f t="shared" si="283"/>
        <v>14</v>
      </c>
      <c r="AH342" s="37">
        <f t="shared" si="283"/>
        <v>1</v>
      </c>
      <c r="AI342" s="37">
        <f t="shared" si="283"/>
        <v>0</v>
      </c>
      <c r="AJ342" s="37">
        <f t="shared" si="283"/>
        <v>2</v>
      </c>
      <c r="AK342" s="37">
        <f t="shared" si="283"/>
        <v>1</v>
      </c>
      <c r="AL342" s="37">
        <f t="shared" si="283"/>
        <v>5</v>
      </c>
      <c r="AM342" s="40">
        <f t="shared" si="283"/>
        <v>0</v>
      </c>
      <c r="AN342" s="59">
        <f>SUM(AF342:AM342)</f>
        <v>79</v>
      </c>
      <c r="AP342" s="59">
        <f>SUM(J342+T342+AD342+AN342)</f>
        <v>186</v>
      </c>
    </row>
    <row r="343" spans="1:42" ht="15.75" customHeight="1">
      <c r="A343" s="58">
        <v>0.52083333333333337</v>
      </c>
      <c r="B343" s="36">
        <f t="shared" si="280"/>
        <v>7</v>
      </c>
      <c r="C343" s="37">
        <f t="shared" si="280"/>
        <v>4</v>
      </c>
      <c r="D343" s="37">
        <f t="shared" si="280"/>
        <v>0</v>
      </c>
      <c r="E343" s="37">
        <f t="shared" si="280"/>
        <v>0</v>
      </c>
      <c r="F343" s="37">
        <f t="shared" si="280"/>
        <v>0</v>
      </c>
      <c r="G343" s="37">
        <f t="shared" si="280"/>
        <v>0</v>
      </c>
      <c r="H343" s="37">
        <f t="shared" si="280"/>
        <v>4</v>
      </c>
      <c r="I343" s="40">
        <f t="shared" si="280"/>
        <v>0</v>
      </c>
      <c r="J343" s="59">
        <f>SUM(B343:I343)</f>
        <v>15</v>
      </c>
      <c r="L343" s="36">
        <f t="shared" si="281"/>
        <v>0</v>
      </c>
      <c r="M343" s="37">
        <f t="shared" si="281"/>
        <v>0</v>
      </c>
      <c r="N343" s="37">
        <f t="shared" si="281"/>
        <v>0</v>
      </c>
      <c r="O343" s="37">
        <f t="shared" si="281"/>
        <v>0</v>
      </c>
      <c r="P343" s="37">
        <f t="shared" si="281"/>
        <v>0</v>
      </c>
      <c r="Q343" s="37">
        <f t="shared" si="281"/>
        <v>0</v>
      </c>
      <c r="R343" s="37">
        <f t="shared" si="281"/>
        <v>0</v>
      </c>
      <c r="S343" s="40">
        <f t="shared" si="281"/>
        <v>0</v>
      </c>
      <c r="T343" s="59">
        <f>SUM(L343:S343)</f>
        <v>0</v>
      </c>
      <c r="V343" s="36">
        <f t="shared" si="282"/>
        <v>67</v>
      </c>
      <c r="W343" s="37">
        <f t="shared" si="282"/>
        <v>10</v>
      </c>
      <c r="X343" s="37">
        <f t="shared" si="282"/>
        <v>1</v>
      </c>
      <c r="Y343" s="37">
        <f t="shared" si="282"/>
        <v>0</v>
      </c>
      <c r="Z343" s="37">
        <f t="shared" si="282"/>
        <v>1</v>
      </c>
      <c r="AA343" s="37">
        <f t="shared" si="282"/>
        <v>2</v>
      </c>
      <c r="AB343" s="37">
        <f t="shared" si="282"/>
        <v>1</v>
      </c>
      <c r="AC343" s="40">
        <f t="shared" si="282"/>
        <v>0</v>
      </c>
      <c r="AD343" s="59">
        <f>SUM(V343:AC343)</f>
        <v>82</v>
      </c>
      <c r="AF343" s="36">
        <f t="shared" si="283"/>
        <v>58</v>
      </c>
      <c r="AG343" s="37">
        <f t="shared" si="283"/>
        <v>12</v>
      </c>
      <c r="AH343" s="37">
        <f t="shared" si="283"/>
        <v>1</v>
      </c>
      <c r="AI343" s="37">
        <f t="shared" si="283"/>
        <v>0</v>
      </c>
      <c r="AJ343" s="37">
        <f t="shared" si="283"/>
        <v>0</v>
      </c>
      <c r="AK343" s="37">
        <f t="shared" si="283"/>
        <v>1</v>
      </c>
      <c r="AL343" s="37">
        <f t="shared" si="283"/>
        <v>7</v>
      </c>
      <c r="AM343" s="40">
        <f t="shared" si="283"/>
        <v>0</v>
      </c>
      <c r="AN343" s="59">
        <f>SUM(AF343:AM343)</f>
        <v>79</v>
      </c>
      <c r="AP343" s="59">
        <f>SUM(J343+T343+AD343+AN343)</f>
        <v>176</v>
      </c>
    </row>
    <row r="344" spans="1:42" ht="15.75" customHeight="1">
      <c r="A344" s="60">
        <v>0.53125</v>
      </c>
      <c r="B344" s="41">
        <f t="shared" si="280"/>
        <v>13</v>
      </c>
      <c r="C344" s="42">
        <f t="shared" si="280"/>
        <v>4</v>
      </c>
      <c r="D344" s="42">
        <f t="shared" si="280"/>
        <v>0</v>
      </c>
      <c r="E344" s="42">
        <f t="shared" si="280"/>
        <v>0</v>
      </c>
      <c r="F344" s="42">
        <f t="shared" si="280"/>
        <v>0</v>
      </c>
      <c r="G344" s="42">
        <f t="shared" si="280"/>
        <v>1</v>
      </c>
      <c r="H344" s="42">
        <f t="shared" si="280"/>
        <v>15</v>
      </c>
      <c r="I344" s="43">
        <f t="shared" si="280"/>
        <v>0</v>
      </c>
      <c r="J344" s="61">
        <f>SUM(B344:I344)</f>
        <v>33</v>
      </c>
      <c r="L344" s="41">
        <f t="shared" si="281"/>
        <v>0</v>
      </c>
      <c r="M344" s="42">
        <f t="shared" si="281"/>
        <v>0</v>
      </c>
      <c r="N344" s="42">
        <f t="shared" si="281"/>
        <v>0</v>
      </c>
      <c r="O344" s="42">
        <f t="shared" si="281"/>
        <v>0</v>
      </c>
      <c r="P344" s="42">
        <f t="shared" si="281"/>
        <v>0</v>
      </c>
      <c r="Q344" s="42">
        <f t="shared" si="281"/>
        <v>0</v>
      </c>
      <c r="R344" s="42">
        <f t="shared" si="281"/>
        <v>0</v>
      </c>
      <c r="S344" s="43">
        <f t="shared" si="281"/>
        <v>0</v>
      </c>
      <c r="T344" s="61">
        <f>SUM(L344:S344)</f>
        <v>0</v>
      </c>
      <c r="V344" s="41">
        <f t="shared" si="282"/>
        <v>67</v>
      </c>
      <c r="W344" s="42">
        <f t="shared" si="282"/>
        <v>8</v>
      </c>
      <c r="X344" s="42">
        <f t="shared" si="282"/>
        <v>3</v>
      </c>
      <c r="Y344" s="42">
        <f t="shared" si="282"/>
        <v>0</v>
      </c>
      <c r="Z344" s="42">
        <f t="shared" si="282"/>
        <v>2</v>
      </c>
      <c r="AA344" s="42">
        <f t="shared" si="282"/>
        <v>1</v>
      </c>
      <c r="AB344" s="42">
        <f t="shared" si="282"/>
        <v>6</v>
      </c>
      <c r="AC344" s="43">
        <f t="shared" si="282"/>
        <v>0</v>
      </c>
      <c r="AD344" s="61">
        <f>SUM(V344:AC344)</f>
        <v>87</v>
      </c>
      <c r="AF344" s="41">
        <f t="shared" si="283"/>
        <v>66</v>
      </c>
      <c r="AG344" s="42">
        <f t="shared" si="283"/>
        <v>15</v>
      </c>
      <c r="AH344" s="42">
        <f t="shared" si="283"/>
        <v>0</v>
      </c>
      <c r="AI344" s="42">
        <f t="shared" si="283"/>
        <v>0</v>
      </c>
      <c r="AJ344" s="42">
        <f t="shared" si="283"/>
        <v>4</v>
      </c>
      <c r="AK344" s="42">
        <f t="shared" si="283"/>
        <v>0</v>
      </c>
      <c r="AL344" s="42">
        <f t="shared" si="283"/>
        <v>17</v>
      </c>
      <c r="AM344" s="43">
        <f t="shared" si="283"/>
        <v>0</v>
      </c>
      <c r="AN344" s="61">
        <f>SUM(AF344:AM344)</f>
        <v>102</v>
      </c>
      <c r="AP344" s="61">
        <f>SUM(J344+T344+AD344+AN344)</f>
        <v>222</v>
      </c>
    </row>
    <row r="345" spans="1:42" ht="15.75" customHeight="1">
      <c r="A345" s="48" t="s">
        <v>29</v>
      </c>
      <c r="B345" s="45">
        <f t="shared" ref="B345:J345" si="284">SUM(B341:B344)</f>
        <v>43</v>
      </c>
      <c r="C345" s="46">
        <f t="shared" si="284"/>
        <v>14</v>
      </c>
      <c r="D345" s="46">
        <f t="shared" si="284"/>
        <v>2</v>
      </c>
      <c r="E345" s="46">
        <f t="shared" si="284"/>
        <v>0</v>
      </c>
      <c r="F345" s="46">
        <f t="shared" si="284"/>
        <v>0</v>
      </c>
      <c r="G345" s="46">
        <f t="shared" si="284"/>
        <v>1</v>
      </c>
      <c r="H345" s="46">
        <f t="shared" si="284"/>
        <v>35</v>
      </c>
      <c r="I345" s="47">
        <f t="shared" si="284"/>
        <v>0</v>
      </c>
      <c r="J345" s="48">
        <f t="shared" si="284"/>
        <v>95</v>
      </c>
      <c r="L345" s="45">
        <f t="shared" ref="L345:T345" si="285">SUM(L341:L344)</f>
        <v>0</v>
      </c>
      <c r="M345" s="46">
        <f t="shared" si="285"/>
        <v>0</v>
      </c>
      <c r="N345" s="46">
        <f t="shared" si="285"/>
        <v>0</v>
      </c>
      <c r="O345" s="46">
        <f t="shared" si="285"/>
        <v>0</v>
      </c>
      <c r="P345" s="46">
        <f t="shared" si="285"/>
        <v>0</v>
      </c>
      <c r="Q345" s="46">
        <f t="shared" si="285"/>
        <v>0</v>
      </c>
      <c r="R345" s="46">
        <f t="shared" si="285"/>
        <v>0</v>
      </c>
      <c r="S345" s="47">
        <f t="shared" si="285"/>
        <v>0</v>
      </c>
      <c r="T345" s="48">
        <f t="shared" si="285"/>
        <v>0</v>
      </c>
      <c r="V345" s="45">
        <f t="shared" ref="V345:AD345" si="286">SUM(V341:V344)</f>
        <v>268</v>
      </c>
      <c r="W345" s="46">
        <f t="shared" si="286"/>
        <v>45</v>
      </c>
      <c r="X345" s="46">
        <f t="shared" si="286"/>
        <v>8</v>
      </c>
      <c r="Y345" s="46">
        <f t="shared" si="286"/>
        <v>1</v>
      </c>
      <c r="Z345" s="46">
        <f t="shared" si="286"/>
        <v>7</v>
      </c>
      <c r="AA345" s="46">
        <f t="shared" si="286"/>
        <v>4</v>
      </c>
      <c r="AB345" s="46">
        <f t="shared" si="286"/>
        <v>19</v>
      </c>
      <c r="AC345" s="47">
        <f t="shared" si="286"/>
        <v>0</v>
      </c>
      <c r="AD345" s="48">
        <f t="shared" si="286"/>
        <v>352</v>
      </c>
      <c r="AF345" s="45">
        <f t="shared" ref="AF345:AN345" si="287">SUM(AF341:AF344)</f>
        <v>253</v>
      </c>
      <c r="AG345" s="46">
        <f t="shared" si="287"/>
        <v>60</v>
      </c>
      <c r="AH345" s="46">
        <f t="shared" si="287"/>
        <v>6</v>
      </c>
      <c r="AI345" s="46">
        <f t="shared" si="287"/>
        <v>0</v>
      </c>
      <c r="AJ345" s="46">
        <f t="shared" si="287"/>
        <v>6</v>
      </c>
      <c r="AK345" s="46">
        <f t="shared" si="287"/>
        <v>4</v>
      </c>
      <c r="AL345" s="46">
        <f t="shared" si="287"/>
        <v>42</v>
      </c>
      <c r="AM345" s="47">
        <f t="shared" si="287"/>
        <v>0</v>
      </c>
      <c r="AN345" s="48">
        <f t="shared" si="287"/>
        <v>371</v>
      </c>
      <c r="AP345" s="48">
        <f>SUM(AP341:AP344)</f>
        <v>818</v>
      </c>
    </row>
    <row r="347" spans="1:42" ht="15.75" customHeight="1">
      <c r="A347" s="48" t="s">
        <v>30</v>
      </c>
      <c r="B347" s="45">
        <f t="shared" ref="B347:J347" si="288">SUM(B345+B340+B335+B330+B325+B320)</f>
        <v>201</v>
      </c>
      <c r="C347" s="46">
        <f t="shared" si="288"/>
        <v>57</v>
      </c>
      <c r="D347" s="46">
        <f t="shared" si="288"/>
        <v>9</v>
      </c>
      <c r="E347" s="46">
        <f t="shared" si="288"/>
        <v>2</v>
      </c>
      <c r="F347" s="46">
        <f t="shared" si="288"/>
        <v>0</v>
      </c>
      <c r="G347" s="46">
        <f t="shared" si="288"/>
        <v>1</v>
      </c>
      <c r="H347" s="46">
        <f t="shared" si="288"/>
        <v>205</v>
      </c>
      <c r="I347" s="47">
        <f t="shared" si="288"/>
        <v>1</v>
      </c>
      <c r="J347" s="48">
        <f t="shared" si="288"/>
        <v>476</v>
      </c>
      <c r="L347" s="45">
        <f t="shared" ref="L347:T347" si="289">SUM(L345+L340+L335+L330+L325+L320)</f>
        <v>0</v>
      </c>
      <c r="M347" s="46">
        <f t="shared" si="289"/>
        <v>0</v>
      </c>
      <c r="N347" s="46">
        <f t="shared" si="289"/>
        <v>0</v>
      </c>
      <c r="O347" s="46">
        <f t="shared" si="289"/>
        <v>0</v>
      </c>
      <c r="P347" s="46">
        <f t="shared" si="289"/>
        <v>0</v>
      </c>
      <c r="Q347" s="46">
        <f t="shared" si="289"/>
        <v>0</v>
      </c>
      <c r="R347" s="46">
        <f t="shared" si="289"/>
        <v>0</v>
      </c>
      <c r="S347" s="47">
        <f t="shared" si="289"/>
        <v>0</v>
      </c>
      <c r="T347" s="48">
        <f t="shared" si="289"/>
        <v>0</v>
      </c>
      <c r="V347" s="45">
        <f t="shared" ref="V347:AD347" si="290">SUM(V345+V340+V335+V330+V325+V320)</f>
        <v>1909</v>
      </c>
      <c r="W347" s="46">
        <f t="shared" si="290"/>
        <v>329</v>
      </c>
      <c r="X347" s="46">
        <f t="shared" si="290"/>
        <v>47</v>
      </c>
      <c r="Y347" s="46">
        <f t="shared" si="290"/>
        <v>16</v>
      </c>
      <c r="Z347" s="46">
        <f t="shared" si="290"/>
        <v>24</v>
      </c>
      <c r="AA347" s="46">
        <f t="shared" si="290"/>
        <v>41</v>
      </c>
      <c r="AB347" s="46">
        <f t="shared" si="290"/>
        <v>227</v>
      </c>
      <c r="AC347" s="47">
        <f t="shared" si="290"/>
        <v>0</v>
      </c>
      <c r="AD347" s="48">
        <f t="shared" si="290"/>
        <v>2593</v>
      </c>
      <c r="AF347" s="45">
        <f t="shared" ref="AF347:AN347" si="291">SUM(AF345+AF340+AF335+AF330+AF325+AF320)</f>
        <v>1923</v>
      </c>
      <c r="AG347" s="46">
        <f t="shared" si="291"/>
        <v>309</v>
      </c>
      <c r="AH347" s="46">
        <f t="shared" si="291"/>
        <v>33</v>
      </c>
      <c r="AI347" s="46">
        <f t="shared" si="291"/>
        <v>7</v>
      </c>
      <c r="AJ347" s="46">
        <f t="shared" si="291"/>
        <v>29</v>
      </c>
      <c r="AK347" s="46">
        <f t="shared" si="291"/>
        <v>67</v>
      </c>
      <c r="AL347" s="46">
        <f t="shared" si="291"/>
        <v>878</v>
      </c>
      <c r="AM347" s="47">
        <f t="shared" si="291"/>
        <v>2</v>
      </c>
      <c r="AN347" s="48">
        <f t="shared" si="291"/>
        <v>3248</v>
      </c>
      <c r="AP347" s="48">
        <f>SUM(AP345+AP340+AP335+AP330+AP325+AP320)</f>
        <v>6317</v>
      </c>
    </row>
    <row r="349" spans="1:42" ht="15.75" customHeight="1">
      <c r="A349" s="44" t="s">
        <v>31</v>
      </c>
    </row>
    <row r="350" spans="1:42" ht="15.75" customHeight="1">
      <c r="B350" s="45" t="s">
        <v>32</v>
      </c>
      <c r="C350" s="46"/>
      <c r="D350" s="46" t="str">
        <f>$D$9</f>
        <v>Arm A - Wapping Road</v>
      </c>
      <c r="E350" s="46"/>
      <c r="F350" s="46"/>
      <c r="G350" s="46"/>
      <c r="H350" s="46"/>
      <c r="I350" s="47"/>
      <c r="J350" s="48"/>
      <c r="L350" s="45" t="s">
        <v>32</v>
      </c>
      <c r="M350" s="46"/>
      <c r="N350" s="46" t="str">
        <f>$N$9</f>
        <v>Arm B - River Path</v>
      </c>
      <c r="O350" s="46"/>
      <c r="P350" s="46"/>
      <c r="Q350" s="46"/>
      <c r="R350" s="46"/>
      <c r="S350" s="47"/>
      <c r="T350" s="48"/>
      <c r="V350" s="45" t="s">
        <v>32</v>
      </c>
      <c r="W350" s="46"/>
      <c r="X350" s="46" t="str">
        <f>$X$9</f>
        <v>Arm C - Commerical Road</v>
      </c>
      <c r="Y350" s="46"/>
      <c r="Z350" s="46"/>
      <c r="AA350" s="46"/>
      <c r="AB350" s="46"/>
      <c r="AC350" s="47"/>
      <c r="AD350" s="48"/>
      <c r="AF350" s="45" t="s">
        <v>32</v>
      </c>
      <c r="AG350" s="46"/>
      <c r="AH350" s="46" t="str">
        <f>$AH$9</f>
        <v>Arm D - Cumberland Road</v>
      </c>
      <c r="AI350" s="46"/>
      <c r="AJ350" s="46"/>
      <c r="AK350" s="46"/>
      <c r="AL350" s="46"/>
      <c r="AM350" s="47"/>
      <c r="AN350" s="48"/>
      <c r="AP350" s="49" t="s">
        <v>33</v>
      </c>
    </row>
    <row r="351" spans="1:42" s="50" customFormat="1" ht="15.75" customHeight="1">
      <c r="B351" s="51" t="str">
        <f>$B$10</f>
        <v>CAR</v>
      </c>
      <c r="C351" s="52" t="str">
        <f>$C$10</f>
        <v>LGV</v>
      </c>
      <c r="D351" s="52" t="str">
        <f>$D$10</f>
        <v>OGV1</v>
      </c>
      <c r="E351" s="52" t="str">
        <f>$E$10</f>
        <v>OGV2</v>
      </c>
      <c r="F351" s="52" t="str">
        <f>$F$10</f>
        <v>PSV</v>
      </c>
      <c r="G351" s="52" t="str">
        <f>$G$10</f>
        <v>MC</v>
      </c>
      <c r="H351" s="52" t="str">
        <f>$H$10</f>
        <v>PC</v>
      </c>
      <c r="I351" s="53" t="str">
        <f>$I$10</f>
        <v>PC</v>
      </c>
      <c r="J351" s="54" t="s">
        <v>24</v>
      </c>
      <c r="L351" s="51" t="str">
        <f>$B$10</f>
        <v>CAR</v>
      </c>
      <c r="M351" s="52" t="str">
        <f>$C$10</f>
        <v>LGV</v>
      </c>
      <c r="N351" s="52" t="str">
        <f>$D$10</f>
        <v>OGV1</v>
      </c>
      <c r="O351" s="52" t="str">
        <f>$E$10</f>
        <v>OGV2</v>
      </c>
      <c r="P351" s="52" t="str">
        <f>$F$10</f>
        <v>PSV</v>
      </c>
      <c r="Q351" s="52" t="str">
        <f>$G$10</f>
        <v>MC</v>
      </c>
      <c r="R351" s="52" t="str">
        <f>$H$10</f>
        <v>PC</v>
      </c>
      <c r="S351" s="53" t="str">
        <f>$I$10</f>
        <v>PC</v>
      </c>
      <c r="T351" s="54" t="s">
        <v>24</v>
      </c>
      <c r="V351" s="51" t="str">
        <f>$B$10</f>
        <v>CAR</v>
      </c>
      <c r="W351" s="52" t="str">
        <f>$C$10</f>
        <v>LGV</v>
      </c>
      <c r="X351" s="52" t="str">
        <f>$D$10</f>
        <v>OGV1</v>
      </c>
      <c r="Y351" s="52" t="str">
        <f>$E$10</f>
        <v>OGV2</v>
      </c>
      <c r="Z351" s="52" t="str">
        <f>$F$10</f>
        <v>PSV</v>
      </c>
      <c r="AA351" s="52" t="str">
        <f>$G$10</f>
        <v>MC</v>
      </c>
      <c r="AB351" s="52" t="str">
        <f>$H$10</f>
        <v>PC</v>
      </c>
      <c r="AC351" s="53" t="str">
        <f>$I$10</f>
        <v>PC</v>
      </c>
      <c r="AD351" s="54" t="s">
        <v>24</v>
      </c>
      <c r="AF351" s="51" t="str">
        <f>$B$10</f>
        <v>CAR</v>
      </c>
      <c r="AG351" s="52" t="str">
        <f>$C$10</f>
        <v>LGV</v>
      </c>
      <c r="AH351" s="52" t="str">
        <f>$D$10</f>
        <v>OGV1</v>
      </c>
      <c r="AI351" s="52" t="str">
        <f>$E$10</f>
        <v>OGV2</v>
      </c>
      <c r="AJ351" s="52" t="str">
        <f>$F$10</f>
        <v>PSV</v>
      </c>
      <c r="AK351" s="52" t="str">
        <f>$G$10</f>
        <v>MC</v>
      </c>
      <c r="AL351" s="52" t="str">
        <f>$H$10</f>
        <v>PC</v>
      </c>
      <c r="AM351" s="53" t="str">
        <f>$I$10</f>
        <v>PC</v>
      </c>
      <c r="AN351" s="54" t="s">
        <v>24</v>
      </c>
      <c r="AP351" s="55"/>
    </row>
    <row r="353" spans="1:42" ht="15.75" customHeight="1">
      <c r="A353" s="56">
        <v>0.54166666666666663</v>
      </c>
      <c r="B353" s="32">
        <f t="shared" ref="B353:I356" si="292">SUM(B49+L49+V49+AF49)</f>
        <v>15</v>
      </c>
      <c r="C353" s="33">
        <f t="shared" si="292"/>
        <v>3</v>
      </c>
      <c r="D353" s="33">
        <f t="shared" si="292"/>
        <v>1</v>
      </c>
      <c r="E353" s="33">
        <f t="shared" si="292"/>
        <v>0</v>
      </c>
      <c r="F353" s="33">
        <f t="shared" si="292"/>
        <v>0</v>
      </c>
      <c r="G353" s="33">
        <f t="shared" si="292"/>
        <v>1</v>
      </c>
      <c r="H353" s="33">
        <f t="shared" si="292"/>
        <v>14</v>
      </c>
      <c r="I353" s="34">
        <f t="shared" si="292"/>
        <v>0</v>
      </c>
      <c r="J353" s="57">
        <f>SUM(B353:I353)</f>
        <v>34</v>
      </c>
      <c r="L353" s="32">
        <f t="shared" ref="L353:S356" si="293">SUM(B125+L125+V125+AF125)</f>
        <v>0</v>
      </c>
      <c r="M353" s="33">
        <f t="shared" si="293"/>
        <v>0</v>
      </c>
      <c r="N353" s="33">
        <f t="shared" si="293"/>
        <v>0</v>
      </c>
      <c r="O353" s="33">
        <f t="shared" si="293"/>
        <v>0</v>
      </c>
      <c r="P353" s="33">
        <f t="shared" si="293"/>
        <v>0</v>
      </c>
      <c r="Q353" s="33">
        <f t="shared" si="293"/>
        <v>0</v>
      </c>
      <c r="R353" s="33">
        <f t="shared" si="293"/>
        <v>0</v>
      </c>
      <c r="S353" s="34">
        <f t="shared" si="293"/>
        <v>0</v>
      </c>
      <c r="T353" s="57">
        <f>SUM(L353:S353)</f>
        <v>0</v>
      </c>
      <c r="V353" s="32">
        <f t="shared" ref="V353:AC356" si="294">SUM(B201+L201+V201+AF201)</f>
        <v>50</v>
      </c>
      <c r="W353" s="33">
        <f t="shared" si="294"/>
        <v>9</v>
      </c>
      <c r="X353" s="33">
        <f t="shared" si="294"/>
        <v>2</v>
      </c>
      <c r="Y353" s="33">
        <f t="shared" si="294"/>
        <v>1</v>
      </c>
      <c r="Z353" s="33">
        <f t="shared" si="294"/>
        <v>1</v>
      </c>
      <c r="AA353" s="33">
        <f t="shared" si="294"/>
        <v>1</v>
      </c>
      <c r="AB353" s="33">
        <f t="shared" si="294"/>
        <v>3</v>
      </c>
      <c r="AC353" s="34">
        <f t="shared" si="294"/>
        <v>0</v>
      </c>
      <c r="AD353" s="57">
        <f>SUM(V353:AC353)</f>
        <v>67</v>
      </c>
      <c r="AF353" s="32">
        <f t="shared" ref="AF353:AM356" si="295">SUM(B277+L277+V277+AF277)</f>
        <v>67</v>
      </c>
      <c r="AG353" s="33">
        <f t="shared" si="295"/>
        <v>9</v>
      </c>
      <c r="AH353" s="33">
        <f t="shared" si="295"/>
        <v>2</v>
      </c>
      <c r="AI353" s="33">
        <f t="shared" si="295"/>
        <v>0</v>
      </c>
      <c r="AJ353" s="33">
        <f t="shared" si="295"/>
        <v>0</v>
      </c>
      <c r="AK353" s="33">
        <f t="shared" si="295"/>
        <v>0</v>
      </c>
      <c r="AL353" s="33">
        <f t="shared" si="295"/>
        <v>16</v>
      </c>
      <c r="AM353" s="34">
        <f t="shared" si="295"/>
        <v>0</v>
      </c>
      <c r="AN353" s="57">
        <f>SUM(AF353:AM353)</f>
        <v>94</v>
      </c>
      <c r="AP353" s="57">
        <f>SUM(J353+T353+AD353+AN353)</f>
        <v>195</v>
      </c>
    </row>
    <row r="354" spans="1:42" ht="15.75" customHeight="1">
      <c r="A354" s="58">
        <v>0.55208333333333337</v>
      </c>
      <c r="B354" s="36">
        <f t="shared" si="292"/>
        <v>8</v>
      </c>
      <c r="C354" s="37">
        <f t="shared" si="292"/>
        <v>1</v>
      </c>
      <c r="D354" s="37">
        <f t="shared" si="292"/>
        <v>0</v>
      </c>
      <c r="E354" s="37">
        <f t="shared" si="292"/>
        <v>0</v>
      </c>
      <c r="F354" s="37">
        <f t="shared" si="292"/>
        <v>0</v>
      </c>
      <c r="G354" s="37">
        <f t="shared" si="292"/>
        <v>0</v>
      </c>
      <c r="H354" s="37">
        <f t="shared" si="292"/>
        <v>12</v>
      </c>
      <c r="I354" s="40">
        <f t="shared" si="292"/>
        <v>1</v>
      </c>
      <c r="J354" s="59">
        <f>SUM(B354:I354)</f>
        <v>22</v>
      </c>
      <c r="L354" s="36">
        <f t="shared" si="293"/>
        <v>0</v>
      </c>
      <c r="M354" s="37">
        <f t="shared" si="293"/>
        <v>0</v>
      </c>
      <c r="N354" s="37">
        <f t="shared" si="293"/>
        <v>0</v>
      </c>
      <c r="O354" s="37">
        <f t="shared" si="293"/>
        <v>0</v>
      </c>
      <c r="P354" s="37">
        <f t="shared" si="293"/>
        <v>0</v>
      </c>
      <c r="Q354" s="37">
        <f t="shared" si="293"/>
        <v>0</v>
      </c>
      <c r="R354" s="37">
        <f t="shared" si="293"/>
        <v>0</v>
      </c>
      <c r="S354" s="40">
        <f t="shared" si="293"/>
        <v>0</v>
      </c>
      <c r="T354" s="59">
        <f>SUM(L354:S354)</f>
        <v>0</v>
      </c>
      <c r="V354" s="36">
        <f t="shared" si="294"/>
        <v>78</v>
      </c>
      <c r="W354" s="37">
        <f t="shared" si="294"/>
        <v>21</v>
      </c>
      <c r="X354" s="37">
        <f t="shared" si="294"/>
        <v>5</v>
      </c>
      <c r="Y354" s="37">
        <f t="shared" si="294"/>
        <v>2</v>
      </c>
      <c r="Z354" s="37">
        <f t="shared" si="294"/>
        <v>1</v>
      </c>
      <c r="AA354" s="37">
        <f t="shared" si="294"/>
        <v>3</v>
      </c>
      <c r="AB354" s="37">
        <f t="shared" si="294"/>
        <v>5</v>
      </c>
      <c r="AC354" s="40">
        <f t="shared" si="294"/>
        <v>0</v>
      </c>
      <c r="AD354" s="59">
        <f>SUM(V354:AC354)</f>
        <v>115</v>
      </c>
      <c r="AF354" s="36">
        <f t="shared" si="295"/>
        <v>74</v>
      </c>
      <c r="AG354" s="37">
        <f t="shared" si="295"/>
        <v>11</v>
      </c>
      <c r="AH354" s="37">
        <f t="shared" si="295"/>
        <v>0</v>
      </c>
      <c r="AI354" s="37">
        <f t="shared" si="295"/>
        <v>1</v>
      </c>
      <c r="AJ354" s="37">
        <f t="shared" si="295"/>
        <v>1</v>
      </c>
      <c r="AK354" s="37">
        <f t="shared" si="295"/>
        <v>1</v>
      </c>
      <c r="AL354" s="37">
        <f t="shared" si="295"/>
        <v>15</v>
      </c>
      <c r="AM354" s="40">
        <f t="shared" si="295"/>
        <v>0</v>
      </c>
      <c r="AN354" s="59">
        <f>SUM(AF354:AM354)</f>
        <v>103</v>
      </c>
      <c r="AP354" s="59">
        <f>SUM(J354+T354+AD354+AN354)</f>
        <v>240</v>
      </c>
    </row>
    <row r="355" spans="1:42" ht="15.75" customHeight="1">
      <c r="A355" s="58">
        <v>0.5625</v>
      </c>
      <c r="B355" s="36">
        <f t="shared" si="292"/>
        <v>12</v>
      </c>
      <c r="C355" s="37">
        <f t="shared" si="292"/>
        <v>3</v>
      </c>
      <c r="D355" s="37">
        <f t="shared" si="292"/>
        <v>0</v>
      </c>
      <c r="E355" s="37">
        <f t="shared" si="292"/>
        <v>0</v>
      </c>
      <c r="F355" s="37">
        <f t="shared" si="292"/>
        <v>0</v>
      </c>
      <c r="G355" s="37">
        <f t="shared" si="292"/>
        <v>0</v>
      </c>
      <c r="H355" s="37">
        <f t="shared" si="292"/>
        <v>8</v>
      </c>
      <c r="I355" s="40">
        <f t="shared" si="292"/>
        <v>1</v>
      </c>
      <c r="J355" s="59">
        <f>SUM(B355:I355)</f>
        <v>24</v>
      </c>
      <c r="L355" s="36">
        <f t="shared" si="293"/>
        <v>0</v>
      </c>
      <c r="M355" s="37">
        <f t="shared" si="293"/>
        <v>0</v>
      </c>
      <c r="N355" s="37">
        <f t="shared" si="293"/>
        <v>0</v>
      </c>
      <c r="O355" s="37">
        <f t="shared" si="293"/>
        <v>0</v>
      </c>
      <c r="P355" s="37">
        <f t="shared" si="293"/>
        <v>0</v>
      </c>
      <c r="Q355" s="37">
        <f t="shared" si="293"/>
        <v>0</v>
      </c>
      <c r="R355" s="37">
        <f t="shared" si="293"/>
        <v>0</v>
      </c>
      <c r="S355" s="40">
        <f t="shared" si="293"/>
        <v>0</v>
      </c>
      <c r="T355" s="59">
        <f>SUM(L355:S355)</f>
        <v>0</v>
      </c>
      <c r="V355" s="36">
        <f t="shared" si="294"/>
        <v>49</v>
      </c>
      <c r="W355" s="37">
        <f t="shared" si="294"/>
        <v>10</v>
      </c>
      <c r="X355" s="37">
        <f t="shared" si="294"/>
        <v>3</v>
      </c>
      <c r="Y355" s="37">
        <f t="shared" si="294"/>
        <v>0</v>
      </c>
      <c r="Z355" s="37">
        <f t="shared" si="294"/>
        <v>2</v>
      </c>
      <c r="AA355" s="37">
        <f t="shared" si="294"/>
        <v>1</v>
      </c>
      <c r="AB355" s="37">
        <f t="shared" si="294"/>
        <v>5</v>
      </c>
      <c r="AC355" s="40">
        <f t="shared" si="294"/>
        <v>0</v>
      </c>
      <c r="AD355" s="59">
        <f>SUM(V355:AC355)</f>
        <v>70</v>
      </c>
      <c r="AF355" s="36">
        <f t="shared" si="295"/>
        <v>60</v>
      </c>
      <c r="AG355" s="37">
        <f t="shared" si="295"/>
        <v>14</v>
      </c>
      <c r="AH355" s="37">
        <f t="shared" si="295"/>
        <v>4</v>
      </c>
      <c r="AI355" s="37">
        <f t="shared" si="295"/>
        <v>0</v>
      </c>
      <c r="AJ355" s="37">
        <f t="shared" si="295"/>
        <v>0</v>
      </c>
      <c r="AK355" s="37">
        <f t="shared" si="295"/>
        <v>1</v>
      </c>
      <c r="AL355" s="37">
        <f t="shared" si="295"/>
        <v>11</v>
      </c>
      <c r="AM355" s="40">
        <f t="shared" si="295"/>
        <v>0</v>
      </c>
      <c r="AN355" s="59">
        <f>SUM(AF355:AM355)</f>
        <v>90</v>
      </c>
      <c r="AP355" s="59">
        <f>SUM(J355+T355+AD355+AN355)</f>
        <v>184</v>
      </c>
    </row>
    <row r="356" spans="1:42" ht="15.75" customHeight="1">
      <c r="A356" s="60">
        <v>0.57291666666666663</v>
      </c>
      <c r="B356" s="41">
        <f t="shared" si="292"/>
        <v>15</v>
      </c>
      <c r="C356" s="42">
        <f t="shared" si="292"/>
        <v>1</v>
      </c>
      <c r="D356" s="42">
        <f t="shared" si="292"/>
        <v>0</v>
      </c>
      <c r="E356" s="42">
        <f t="shared" si="292"/>
        <v>0</v>
      </c>
      <c r="F356" s="42">
        <f t="shared" si="292"/>
        <v>0</v>
      </c>
      <c r="G356" s="42">
        <f t="shared" si="292"/>
        <v>0</v>
      </c>
      <c r="H356" s="42">
        <f t="shared" si="292"/>
        <v>16</v>
      </c>
      <c r="I356" s="43">
        <f t="shared" si="292"/>
        <v>0</v>
      </c>
      <c r="J356" s="61">
        <f>SUM(B356:I356)</f>
        <v>32</v>
      </c>
      <c r="L356" s="41">
        <f t="shared" si="293"/>
        <v>0</v>
      </c>
      <c r="M356" s="42">
        <f t="shared" si="293"/>
        <v>0</v>
      </c>
      <c r="N356" s="42">
        <f t="shared" si="293"/>
        <v>0</v>
      </c>
      <c r="O356" s="42">
        <f t="shared" si="293"/>
        <v>0</v>
      </c>
      <c r="P356" s="42">
        <f t="shared" si="293"/>
        <v>0</v>
      </c>
      <c r="Q356" s="42">
        <f t="shared" si="293"/>
        <v>0</v>
      </c>
      <c r="R356" s="42">
        <f t="shared" si="293"/>
        <v>0</v>
      </c>
      <c r="S356" s="43">
        <f t="shared" si="293"/>
        <v>0</v>
      </c>
      <c r="T356" s="61">
        <f>SUM(L356:S356)</f>
        <v>0</v>
      </c>
      <c r="V356" s="41">
        <f t="shared" si="294"/>
        <v>66</v>
      </c>
      <c r="W356" s="42">
        <f t="shared" si="294"/>
        <v>11</v>
      </c>
      <c r="X356" s="42">
        <f t="shared" si="294"/>
        <v>1</v>
      </c>
      <c r="Y356" s="42">
        <f t="shared" si="294"/>
        <v>0</v>
      </c>
      <c r="Z356" s="42">
        <f t="shared" si="294"/>
        <v>0</v>
      </c>
      <c r="AA356" s="42">
        <f t="shared" si="294"/>
        <v>0</v>
      </c>
      <c r="AB356" s="42">
        <f t="shared" si="294"/>
        <v>2</v>
      </c>
      <c r="AC356" s="43">
        <f t="shared" si="294"/>
        <v>0</v>
      </c>
      <c r="AD356" s="61">
        <f>SUM(V356:AC356)</f>
        <v>80</v>
      </c>
      <c r="AF356" s="41">
        <f t="shared" si="295"/>
        <v>69</v>
      </c>
      <c r="AG356" s="42">
        <f t="shared" si="295"/>
        <v>12</v>
      </c>
      <c r="AH356" s="42">
        <f t="shared" si="295"/>
        <v>4</v>
      </c>
      <c r="AI356" s="42">
        <f t="shared" si="295"/>
        <v>0</v>
      </c>
      <c r="AJ356" s="42">
        <f t="shared" si="295"/>
        <v>2</v>
      </c>
      <c r="AK356" s="42">
        <f t="shared" si="295"/>
        <v>1</v>
      </c>
      <c r="AL356" s="42">
        <f t="shared" si="295"/>
        <v>20</v>
      </c>
      <c r="AM356" s="43">
        <f t="shared" si="295"/>
        <v>1</v>
      </c>
      <c r="AN356" s="61">
        <f>SUM(AF356:AM356)</f>
        <v>109</v>
      </c>
      <c r="AP356" s="61">
        <f>SUM(J356+T356+AD356+AN356)</f>
        <v>221</v>
      </c>
    </row>
    <row r="357" spans="1:42" ht="15.75" customHeight="1">
      <c r="A357" s="48" t="s">
        <v>29</v>
      </c>
      <c r="B357" s="45">
        <f t="shared" ref="B357:J357" si="296">SUM(B353:B356)</f>
        <v>50</v>
      </c>
      <c r="C357" s="46">
        <f t="shared" si="296"/>
        <v>8</v>
      </c>
      <c r="D357" s="46">
        <f t="shared" si="296"/>
        <v>1</v>
      </c>
      <c r="E357" s="46">
        <f t="shared" si="296"/>
        <v>0</v>
      </c>
      <c r="F357" s="46">
        <f t="shared" si="296"/>
        <v>0</v>
      </c>
      <c r="G357" s="46">
        <f t="shared" si="296"/>
        <v>1</v>
      </c>
      <c r="H357" s="46">
        <f t="shared" si="296"/>
        <v>50</v>
      </c>
      <c r="I357" s="47">
        <f t="shared" si="296"/>
        <v>2</v>
      </c>
      <c r="J357" s="48">
        <f t="shared" si="296"/>
        <v>112</v>
      </c>
      <c r="L357" s="45">
        <f t="shared" ref="L357:T357" si="297">SUM(L353:L356)</f>
        <v>0</v>
      </c>
      <c r="M357" s="46">
        <f t="shared" si="297"/>
        <v>0</v>
      </c>
      <c r="N357" s="46">
        <f t="shared" si="297"/>
        <v>0</v>
      </c>
      <c r="O357" s="46">
        <f t="shared" si="297"/>
        <v>0</v>
      </c>
      <c r="P357" s="46">
        <f t="shared" si="297"/>
        <v>0</v>
      </c>
      <c r="Q357" s="46">
        <f t="shared" si="297"/>
        <v>0</v>
      </c>
      <c r="R357" s="46">
        <f t="shared" si="297"/>
        <v>0</v>
      </c>
      <c r="S357" s="47">
        <f t="shared" si="297"/>
        <v>0</v>
      </c>
      <c r="T357" s="48">
        <f t="shared" si="297"/>
        <v>0</v>
      </c>
      <c r="V357" s="45">
        <f t="shared" ref="V357:AD357" si="298">SUM(V353:V356)</f>
        <v>243</v>
      </c>
      <c r="W357" s="46">
        <f t="shared" si="298"/>
        <v>51</v>
      </c>
      <c r="X357" s="46">
        <f t="shared" si="298"/>
        <v>11</v>
      </c>
      <c r="Y357" s="46">
        <f t="shared" si="298"/>
        <v>3</v>
      </c>
      <c r="Z357" s="46">
        <f t="shared" si="298"/>
        <v>4</v>
      </c>
      <c r="AA357" s="46">
        <f t="shared" si="298"/>
        <v>5</v>
      </c>
      <c r="AB357" s="46">
        <f t="shared" si="298"/>
        <v>15</v>
      </c>
      <c r="AC357" s="47">
        <f t="shared" si="298"/>
        <v>0</v>
      </c>
      <c r="AD357" s="48">
        <f t="shared" si="298"/>
        <v>332</v>
      </c>
      <c r="AF357" s="45">
        <f t="shared" ref="AF357:AN357" si="299">SUM(AF353:AF356)</f>
        <v>270</v>
      </c>
      <c r="AG357" s="46">
        <f t="shared" si="299"/>
        <v>46</v>
      </c>
      <c r="AH357" s="46">
        <f t="shared" si="299"/>
        <v>10</v>
      </c>
      <c r="AI357" s="46">
        <f t="shared" si="299"/>
        <v>1</v>
      </c>
      <c r="AJ357" s="46">
        <f t="shared" si="299"/>
        <v>3</v>
      </c>
      <c r="AK357" s="46">
        <f t="shared" si="299"/>
        <v>3</v>
      </c>
      <c r="AL357" s="46">
        <f t="shared" si="299"/>
        <v>62</v>
      </c>
      <c r="AM357" s="47">
        <f t="shared" si="299"/>
        <v>1</v>
      </c>
      <c r="AN357" s="48">
        <f t="shared" si="299"/>
        <v>396</v>
      </c>
      <c r="AP357" s="48">
        <f>SUM(AP353:AP356)</f>
        <v>840</v>
      </c>
    </row>
    <row r="358" spans="1:42" ht="15.75" customHeight="1">
      <c r="A358" s="56">
        <v>0.58333333333333337</v>
      </c>
      <c r="B358" s="32">
        <f t="shared" ref="B358:I361" si="300">SUM(B54+L54+V54+AF54)</f>
        <v>14</v>
      </c>
      <c r="C358" s="33">
        <f t="shared" si="300"/>
        <v>4</v>
      </c>
      <c r="D358" s="33">
        <f t="shared" si="300"/>
        <v>0</v>
      </c>
      <c r="E358" s="33">
        <f t="shared" si="300"/>
        <v>0</v>
      </c>
      <c r="F358" s="33">
        <f t="shared" si="300"/>
        <v>0</v>
      </c>
      <c r="G358" s="33">
        <f t="shared" si="300"/>
        <v>1</v>
      </c>
      <c r="H358" s="33">
        <f t="shared" si="300"/>
        <v>12</v>
      </c>
      <c r="I358" s="34">
        <f t="shared" si="300"/>
        <v>0</v>
      </c>
      <c r="J358" s="57">
        <f>SUM(B358:I358)</f>
        <v>31</v>
      </c>
      <c r="L358" s="32">
        <f t="shared" ref="L358:S361" si="301">SUM(B130+L130+V130+AF130)</f>
        <v>0</v>
      </c>
      <c r="M358" s="33">
        <f t="shared" si="301"/>
        <v>0</v>
      </c>
      <c r="N358" s="33">
        <f t="shared" si="301"/>
        <v>0</v>
      </c>
      <c r="O358" s="33">
        <f t="shared" si="301"/>
        <v>0</v>
      </c>
      <c r="P358" s="33">
        <f t="shared" si="301"/>
        <v>0</v>
      </c>
      <c r="Q358" s="33">
        <f t="shared" si="301"/>
        <v>0</v>
      </c>
      <c r="R358" s="33">
        <f t="shared" si="301"/>
        <v>1</v>
      </c>
      <c r="S358" s="34">
        <f t="shared" si="301"/>
        <v>0</v>
      </c>
      <c r="T358" s="57">
        <f>SUM(L358:S358)</f>
        <v>1</v>
      </c>
      <c r="V358" s="32">
        <f t="shared" ref="V358:AC361" si="302">SUM(B206+L206+V206+AF206)</f>
        <v>58</v>
      </c>
      <c r="W358" s="33">
        <f t="shared" si="302"/>
        <v>9</v>
      </c>
      <c r="X358" s="33">
        <f t="shared" si="302"/>
        <v>2</v>
      </c>
      <c r="Y358" s="33">
        <f t="shared" si="302"/>
        <v>0</v>
      </c>
      <c r="Z358" s="33">
        <f t="shared" si="302"/>
        <v>2</v>
      </c>
      <c r="AA358" s="33">
        <f t="shared" si="302"/>
        <v>2</v>
      </c>
      <c r="AB358" s="33">
        <f t="shared" si="302"/>
        <v>3</v>
      </c>
      <c r="AC358" s="34">
        <f t="shared" si="302"/>
        <v>0</v>
      </c>
      <c r="AD358" s="57">
        <f>SUM(V358:AC358)</f>
        <v>76</v>
      </c>
      <c r="AF358" s="32">
        <f t="shared" ref="AF358:AM361" si="303">SUM(B282+L282+V282+AF282)</f>
        <v>99</v>
      </c>
      <c r="AG358" s="33">
        <f t="shared" si="303"/>
        <v>18</v>
      </c>
      <c r="AH358" s="33">
        <f t="shared" si="303"/>
        <v>1</v>
      </c>
      <c r="AI358" s="33">
        <f t="shared" si="303"/>
        <v>0</v>
      </c>
      <c r="AJ358" s="33">
        <f t="shared" si="303"/>
        <v>1</v>
      </c>
      <c r="AK358" s="33">
        <f t="shared" si="303"/>
        <v>2</v>
      </c>
      <c r="AL358" s="33">
        <f t="shared" si="303"/>
        <v>11</v>
      </c>
      <c r="AM358" s="34">
        <f t="shared" si="303"/>
        <v>0</v>
      </c>
      <c r="AN358" s="57">
        <f>SUM(AF358:AM358)</f>
        <v>132</v>
      </c>
      <c r="AP358" s="57">
        <f>SUM(J358+T358+AD358+AN358)</f>
        <v>240</v>
      </c>
    </row>
    <row r="359" spans="1:42" ht="15.75" customHeight="1">
      <c r="A359" s="58">
        <v>0.59375</v>
      </c>
      <c r="B359" s="36">
        <f t="shared" si="300"/>
        <v>19</v>
      </c>
      <c r="C359" s="37">
        <f t="shared" si="300"/>
        <v>2</v>
      </c>
      <c r="D359" s="37">
        <f t="shared" si="300"/>
        <v>0</v>
      </c>
      <c r="E359" s="37">
        <f t="shared" si="300"/>
        <v>0</v>
      </c>
      <c r="F359" s="37">
        <f t="shared" si="300"/>
        <v>0</v>
      </c>
      <c r="G359" s="37">
        <f t="shared" si="300"/>
        <v>0</v>
      </c>
      <c r="H359" s="37">
        <f t="shared" si="300"/>
        <v>13</v>
      </c>
      <c r="I359" s="40">
        <f t="shared" si="300"/>
        <v>0</v>
      </c>
      <c r="J359" s="59">
        <f>SUM(B359:I359)</f>
        <v>34</v>
      </c>
      <c r="L359" s="36">
        <f t="shared" si="301"/>
        <v>0</v>
      </c>
      <c r="M359" s="37">
        <f t="shared" si="301"/>
        <v>0</v>
      </c>
      <c r="N359" s="37">
        <f t="shared" si="301"/>
        <v>0</v>
      </c>
      <c r="O359" s="37">
        <f t="shared" si="301"/>
        <v>0</v>
      </c>
      <c r="P359" s="37">
        <f t="shared" si="301"/>
        <v>0</v>
      </c>
      <c r="Q359" s="37">
        <f t="shared" si="301"/>
        <v>0</v>
      </c>
      <c r="R359" s="37">
        <f t="shared" si="301"/>
        <v>3</v>
      </c>
      <c r="S359" s="40">
        <f t="shared" si="301"/>
        <v>0</v>
      </c>
      <c r="T359" s="59">
        <f>SUM(L359:S359)</f>
        <v>3</v>
      </c>
      <c r="V359" s="36">
        <f t="shared" si="302"/>
        <v>53</v>
      </c>
      <c r="W359" s="37">
        <f t="shared" si="302"/>
        <v>10</v>
      </c>
      <c r="X359" s="37">
        <f t="shared" si="302"/>
        <v>2</v>
      </c>
      <c r="Y359" s="37">
        <f t="shared" si="302"/>
        <v>4</v>
      </c>
      <c r="Z359" s="37">
        <f t="shared" si="302"/>
        <v>0</v>
      </c>
      <c r="AA359" s="37">
        <f t="shared" si="302"/>
        <v>0</v>
      </c>
      <c r="AB359" s="37">
        <f t="shared" si="302"/>
        <v>2</v>
      </c>
      <c r="AC359" s="40">
        <f t="shared" si="302"/>
        <v>0</v>
      </c>
      <c r="AD359" s="59">
        <f>SUM(V359:AC359)</f>
        <v>71</v>
      </c>
      <c r="AF359" s="36">
        <f t="shared" si="303"/>
        <v>84</v>
      </c>
      <c r="AG359" s="37">
        <f t="shared" si="303"/>
        <v>12</v>
      </c>
      <c r="AH359" s="37">
        <f t="shared" si="303"/>
        <v>6</v>
      </c>
      <c r="AI359" s="37">
        <f t="shared" si="303"/>
        <v>0</v>
      </c>
      <c r="AJ359" s="37">
        <f t="shared" si="303"/>
        <v>2</v>
      </c>
      <c r="AK359" s="37">
        <f t="shared" si="303"/>
        <v>0</v>
      </c>
      <c r="AL359" s="37">
        <f t="shared" si="303"/>
        <v>8</v>
      </c>
      <c r="AM359" s="40">
        <f t="shared" si="303"/>
        <v>0</v>
      </c>
      <c r="AN359" s="59">
        <f>SUM(AF359:AM359)</f>
        <v>112</v>
      </c>
      <c r="AP359" s="59">
        <f>SUM(J359+T359+AD359+AN359)</f>
        <v>220</v>
      </c>
    </row>
    <row r="360" spans="1:42" ht="15.75" customHeight="1">
      <c r="A360" s="58">
        <v>0.60416666666666663</v>
      </c>
      <c r="B360" s="36">
        <f t="shared" si="300"/>
        <v>18</v>
      </c>
      <c r="C360" s="37">
        <f t="shared" si="300"/>
        <v>3</v>
      </c>
      <c r="D360" s="37">
        <f t="shared" si="300"/>
        <v>0</v>
      </c>
      <c r="E360" s="37">
        <f t="shared" si="300"/>
        <v>0</v>
      </c>
      <c r="F360" s="37">
        <f t="shared" si="300"/>
        <v>0</v>
      </c>
      <c r="G360" s="37">
        <f t="shared" si="300"/>
        <v>1</v>
      </c>
      <c r="H360" s="37">
        <f t="shared" si="300"/>
        <v>10</v>
      </c>
      <c r="I360" s="40">
        <f t="shared" si="300"/>
        <v>1</v>
      </c>
      <c r="J360" s="59">
        <f>SUM(B360:I360)</f>
        <v>33</v>
      </c>
      <c r="L360" s="36">
        <f t="shared" si="301"/>
        <v>0</v>
      </c>
      <c r="M360" s="37">
        <f t="shared" si="301"/>
        <v>0</v>
      </c>
      <c r="N360" s="37">
        <f t="shared" si="301"/>
        <v>0</v>
      </c>
      <c r="O360" s="37">
        <f t="shared" si="301"/>
        <v>0</v>
      </c>
      <c r="P360" s="37">
        <f t="shared" si="301"/>
        <v>0</v>
      </c>
      <c r="Q360" s="37">
        <f t="shared" si="301"/>
        <v>0</v>
      </c>
      <c r="R360" s="37">
        <f t="shared" si="301"/>
        <v>0</v>
      </c>
      <c r="S360" s="40">
        <f t="shared" si="301"/>
        <v>0</v>
      </c>
      <c r="T360" s="59">
        <f>SUM(L360:S360)</f>
        <v>0</v>
      </c>
      <c r="V360" s="36">
        <f t="shared" si="302"/>
        <v>68</v>
      </c>
      <c r="W360" s="37">
        <f t="shared" si="302"/>
        <v>14</v>
      </c>
      <c r="X360" s="37">
        <f t="shared" si="302"/>
        <v>1</v>
      </c>
      <c r="Y360" s="37">
        <f t="shared" si="302"/>
        <v>0</v>
      </c>
      <c r="Z360" s="37">
        <f t="shared" si="302"/>
        <v>3</v>
      </c>
      <c r="AA360" s="37">
        <f t="shared" si="302"/>
        <v>1</v>
      </c>
      <c r="AB360" s="37">
        <f t="shared" si="302"/>
        <v>2</v>
      </c>
      <c r="AC360" s="40">
        <f t="shared" si="302"/>
        <v>0</v>
      </c>
      <c r="AD360" s="59">
        <f>SUM(V360:AC360)</f>
        <v>89</v>
      </c>
      <c r="AF360" s="36">
        <f t="shared" si="303"/>
        <v>57</v>
      </c>
      <c r="AG360" s="37">
        <f t="shared" si="303"/>
        <v>9</v>
      </c>
      <c r="AH360" s="37">
        <f t="shared" si="303"/>
        <v>3</v>
      </c>
      <c r="AI360" s="37">
        <f t="shared" si="303"/>
        <v>0</v>
      </c>
      <c r="AJ360" s="37">
        <f t="shared" si="303"/>
        <v>0</v>
      </c>
      <c r="AK360" s="37">
        <f t="shared" si="303"/>
        <v>3</v>
      </c>
      <c r="AL360" s="37">
        <f t="shared" si="303"/>
        <v>13</v>
      </c>
      <c r="AM360" s="40">
        <f t="shared" si="303"/>
        <v>0</v>
      </c>
      <c r="AN360" s="59">
        <f>SUM(AF360:AM360)</f>
        <v>85</v>
      </c>
      <c r="AP360" s="59">
        <f>SUM(J360+T360+AD360+AN360)</f>
        <v>207</v>
      </c>
    </row>
    <row r="361" spans="1:42" ht="15.75" customHeight="1">
      <c r="A361" s="60">
        <v>0.61458333333333337</v>
      </c>
      <c r="B361" s="41">
        <f t="shared" si="300"/>
        <v>10</v>
      </c>
      <c r="C361" s="42">
        <f t="shared" si="300"/>
        <v>21</v>
      </c>
      <c r="D361" s="42">
        <f t="shared" si="300"/>
        <v>0</v>
      </c>
      <c r="E361" s="42">
        <f t="shared" si="300"/>
        <v>0</v>
      </c>
      <c r="F361" s="42">
        <f t="shared" si="300"/>
        <v>0</v>
      </c>
      <c r="G361" s="42">
        <f t="shared" si="300"/>
        <v>1</v>
      </c>
      <c r="H361" s="42">
        <f t="shared" si="300"/>
        <v>1</v>
      </c>
      <c r="I361" s="43">
        <f t="shared" si="300"/>
        <v>1</v>
      </c>
      <c r="J361" s="61">
        <f>SUM(B361:I361)</f>
        <v>34</v>
      </c>
      <c r="L361" s="41">
        <f t="shared" si="301"/>
        <v>0</v>
      </c>
      <c r="M361" s="42">
        <f t="shared" si="301"/>
        <v>0</v>
      </c>
      <c r="N361" s="42">
        <f t="shared" si="301"/>
        <v>0</v>
      </c>
      <c r="O361" s="42">
        <f t="shared" si="301"/>
        <v>0</v>
      </c>
      <c r="P361" s="42">
        <f t="shared" si="301"/>
        <v>0</v>
      </c>
      <c r="Q361" s="42">
        <f t="shared" si="301"/>
        <v>0</v>
      </c>
      <c r="R361" s="42">
        <f t="shared" si="301"/>
        <v>0</v>
      </c>
      <c r="S361" s="43">
        <f t="shared" si="301"/>
        <v>0</v>
      </c>
      <c r="T361" s="61">
        <f>SUM(L361:S361)</f>
        <v>0</v>
      </c>
      <c r="V361" s="41">
        <f t="shared" si="302"/>
        <v>61</v>
      </c>
      <c r="W361" s="42">
        <f t="shared" si="302"/>
        <v>9</v>
      </c>
      <c r="X361" s="42">
        <f t="shared" si="302"/>
        <v>1</v>
      </c>
      <c r="Y361" s="42">
        <f t="shared" si="302"/>
        <v>0</v>
      </c>
      <c r="Z361" s="42">
        <f t="shared" si="302"/>
        <v>3</v>
      </c>
      <c r="AA361" s="42">
        <f t="shared" si="302"/>
        <v>0</v>
      </c>
      <c r="AB361" s="42">
        <f t="shared" si="302"/>
        <v>6</v>
      </c>
      <c r="AC361" s="43">
        <f t="shared" si="302"/>
        <v>0</v>
      </c>
      <c r="AD361" s="61">
        <f>SUM(V361:AC361)</f>
        <v>80</v>
      </c>
      <c r="AF361" s="41">
        <f t="shared" si="303"/>
        <v>51</v>
      </c>
      <c r="AG361" s="42">
        <f t="shared" si="303"/>
        <v>9</v>
      </c>
      <c r="AH361" s="42">
        <f t="shared" si="303"/>
        <v>3</v>
      </c>
      <c r="AI361" s="42">
        <f t="shared" si="303"/>
        <v>0</v>
      </c>
      <c r="AJ361" s="42">
        <f t="shared" si="303"/>
        <v>2</v>
      </c>
      <c r="AK361" s="42">
        <f t="shared" si="303"/>
        <v>1</v>
      </c>
      <c r="AL361" s="42">
        <f t="shared" si="303"/>
        <v>7</v>
      </c>
      <c r="AM361" s="43">
        <f t="shared" si="303"/>
        <v>0</v>
      </c>
      <c r="AN361" s="61">
        <f>SUM(AF361:AM361)</f>
        <v>73</v>
      </c>
      <c r="AP361" s="61">
        <f>SUM(J361+T361+AD361+AN361)</f>
        <v>187</v>
      </c>
    </row>
    <row r="362" spans="1:42" ht="15.75" customHeight="1">
      <c r="A362" s="48" t="s">
        <v>29</v>
      </c>
      <c r="B362" s="45">
        <f t="shared" ref="B362:J362" si="304">SUM(B358:B361)</f>
        <v>61</v>
      </c>
      <c r="C362" s="46">
        <f t="shared" si="304"/>
        <v>30</v>
      </c>
      <c r="D362" s="46">
        <f t="shared" si="304"/>
        <v>0</v>
      </c>
      <c r="E362" s="46">
        <f t="shared" si="304"/>
        <v>0</v>
      </c>
      <c r="F362" s="46">
        <f t="shared" si="304"/>
        <v>0</v>
      </c>
      <c r="G362" s="46">
        <f t="shared" si="304"/>
        <v>3</v>
      </c>
      <c r="H362" s="46">
        <f t="shared" si="304"/>
        <v>36</v>
      </c>
      <c r="I362" s="47">
        <f t="shared" si="304"/>
        <v>2</v>
      </c>
      <c r="J362" s="48">
        <f t="shared" si="304"/>
        <v>132</v>
      </c>
      <c r="L362" s="45">
        <f t="shared" ref="L362:T362" si="305">SUM(L358:L361)</f>
        <v>0</v>
      </c>
      <c r="M362" s="46">
        <f t="shared" si="305"/>
        <v>0</v>
      </c>
      <c r="N362" s="46">
        <f t="shared" si="305"/>
        <v>0</v>
      </c>
      <c r="O362" s="46">
        <f t="shared" si="305"/>
        <v>0</v>
      </c>
      <c r="P362" s="46">
        <f t="shared" si="305"/>
        <v>0</v>
      </c>
      <c r="Q362" s="46">
        <f t="shared" si="305"/>
        <v>0</v>
      </c>
      <c r="R362" s="46">
        <f t="shared" si="305"/>
        <v>4</v>
      </c>
      <c r="S362" s="47">
        <f t="shared" si="305"/>
        <v>0</v>
      </c>
      <c r="T362" s="48">
        <f t="shared" si="305"/>
        <v>4</v>
      </c>
      <c r="V362" s="45">
        <f t="shared" ref="V362:AD362" si="306">SUM(V358:V361)</f>
        <v>240</v>
      </c>
      <c r="W362" s="46">
        <f t="shared" si="306"/>
        <v>42</v>
      </c>
      <c r="X362" s="46">
        <f t="shared" si="306"/>
        <v>6</v>
      </c>
      <c r="Y362" s="46">
        <f t="shared" si="306"/>
        <v>4</v>
      </c>
      <c r="Z362" s="46">
        <f t="shared" si="306"/>
        <v>8</v>
      </c>
      <c r="AA362" s="46">
        <f t="shared" si="306"/>
        <v>3</v>
      </c>
      <c r="AB362" s="46">
        <f t="shared" si="306"/>
        <v>13</v>
      </c>
      <c r="AC362" s="47">
        <f t="shared" si="306"/>
        <v>0</v>
      </c>
      <c r="AD362" s="48">
        <f t="shared" si="306"/>
        <v>316</v>
      </c>
      <c r="AF362" s="45">
        <f t="shared" ref="AF362:AN362" si="307">SUM(AF358:AF361)</f>
        <v>291</v>
      </c>
      <c r="AG362" s="46">
        <f t="shared" si="307"/>
        <v>48</v>
      </c>
      <c r="AH362" s="46">
        <f t="shared" si="307"/>
        <v>13</v>
      </c>
      <c r="AI362" s="46">
        <f t="shared" si="307"/>
        <v>0</v>
      </c>
      <c r="AJ362" s="46">
        <f t="shared" si="307"/>
        <v>5</v>
      </c>
      <c r="AK362" s="46">
        <f t="shared" si="307"/>
        <v>6</v>
      </c>
      <c r="AL362" s="46">
        <f t="shared" si="307"/>
        <v>39</v>
      </c>
      <c r="AM362" s="47">
        <f t="shared" si="307"/>
        <v>0</v>
      </c>
      <c r="AN362" s="48">
        <f t="shared" si="307"/>
        <v>402</v>
      </c>
      <c r="AP362" s="48">
        <f>SUM(AP358:AP361)</f>
        <v>854</v>
      </c>
    </row>
    <row r="363" spans="1:42" ht="15.75" customHeight="1">
      <c r="A363" s="56">
        <v>0.625</v>
      </c>
      <c r="B363" s="32">
        <f t="shared" ref="B363:I366" si="308">SUM(B59+L59+V59+AF59)</f>
        <v>18</v>
      </c>
      <c r="C363" s="33">
        <f t="shared" si="308"/>
        <v>8</v>
      </c>
      <c r="D363" s="33">
        <f t="shared" si="308"/>
        <v>0</v>
      </c>
      <c r="E363" s="33">
        <f t="shared" si="308"/>
        <v>0</v>
      </c>
      <c r="F363" s="33">
        <f t="shared" si="308"/>
        <v>0</v>
      </c>
      <c r="G363" s="33">
        <f t="shared" si="308"/>
        <v>0</v>
      </c>
      <c r="H363" s="33">
        <f t="shared" si="308"/>
        <v>23</v>
      </c>
      <c r="I363" s="34">
        <f t="shared" si="308"/>
        <v>0</v>
      </c>
      <c r="J363" s="57">
        <f>SUM(B363:I363)</f>
        <v>49</v>
      </c>
      <c r="L363" s="32">
        <f t="shared" ref="L363:S366" si="309">SUM(B135+L135+V135+AF135)</f>
        <v>0</v>
      </c>
      <c r="M363" s="33">
        <f t="shared" si="309"/>
        <v>0</v>
      </c>
      <c r="N363" s="33">
        <f t="shared" si="309"/>
        <v>0</v>
      </c>
      <c r="O363" s="33">
        <f t="shared" si="309"/>
        <v>0</v>
      </c>
      <c r="P363" s="33">
        <f t="shared" si="309"/>
        <v>0</v>
      </c>
      <c r="Q363" s="33">
        <f t="shared" si="309"/>
        <v>0</v>
      </c>
      <c r="R363" s="33">
        <f t="shared" si="309"/>
        <v>3</v>
      </c>
      <c r="S363" s="34">
        <f t="shared" si="309"/>
        <v>0</v>
      </c>
      <c r="T363" s="57">
        <f>SUM(L363:S363)</f>
        <v>3</v>
      </c>
      <c r="V363" s="32">
        <f t="shared" ref="V363:AC366" si="310">SUM(B211+L211+V211+AF211)</f>
        <v>55</v>
      </c>
      <c r="W363" s="33">
        <f t="shared" si="310"/>
        <v>6</v>
      </c>
      <c r="X363" s="33">
        <f t="shared" si="310"/>
        <v>4</v>
      </c>
      <c r="Y363" s="33">
        <f t="shared" si="310"/>
        <v>0</v>
      </c>
      <c r="Z363" s="33">
        <f t="shared" si="310"/>
        <v>3</v>
      </c>
      <c r="AA363" s="33">
        <f t="shared" si="310"/>
        <v>1</v>
      </c>
      <c r="AB363" s="33">
        <f t="shared" si="310"/>
        <v>5</v>
      </c>
      <c r="AC363" s="34">
        <f t="shared" si="310"/>
        <v>0</v>
      </c>
      <c r="AD363" s="57">
        <f>SUM(V363:AC363)</f>
        <v>74</v>
      </c>
      <c r="AF363" s="32">
        <f t="shared" ref="AF363:AM366" si="311">SUM(B287+L287+V287+AF287)</f>
        <v>64</v>
      </c>
      <c r="AG363" s="33">
        <f t="shared" si="311"/>
        <v>6</v>
      </c>
      <c r="AH363" s="33">
        <f t="shared" si="311"/>
        <v>1</v>
      </c>
      <c r="AI363" s="33">
        <f t="shared" si="311"/>
        <v>0</v>
      </c>
      <c r="AJ363" s="33">
        <f t="shared" si="311"/>
        <v>0</v>
      </c>
      <c r="AK363" s="33">
        <f t="shared" si="311"/>
        <v>2</v>
      </c>
      <c r="AL363" s="33">
        <f t="shared" si="311"/>
        <v>6</v>
      </c>
      <c r="AM363" s="34">
        <f t="shared" si="311"/>
        <v>0</v>
      </c>
      <c r="AN363" s="57">
        <f>SUM(AF363:AM363)</f>
        <v>79</v>
      </c>
      <c r="AP363" s="57">
        <f>SUM(J363+T363+AD363+AN363)</f>
        <v>205</v>
      </c>
    </row>
    <row r="364" spans="1:42" ht="15.75" customHeight="1">
      <c r="A364" s="58">
        <v>0.63541666666666663</v>
      </c>
      <c r="B364" s="36">
        <f t="shared" si="308"/>
        <v>18</v>
      </c>
      <c r="C364" s="37">
        <f t="shared" si="308"/>
        <v>2</v>
      </c>
      <c r="D364" s="37">
        <f t="shared" si="308"/>
        <v>1</v>
      </c>
      <c r="E364" s="37">
        <f t="shared" si="308"/>
        <v>0</v>
      </c>
      <c r="F364" s="37">
        <f t="shared" si="308"/>
        <v>0</v>
      </c>
      <c r="G364" s="37">
        <f t="shared" si="308"/>
        <v>0</v>
      </c>
      <c r="H364" s="37">
        <f t="shared" si="308"/>
        <v>31</v>
      </c>
      <c r="I364" s="40">
        <f t="shared" si="308"/>
        <v>0</v>
      </c>
      <c r="J364" s="59">
        <f>SUM(B364:I364)</f>
        <v>52</v>
      </c>
      <c r="L364" s="36">
        <f t="shared" si="309"/>
        <v>0</v>
      </c>
      <c r="M364" s="37">
        <f t="shared" si="309"/>
        <v>0</v>
      </c>
      <c r="N364" s="37">
        <f t="shared" si="309"/>
        <v>0</v>
      </c>
      <c r="O364" s="37">
        <f t="shared" si="309"/>
        <v>0</v>
      </c>
      <c r="P364" s="37">
        <f t="shared" si="309"/>
        <v>0</v>
      </c>
      <c r="Q364" s="37">
        <f t="shared" si="309"/>
        <v>0</v>
      </c>
      <c r="R364" s="37">
        <f t="shared" si="309"/>
        <v>3</v>
      </c>
      <c r="S364" s="40">
        <f t="shared" si="309"/>
        <v>0</v>
      </c>
      <c r="T364" s="59">
        <f>SUM(L364:S364)</f>
        <v>3</v>
      </c>
      <c r="V364" s="36">
        <f t="shared" si="310"/>
        <v>56</v>
      </c>
      <c r="W364" s="37">
        <f t="shared" si="310"/>
        <v>7</v>
      </c>
      <c r="X364" s="37">
        <f t="shared" si="310"/>
        <v>2</v>
      </c>
      <c r="Y364" s="37">
        <f t="shared" si="310"/>
        <v>0</v>
      </c>
      <c r="Z364" s="37">
        <f t="shared" si="310"/>
        <v>0</v>
      </c>
      <c r="AA364" s="37">
        <f t="shared" si="310"/>
        <v>0</v>
      </c>
      <c r="AB364" s="37">
        <f t="shared" si="310"/>
        <v>10</v>
      </c>
      <c r="AC364" s="40">
        <f t="shared" si="310"/>
        <v>0</v>
      </c>
      <c r="AD364" s="59">
        <f>SUM(V364:AC364)</f>
        <v>75</v>
      </c>
      <c r="AF364" s="36">
        <f t="shared" si="311"/>
        <v>74</v>
      </c>
      <c r="AG364" s="37">
        <f t="shared" si="311"/>
        <v>14</v>
      </c>
      <c r="AH364" s="37">
        <f t="shared" si="311"/>
        <v>0</v>
      </c>
      <c r="AI364" s="37">
        <f t="shared" si="311"/>
        <v>0</v>
      </c>
      <c r="AJ364" s="37">
        <f t="shared" si="311"/>
        <v>1</v>
      </c>
      <c r="AK364" s="37">
        <f t="shared" si="311"/>
        <v>1</v>
      </c>
      <c r="AL364" s="37">
        <f t="shared" si="311"/>
        <v>5</v>
      </c>
      <c r="AM364" s="40">
        <f t="shared" si="311"/>
        <v>0</v>
      </c>
      <c r="AN364" s="59">
        <f>SUM(AF364:AM364)</f>
        <v>95</v>
      </c>
      <c r="AP364" s="59">
        <f>SUM(J364+T364+AD364+AN364)</f>
        <v>225</v>
      </c>
    </row>
    <row r="365" spans="1:42" ht="15.75" customHeight="1">
      <c r="A365" s="58">
        <v>0.64583333333333337</v>
      </c>
      <c r="B365" s="36">
        <f t="shared" si="308"/>
        <v>17</v>
      </c>
      <c r="C365" s="37">
        <f t="shared" si="308"/>
        <v>4</v>
      </c>
      <c r="D365" s="37">
        <f t="shared" si="308"/>
        <v>0</v>
      </c>
      <c r="E365" s="37">
        <f t="shared" si="308"/>
        <v>0</v>
      </c>
      <c r="F365" s="37">
        <f t="shared" si="308"/>
        <v>0</v>
      </c>
      <c r="G365" s="37">
        <f t="shared" si="308"/>
        <v>1</v>
      </c>
      <c r="H365" s="37">
        <f t="shared" si="308"/>
        <v>13</v>
      </c>
      <c r="I365" s="40">
        <f t="shared" si="308"/>
        <v>0</v>
      </c>
      <c r="J365" s="59">
        <f>SUM(B365:I365)</f>
        <v>35</v>
      </c>
      <c r="L365" s="36">
        <f t="shared" si="309"/>
        <v>0</v>
      </c>
      <c r="M365" s="37">
        <f t="shared" si="309"/>
        <v>0</v>
      </c>
      <c r="N365" s="37">
        <f t="shared" si="309"/>
        <v>0</v>
      </c>
      <c r="O365" s="37">
        <f t="shared" si="309"/>
        <v>0</v>
      </c>
      <c r="P365" s="37">
        <f t="shared" si="309"/>
        <v>0</v>
      </c>
      <c r="Q365" s="37">
        <f t="shared" si="309"/>
        <v>0</v>
      </c>
      <c r="R365" s="37">
        <f t="shared" si="309"/>
        <v>1</v>
      </c>
      <c r="S365" s="40">
        <f t="shared" si="309"/>
        <v>0</v>
      </c>
      <c r="T365" s="59">
        <f>SUM(L365:S365)</f>
        <v>1</v>
      </c>
      <c r="V365" s="36">
        <f t="shared" si="310"/>
        <v>63</v>
      </c>
      <c r="W365" s="37">
        <f t="shared" si="310"/>
        <v>14</v>
      </c>
      <c r="X365" s="37">
        <f t="shared" si="310"/>
        <v>1</v>
      </c>
      <c r="Y365" s="37">
        <f t="shared" si="310"/>
        <v>0</v>
      </c>
      <c r="Z365" s="37">
        <f t="shared" si="310"/>
        <v>2</v>
      </c>
      <c r="AA365" s="37">
        <f t="shared" si="310"/>
        <v>1</v>
      </c>
      <c r="AB365" s="37">
        <f t="shared" si="310"/>
        <v>3</v>
      </c>
      <c r="AC365" s="40">
        <f t="shared" si="310"/>
        <v>0</v>
      </c>
      <c r="AD365" s="59">
        <f>SUM(V365:AC365)</f>
        <v>84</v>
      </c>
      <c r="AF365" s="36">
        <f t="shared" si="311"/>
        <v>71</v>
      </c>
      <c r="AG365" s="37">
        <f t="shared" si="311"/>
        <v>20</v>
      </c>
      <c r="AH365" s="37">
        <f t="shared" si="311"/>
        <v>1</v>
      </c>
      <c r="AI365" s="37">
        <f t="shared" si="311"/>
        <v>0</v>
      </c>
      <c r="AJ365" s="37">
        <f t="shared" si="311"/>
        <v>0</v>
      </c>
      <c r="AK365" s="37">
        <f t="shared" si="311"/>
        <v>1</v>
      </c>
      <c r="AL365" s="37">
        <f t="shared" si="311"/>
        <v>12</v>
      </c>
      <c r="AM365" s="40">
        <f t="shared" si="311"/>
        <v>0</v>
      </c>
      <c r="AN365" s="59">
        <f>SUM(AF365:AM365)</f>
        <v>105</v>
      </c>
      <c r="AP365" s="59">
        <f>SUM(J365+T365+AD365+AN365)</f>
        <v>225</v>
      </c>
    </row>
    <row r="366" spans="1:42" ht="15.75" customHeight="1">
      <c r="A366" s="60">
        <v>0.65625</v>
      </c>
      <c r="B366" s="41">
        <f t="shared" si="308"/>
        <v>18</v>
      </c>
      <c r="C366" s="42">
        <f t="shared" si="308"/>
        <v>1</v>
      </c>
      <c r="D366" s="42">
        <f t="shared" si="308"/>
        <v>0</v>
      </c>
      <c r="E366" s="42">
        <f t="shared" si="308"/>
        <v>0</v>
      </c>
      <c r="F366" s="42">
        <f t="shared" si="308"/>
        <v>0</v>
      </c>
      <c r="G366" s="42">
        <f t="shared" si="308"/>
        <v>0</v>
      </c>
      <c r="H366" s="42">
        <f t="shared" si="308"/>
        <v>30</v>
      </c>
      <c r="I366" s="43">
        <f t="shared" si="308"/>
        <v>0</v>
      </c>
      <c r="J366" s="61">
        <f>SUM(B366:I366)</f>
        <v>49</v>
      </c>
      <c r="L366" s="41">
        <f t="shared" si="309"/>
        <v>0</v>
      </c>
      <c r="M366" s="42">
        <f t="shared" si="309"/>
        <v>0</v>
      </c>
      <c r="N366" s="42">
        <f t="shared" si="309"/>
        <v>0</v>
      </c>
      <c r="O366" s="42">
        <f t="shared" si="309"/>
        <v>0</v>
      </c>
      <c r="P366" s="42">
        <f t="shared" si="309"/>
        <v>0</v>
      </c>
      <c r="Q366" s="42">
        <f t="shared" si="309"/>
        <v>0</v>
      </c>
      <c r="R366" s="42">
        <f t="shared" si="309"/>
        <v>0</v>
      </c>
      <c r="S366" s="43">
        <f t="shared" si="309"/>
        <v>0</v>
      </c>
      <c r="T366" s="61">
        <f>SUM(L366:S366)</f>
        <v>0</v>
      </c>
      <c r="V366" s="41">
        <f t="shared" si="310"/>
        <v>64</v>
      </c>
      <c r="W366" s="42">
        <f t="shared" si="310"/>
        <v>5</v>
      </c>
      <c r="X366" s="42">
        <f t="shared" si="310"/>
        <v>2</v>
      </c>
      <c r="Y366" s="42">
        <f t="shared" si="310"/>
        <v>0</v>
      </c>
      <c r="Z366" s="42">
        <f t="shared" si="310"/>
        <v>0</v>
      </c>
      <c r="AA366" s="42">
        <f t="shared" si="310"/>
        <v>0</v>
      </c>
      <c r="AB366" s="42">
        <f t="shared" si="310"/>
        <v>1</v>
      </c>
      <c r="AC366" s="43">
        <f t="shared" si="310"/>
        <v>0</v>
      </c>
      <c r="AD366" s="61">
        <f>SUM(V366:AC366)</f>
        <v>72</v>
      </c>
      <c r="AF366" s="41">
        <f t="shared" si="311"/>
        <v>82</v>
      </c>
      <c r="AG366" s="42">
        <f t="shared" si="311"/>
        <v>22</v>
      </c>
      <c r="AH366" s="42">
        <f t="shared" si="311"/>
        <v>2</v>
      </c>
      <c r="AI366" s="42">
        <f t="shared" si="311"/>
        <v>1</v>
      </c>
      <c r="AJ366" s="42">
        <f t="shared" si="311"/>
        <v>2</v>
      </c>
      <c r="AK366" s="42">
        <f t="shared" si="311"/>
        <v>2</v>
      </c>
      <c r="AL366" s="42">
        <f t="shared" si="311"/>
        <v>5</v>
      </c>
      <c r="AM366" s="43">
        <f t="shared" si="311"/>
        <v>0</v>
      </c>
      <c r="AN366" s="61">
        <f>SUM(AF366:AM366)</f>
        <v>116</v>
      </c>
      <c r="AP366" s="61">
        <f>SUM(J366+T366+AD366+AN366)</f>
        <v>237</v>
      </c>
    </row>
    <row r="367" spans="1:42" ht="15.75" customHeight="1">
      <c r="A367" s="48" t="s">
        <v>29</v>
      </c>
      <c r="B367" s="45">
        <f t="shared" ref="B367:J367" si="312">SUM(B363:B366)</f>
        <v>71</v>
      </c>
      <c r="C367" s="46">
        <f t="shared" si="312"/>
        <v>15</v>
      </c>
      <c r="D367" s="46">
        <f t="shared" si="312"/>
        <v>1</v>
      </c>
      <c r="E367" s="46">
        <f t="shared" si="312"/>
        <v>0</v>
      </c>
      <c r="F367" s="46">
        <f t="shared" si="312"/>
        <v>0</v>
      </c>
      <c r="G367" s="46">
        <f t="shared" si="312"/>
        <v>1</v>
      </c>
      <c r="H367" s="46">
        <f t="shared" si="312"/>
        <v>97</v>
      </c>
      <c r="I367" s="47">
        <f t="shared" si="312"/>
        <v>0</v>
      </c>
      <c r="J367" s="48">
        <f t="shared" si="312"/>
        <v>185</v>
      </c>
      <c r="L367" s="45">
        <f t="shared" ref="L367:T367" si="313">SUM(L363:L366)</f>
        <v>0</v>
      </c>
      <c r="M367" s="46">
        <f t="shared" si="313"/>
        <v>0</v>
      </c>
      <c r="N367" s="46">
        <f t="shared" si="313"/>
        <v>0</v>
      </c>
      <c r="O367" s="46">
        <f t="shared" si="313"/>
        <v>0</v>
      </c>
      <c r="P367" s="46">
        <f t="shared" si="313"/>
        <v>0</v>
      </c>
      <c r="Q367" s="46">
        <f t="shared" si="313"/>
        <v>0</v>
      </c>
      <c r="R367" s="46">
        <f t="shared" si="313"/>
        <v>7</v>
      </c>
      <c r="S367" s="47">
        <f t="shared" si="313"/>
        <v>0</v>
      </c>
      <c r="T367" s="48">
        <f t="shared" si="313"/>
        <v>7</v>
      </c>
      <c r="V367" s="45">
        <f t="shared" ref="V367:AD367" si="314">SUM(V363:V366)</f>
        <v>238</v>
      </c>
      <c r="W367" s="46">
        <f t="shared" si="314"/>
        <v>32</v>
      </c>
      <c r="X367" s="46">
        <f t="shared" si="314"/>
        <v>9</v>
      </c>
      <c r="Y367" s="46">
        <f t="shared" si="314"/>
        <v>0</v>
      </c>
      <c r="Z367" s="46">
        <f t="shared" si="314"/>
        <v>5</v>
      </c>
      <c r="AA367" s="46">
        <f t="shared" si="314"/>
        <v>2</v>
      </c>
      <c r="AB367" s="46">
        <f t="shared" si="314"/>
        <v>19</v>
      </c>
      <c r="AC367" s="47">
        <f t="shared" si="314"/>
        <v>0</v>
      </c>
      <c r="AD367" s="48">
        <f t="shared" si="314"/>
        <v>305</v>
      </c>
      <c r="AF367" s="45">
        <f t="shared" ref="AF367:AN367" si="315">SUM(AF363:AF366)</f>
        <v>291</v>
      </c>
      <c r="AG367" s="46">
        <f t="shared" si="315"/>
        <v>62</v>
      </c>
      <c r="AH367" s="46">
        <f t="shared" si="315"/>
        <v>4</v>
      </c>
      <c r="AI367" s="46">
        <f t="shared" si="315"/>
        <v>1</v>
      </c>
      <c r="AJ367" s="46">
        <f t="shared" si="315"/>
        <v>3</v>
      </c>
      <c r="AK367" s="46">
        <f t="shared" si="315"/>
        <v>6</v>
      </c>
      <c r="AL367" s="46">
        <f t="shared" si="315"/>
        <v>28</v>
      </c>
      <c r="AM367" s="47">
        <f t="shared" si="315"/>
        <v>0</v>
      </c>
      <c r="AN367" s="48">
        <f t="shared" si="315"/>
        <v>395</v>
      </c>
      <c r="AP367" s="48">
        <f>SUM(AP363:AP366)</f>
        <v>892</v>
      </c>
    </row>
    <row r="368" spans="1:42" ht="15.75" customHeight="1">
      <c r="A368" s="56">
        <v>0.66666666666666663</v>
      </c>
      <c r="B368" s="32">
        <f t="shared" ref="B368:I371" si="316">SUM(B64+L64+V64+AF64)</f>
        <v>29</v>
      </c>
      <c r="C368" s="33">
        <f t="shared" si="316"/>
        <v>2</v>
      </c>
      <c r="D368" s="33">
        <f t="shared" si="316"/>
        <v>1</v>
      </c>
      <c r="E368" s="33">
        <f t="shared" si="316"/>
        <v>0</v>
      </c>
      <c r="F368" s="33">
        <f t="shared" si="316"/>
        <v>0</v>
      </c>
      <c r="G368" s="33">
        <f t="shared" si="316"/>
        <v>0</v>
      </c>
      <c r="H368" s="33">
        <f t="shared" si="316"/>
        <v>27</v>
      </c>
      <c r="I368" s="34">
        <f t="shared" si="316"/>
        <v>0</v>
      </c>
      <c r="J368" s="57">
        <f>SUM(B368:I368)</f>
        <v>59</v>
      </c>
      <c r="L368" s="32">
        <f t="shared" ref="L368:S371" si="317">SUM(B140+L140+V140+AF140)</f>
        <v>0</v>
      </c>
      <c r="M368" s="33">
        <f t="shared" si="317"/>
        <v>0</v>
      </c>
      <c r="N368" s="33">
        <f t="shared" si="317"/>
        <v>0</v>
      </c>
      <c r="O368" s="33">
        <f t="shared" si="317"/>
        <v>0</v>
      </c>
      <c r="P368" s="33">
        <f t="shared" si="317"/>
        <v>0</v>
      </c>
      <c r="Q368" s="33">
        <f t="shared" si="317"/>
        <v>0</v>
      </c>
      <c r="R368" s="33">
        <f t="shared" si="317"/>
        <v>2</v>
      </c>
      <c r="S368" s="34">
        <f t="shared" si="317"/>
        <v>0</v>
      </c>
      <c r="T368" s="57">
        <f>SUM(L368:S368)</f>
        <v>2</v>
      </c>
      <c r="V368" s="32">
        <f t="shared" ref="V368:AC371" si="318">SUM(B216+L216+V216+AF216)</f>
        <v>66</v>
      </c>
      <c r="W368" s="33">
        <f t="shared" si="318"/>
        <v>5</v>
      </c>
      <c r="X368" s="33">
        <f t="shared" si="318"/>
        <v>3</v>
      </c>
      <c r="Y368" s="33">
        <f t="shared" si="318"/>
        <v>0</v>
      </c>
      <c r="Z368" s="33">
        <f t="shared" si="318"/>
        <v>0</v>
      </c>
      <c r="AA368" s="33">
        <f t="shared" si="318"/>
        <v>1</v>
      </c>
      <c r="AB368" s="33">
        <f t="shared" si="318"/>
        <v>3</v>
      </c>
      <c r="AC368" s="34">
        <f t="shared" si="318"/>
        <v>0</v>
      </c>
      <c r="AD368" s="57">
        <f>SUM(V368:AC368)</f>
        <v>78</v>
      </c>
      <c r="AF368" s="32">
        <f t="shared" ref="AF368:AM371" si="319">SUM(B292+L292+V292+AF292)</f>
        <v>102</v>
      </c>
      <c r="AG368" s="33">
        <f t="shared" si="319"/>
        <v>15</v>
      </c>
      <c r="AH368" s="33">
        <f t="shared" si="319"/>
        <v>1</v>
      </c>
      <c r="AI368" s="33">
        <f t="shared" si="319"/>
        <v>0</v>
      </c>
      <c r="AJ368" s="33">
        <f t="shared" si="319"/>
        <v>1</v>
      </c>
      <c r="AK368" s="33">
        <f t="shared" si="319"/>
        <v>6</v>
      </c>
      <c r="AL368" s="33">
        <f t="shared" si="319"/>
        <v>15</v>
      </c>
      <c r="AM368" s="34">
        <f t="shared" si="319"/>
        <v>0</v>
      </c>
      <c r="AN368" s="57">
        <f>SUM(AF368:AM368)</f>
        <v>140</v>
      </c>
      <c r="AP368" s="57">
        <f>SUM(J368+T368+AD368+AN368)</f>
        <v>279</v>
      </c>
    </row>
    <row r="369" spans="1:42" ht="15.75" customHeight="1">
      <c r="A369" s="58">
        <v>0.67708333333333337</v>
      </c>
      <c r="B369" s="36">
        <f t="shared" si="316"/>
        <v>32</v>
      </c>
      <c r="C369" s="37">
        <f t="shared" si="316"/>
        <v>4</v>
      </c>
      <c r="D369" s="37">
        <f t="shared" si="316"/>
        <v>0</v>
      </c>
      <c r="E369" s="37">
        <f t="shared" si="316"/>
        <v>0</v>
      </c>
      <c r="F369" s="37">
        <f t="shared" si="316"/>
        <v>0</v>
      </c>
      <c r="G369" s="37">
        <f t="shared" si="316"/>
        <v>0</v>
      </c>
      <c r="H369" s="37">
        <f t="shared" si="316"/>
        <v>38</v>
      </c>
      <c r="I369" s="40">
        <f t="shared" si="316"/>
        <v>0</v>
      </c>
      <c r="J369" s="59">
        <f>SUM(B369:I369)</f>
        <v>74</v>
      </c>
      <c r="L369" s="36">
        <f t="shared" si="317"/>
        <v>0</v>
      </c>
      <c r="M369" s="37">
        <f t="shared" si="317"/>
        <v>0</v>
      </c>
      <c r="N369" s="37">
        <f t="shared" si="317"/>
        <v>0</v>
      </c>
      <c r="O369" s="37">
        <f t="shared" si="317"/>
        <v>0</v>
      </c>
      <c r="P369" s="37">
        <f t="shared" si="317"/>
        <v>0</v>
      </c>
      <c r="Q369" s="37">
        <f t="shared" si="317"/>
        <v>0</v>
      </c>
      <c r="R369" s="37">
        <f t="shared" si="317"/>
        <v>1</v>
      </c>
      <c r="S369" s="40">
        <f t="shared" si="317"/>
        <v>0</v>
      </c>
      <c r="T369" s="59">
        <f>SUM(L369:S369)</f>
        <v>1</v>
      </c>
      <c r="V369" s="36">
        <f t="shared" si="318"/>
        <v>77</v>
      </c>
      <c r="W369" s="37">
        <f t="shared" si="318"/>
        <v>12</v>
      </c>
      <c r="X369" s="37">
        <f t="shared" si="318"/>
        <v>0</v>
      </c>
      <c r="Y369" s="37">
        <f t="shared" si="318"/>
        <v>0</v>
      </c>
      <c r="Z369" s="37">
        <f t="shared" si="318"/>
        <v>0</v>
      </c>
      <c r="AA369" s="37">
        <f t="shared" si="318"/>
        <v>2</v>
      </c>
      <c r="AB369" s="37">
        <f t="shared" si="318"/>
        <v>3</v>
      </c>
      <c r="AC369" s="40">
        <f t="shared" si="318"/>
        <v>0</v>
      </c>
      <c r="AD369" s="59">
        <f>SUM(V369:AC369)</f>
        <v>94</v>
      </c>
      <c r="AF369" s="36">
        <f t="shared" si="319"/>
        <v>90</v>
      </c>
      <c r="AG369" s="37">
        <f t="shared" si="319"/>
        <v>17</v>
      </c>
      <c r="AH369" s="37">
        <f t="shared" si="319"/>
        <v>2</v>
      </c>
      <c r="AI369" s="37">
        <f t="shared" si="319"/>
        <v>0</v>
      </c>
      <c r="AJ369" s="37">
        <f t="shared" si="319"/>
        <v>0</v>
      </c>
      <c r="AK369" s="37">
        <f t="shared" si="319"/>
        <v>2</v>
      </c>
      <c r="AL369" s="37">
        <f t="shared" si="319"/>
        <v>19</v>
      </c>
      <c r="AM369" s="40">
        <f t="shared" si="319"/>
        <v>0</v>
      </c>
      <c r="AN369" s="59">
        <f>SUM(AF369:AM369)</f>
        <v>130</v>
      </c>
      <c r="AP369" s="59">
        <f>SUM(J369+T369+AD369+AN369)</f>
        <v>299</v>
      </c>
    </row>
    <row r="370" spans="1:42" ht="15.75" customHeight="1">
      <c r="A370" s="58">
        <v>0.6875</v>
      </c>
      <c r="B370" s="36">
        <f t="shared" si="316"/>
        <v>39</v>
      </c>
      <c r="C370" s="37">
        <f t="shared" si="316"/>
        <v>2</v>
      </c>
      <c r="D370" s="37">
        <f t="shared" si="316"/>
        <v>0</v>
      </c>
      <c r="E370" s="37">
        <f t="shared" si="316"/>
        <v>0</v>
      </c>
      <c r="F370" s="37">
        <f t="shared" si="316"/>
        <v>0</v>
      </c>
      <c r="G370" s="37">
        <f t="shared" si="316"/>
        <v>1</v>
      </c>
      <c r="H370" s="37">
        <f t="shared" si="316"/>
        <v>44</v>
      </c>
      <c r="I370" s="40">
        <f t="shared" si="316"/>
        <v>0</v>
      </c>
      <c r="J370" s="59">
        <f>SUM(B370:I370)</f>
        <v>86</v>
      </c>
      <c r="L370" s="36">
        <f t="shared" si="317"/>
        <v>0</v>
      </c>
      <c r="M370" s="37">
        <f t="shared" si="317"/>
        <v>0</v>
      </c>
      <c r="N370" s="37">
        <f t="shared" si="317"/>
        <v>0</v>
      </c>
      <c r="O370" s="37">
        <f t="shared" si="317"/>
        <v>0</v>
      </c>
      <c r="P370" s="37">
        <f t="shared" si="317"/>
        <v>0</v>
      </c>
      <c r="Q370" s="37">
        <f t="shared" si="317"/>
        <v>0</v>
      </c>
      <c r="R370" s="37">
        <f t="shared" si="317"/>
        <v>4</v>
      </c>
      <c r="S370" s="40">
        <f t="shared" si="317"/>
        <v>0</v>
      </c>
      <c r="T370" s="59">
        <f>SUM(L370:S370)</f>
        <v>4</v>
      </c>
      <c r="V370" s="36">
        <f t="shared" si="318"/>
        <v>87</v>
      </c>
      <c r="W370" s="37">
        <f t="shared" si="318"/>
        <v>9</v>
      </c>
      <c r="X370" s="37">
        <f t="shared" si="318"/>
        <v>0</v>
      </c>
      <c r="Y370" s="37">
        <f t="shared" si="318"/>
        <v>0</v>
      </c>
      <c r="Z370" s="37">
        <f t="shared" si="318"/>
        <v>1</v>
      </c>
      <c r="AA370" s="37">
        <f t="shared" si="318"/>
        <v>2</v>
      </c>
      <c r="AB370" s="37">
        <f t="shared" si="318"/>
        <v>5</v>
      </c>
      <c r="AC370" s="40">
        <f t="shared" si="318"/>
        <v>0</v>
      </c>
      <c r="AD370" s="59">
        <f>SUM(V370:AC370)</f>
        <v>104</v>
      </c>
      <c r="AF370" s="36">
        <f t="shared" si="319"/>
        <v>104</v>
      </c>
      <c r="AG370" s="37">
        <f t="shared" si="319"/>
        <v>26</v>
      </c>
      <c r="AH370" s="37">
        <f t="shared" si="319"/>
        <v>0</v>
      </c>
      <c r="AI370" s="37">
        <f t="shared" si="319"/>
        <v>0</v>
      </c>
      <c r="AJ370" s="37">
        <f t="shared" si="319"/>
        <v>0</v>
      </c>
      <c r="AK370" s="37">
        <f t="shared" si="319"/>
        <v>3</v>
      </c>
      <c r="AL370" s="37">
        <f t="shared" si="319"/>
        <v>13</v>
      </c>
      <c r="AM370" s="40">
        <f t="shared" si="319"/>
        <v>0</v>
      </c>
      <c r="AN370" s="59">
        <f>SUM(AF370:AM370)</f>
        <v>146</v>
      </c>
      <c r="AP370" s="59">
        <f>SUM(J370+T370+AD370+AN370)</f>
        <v>340</v>
      </c>
    </row>
    <row r="371" spans="1:42" ht="15.75" customHeight="1">
      <c r="A371" s="60">
        <v>0.69791666666666663</v>
      </c>
      <c r="B371" s="41">
        <f t="shared" si="316"/>
        <v>32</v>
      </c>
      <c r="C371" s="42">
        <f t="shared" si="316"/>
        <v>3</v>
      </c>
      <c r="D371" s="42">
        <f t="shared" si="316"/>
        <v>0</v>
      </c>
      <c r="E371" s="42">
        <f t="shared" si="316"/>
        <v>0</v>
      </c>
      <c r="F371" s="42">
        <f t="shared" si="316"/>
        <v>0</v>
      </c>
      <c r="G371" s="42">
        <f t="shared" si="316"/>
        <v>0</v>
      </c>
      <c r="H371" s="42">
        <f t="shared" si="316"/>
        <v>8</v>
      </c>
      <c r="I371" s="43">
        <f t="shared" si="316"/>
        <v>1</v>
      </c>
      <c r="J371" s="61">
        <f>SUM(B371:I371)</f>
        <v>44</v>
      </c>
      <c r="L371" s="41">
        <f t="shared" si="317"/>
        <v>0</v>
      </c>
      <c r="M371" s="42">
        <f t="shared" si="317"/>
        <v>0</v>
      </c>
      <c r="N371" s="42">
        <f t="shared" si="317"/>
        <v>0</v>
      </c>
      <c r="O371" s="42">
        <f t="shared" si="317"/>
        <v>0</v>
      </c>
      <c r="P371" s="42">
        <f t="shared" si="317"/>
        <v>0</v>
      </c>
      <c r="Q371" s="42">
        <f t="shared" si="317"/>
        <v>0</v>
      </c>
      <c r="R371" s="42">
        <f t="shared" si="317"/>
        <v>1</v>
      </c>
      <c r="S371" s="43">
        <f t="shared" si="317"/>
        <v>0</v>
      </c>
      <c r="T371" s="61">
        <f>SUM(L371:S371)</f>
        <v>1</v>
      </c>
      <c r="V371" s="41">
        <f t="shared" si="318"/>
        <v>75</v>
      </c>
      <c r="W371" s="42">
        <f t="shared" si="318"/>
        <v>5</v>
      </c>
      <c r="X371" s="42">
        <f t="shared" si="318"/>
        <v>2</v>
      </c>
      <c r="Y371" s="42">
        <f t="shared" si="318"/>
        <v>2</v>
      </c>
      <c r="Z371" s="42">
        <f t="shared" si="318"/>
        <v>2</v>
      </c>
      <c r="AA371" s="42">
        <f t="shared" si="318"/>
        <v>3</v>
      </c>
      <c r="AB371" s="42">
        <f t="shared" si="318"/>
        <v>7</v>
      </c>
      <c r="AC371" s="43">
        <f t="shared" si="318"/>
        <v>0</v>
      </c>
      <c r="AD371" s="61">
        <f>SUM(V371:AC371)</f>
        <v>96</v>
      </c>
      <c r="AF371" s="41">
        <f t="shared" si="319"/>
        <v>144</v>
      </c>
      <c r="AG371" s="42">
        <f t="shared" si="319"/>
        <v>18</v>
      </c>
      <c r="AH371" s="42">
        <f t="shared" si="319"/>
        <v>0</v>
      </c>
      <c r="AI371" s="42">
        <f t="shared" si="319"/>
        <v>0</v>
      </c>
      <c r="AJ371" s="42">
        <f t="shared" si="319"/>
        <v>1</v>
      </c>
      <c r="AK371" s="42">
        <f t="shared" si="319"/>
        <v>3</v>
      </c>
      <c r="AL371" s="42">
        <f t="shared" si="319"/>
        <v>10</v>
      </c>
      <c r="AM371" s="43">
        <f t="shared" si="319"/>
        <v>0</v>
      </c>
      <c r="AN371" s="61">
        <f>SUM(AF371:AM371)</f>
        <v>176</v>
      </c>
      <c r="AP371" s="61">
        <f>SUM(J371+T371+AD371+AN371)</f>
        <v>317</v>
      </c>
    </row>
    <row r="372" spans="1:42" ht="15.75" customHeight="1">
      <c r="A372" s="48" t="s">
        <v>29</v>
      </c>
      <c r="B372" s="45">
        <f t="shared" ref="B372:J372" si="320">SUM(B368:B371)</f>
        <v>132</v>
      </c>
      <c r="C372" s="46">
        <f t="shared" si="320"/>
        <v>11</v>
      </c>
      <c r="D372" s="46">
        <f t="shared" si="320"/>
        <v>1</v>
      </c>
      <c r="E372" s="46">
        <f t="shared" si="320"/>
        <v>0</v>
      </c>
      <c r="F372" s="46">
        <f t="shared" si="320"/>
        <v>0</v>
      </c>
      <c r="G372" s="46">
        <f t="shared" si="320"/>
        <v>1</v>
      </c>
      <c r="H372" s="46">
        <f t="shared" si="320"/>
        <v>117</v>
      </c>
      <c r="I372" s="47">
        <f t="shared" si="320"/>
        <v>1</v>
      </c>
      <c r="J372" s="48">
        <f t="shared" si="320"/>
        <v>263</v>
      </c>
      <c r="L372" s="45">
        <f t="shared" ref="L372:T372" si="321">SUM(L368:L371)</f>
        <v>0</v>
      </c>
      <c r="M372" s="46">
        <f t="shared" si="321"/>
        <v>0</v>
      </c>
      <c r="N372" s="46">
        <f t="shared" si="321"/>
        <v>0</v>
      </c>
      <c r="O372" s="46">
        <f t="shared" si="321"/>
        <v>0</v>
      </c>
      <c r="P372" s="46">
        <f t="shared" si="321"/>
        <v>0</v>
      </c>
      <c r="Q372" s="46">
        <f t="shared" si="321"/>
        <v>0</v>
      </c>
      <c r="R372" s="46">
        <f t="shared" si="321"/>
        <v>8</v>
      </c>
      <c r="S372" s="47">
        <f t="shared" si="321"/>
        <v>0</v>
      </c>
      <c r="T372" s="48">
        <f t="shared" si="321"/>
        <v>8</v>
      </c>
      <c r="V372" s="45">
        <f t="shared" ref="V372:AD372" si="322">SUM(V368:V371)</f>
        <v>305</v>
      </c>
      <c r="W372" s="46">
        <f t="shared" si="322"/>
        <v>31</v>
      </c>
      <c r="X372" s="46">
        <f t="shared" si="322"/>
        <v>5</v>
      </c>
      <c r="Y372" s="46">
        <f t="shared" si="322"/>
        <v>2</v>
      </c>
      <c r="Z372" s="46">
        <f t="shared" si="322"/>
        <v>3</v>
      </c>
      <c r="AA372" s="46">
        <f t="shared" si="322"/>
        <v>8</v>
      </c>
      <c r="AB372" s="46">
        <f t="shared" si="322"/>
        <v>18</v>
      </c>
      <c r="AC372" s="47">
        <f t="shared" si="322"/>
        <v>0</v>
      </c>
      <c r="AD372" s="48">
        <f t="shared" si="322"/>
        <v>372</v>
      </c>
      <c r="AF372" s="45">
        <f t="shared" ref="AF372:AN372" si="323">SUM(AF368:AF371)</f>
        <v>440</v>
      </c>
      <c r="AG372" s="46">
        <f t="shared" si="323"/>
        <v>76</v>
      </c>
      <c r="AH372" s="46">
        <f t="shared" si="323"/>
        <v>3</v>
      </c>
      <c r="AI372" s="46">
        <f t="shared" si="323"/>
        <v>0</v>
      </c>
      <c r="AJ372" s="46">
        <f t="shared" si="323"/>
        <v>2</v>
      </c>
      <c r="AK372" s="46">
        <f t="shared" si="323"/>
        <v>14</v>
      </c>
      <c r="AL372" s="46">
        <f t="shared" si="323"/>
        <v>57</v>
      </c>
      <c r="AM372" s="47">
        <f t="shared" si="323"/>
        <v>0</v>
      </c>
      <c r="AN372" s="48">
        <f t="shared" si="323"/>
        <v>592</v>
      </c>
      <c r="AP372" s="48">
        <f>SUM(AP368:AP371)</f>
        <v>1235</v>
      </c>
    </row>
    <row r="373" spans="1:42" ht="15.75" customHeight="1">
      <c r="A373" s="56">
        <v>0.70833333333333337</v>
      </c>
      <c r="B373" s="32">
        <f t="shared" ref="B373:I376" si="324">SUM(B69+L69+V69+AF69)</f>
        <v>40</v>
      </c>
      <c r="C373" s="33">
        <f t="shared" si="324"/>
        <v>0</v>
      </c>
      <c r="D373" s="33">
        <f t="shared" si="324"/>
        <v>0</v>
      </c>
      <c r="E373" s="33">
        <f t="shared" si="324"/>
        <v>0</v>
      </c>
      <c r="F373" s="33">
        <f t="shared" si="324"/>
        <v>0</v>
      </c>
      <c r="G373" s="33">
        <f t="shared" si="324"/>
        <v>3</v>
      </c>
      <c r="H373" s="33">
        <f t="shared" si="324"/>
        <v>50</v>
      </c>
      <c r="I373" s="34">
        <f t="shared" si="324"/>
        <v>0</v>
      </c>
      <c r="J373" s="57">
        <f>SUM(B373:I373)</f>
        <v>93</v>
      </c>
      <c r="L373" s="32">
        <f t="shared" ref="L373:S376" si="325">SUM(B145+L145+V145+AF145)</f>
        <v>0</v>
      </c>
      <c r="M373" s="33">
        <f t="shared" si="325"/>
        <v>0</v>
      </c>
      <c r="N373" s="33">
        <f t="shared" si="325"/>
        <v>0</v>
      </c>
      <c r="O373" s="33">
        <f t="shared" si="325"/>
        <v>0</v>
      </c>
      <c r="P373" s="33">
        <f t="shared" si="325"/>
        <v>0</v>
      </c>
      <c r="Q373" s="33">
        <f t="shared" si="325"/>
        <v>0</v>
      </c>
      <c r="R373" s="33">
        <f t="shared" si="325"/>
        <v>7</v>
      </c>
      <c r="S373" s="34">
        <f t="shared" si="325"/>
        <v>1</v>
      </c>
      <c r="T373" s="57">
        <f>SUM(L373:S373)</f>
        <v>8</v>
      </c>
      <c r="V373" s="32">
        <f t="shared" ref="V373:AC376" si="326">SUM(B221+L221+V221+AF221)</f>
        <v>109</v>
      </c>
      <c r="W373" s="33">
        <f t="shared" si="326"/>
        <v>12</v>
      </c>
      <c r="X373" s="33">
        <f t="shared" si="326"/>
        <v>1</v>
      </c>
      <c r="Y373" s="33">
        <f t="shared" si="326"/>
        <v>2</v>
      </c>
      <c r="Z373" s="33">
        <f t="shared" si="326"/>
        <v>0</v>
      </c>
      <c r="AA373" s="33">
        <f t="shared" si="326"/>
        <v>9</v>
      </c>
      <c r="AB373" s="33">
        <f t="shared" si="326"/>
        <v>8</v>
      </c>
      <c r="AC373" s="34">
        <f t="shared" si="326"/>
        <v>0</v>
      </c>
      <c r="AD373" s="57">
        <f>SUM(V373:AC373)</f>
        <v>141</v>
      </c>
      <c r="AF373" s="32">
        <f t="shared" ref="AF373:AM376" si="327">SUM(B297+L297+V297+AF297)</f>
        <v>104</v>
      </c>
      <c r="AG373" s="33">
        <f t="shared" si="327"/>
        <v>13</v>
      </c>
      <c r="AH373" s="33">
        <f t="shared" si="327"/>
        <v>1</v>
      </c>
      <c r="AI373" s="33">
        <f t="shared" si="327"/>
        <v>0</v>
      </c>
      <c r="AJ373" s="33">
        <f t="shared" si="327"/>
        <v>1</v>
      </c>
      <c r="AK373" s="33">
        <f t="shared" si="327"/>
        <v>3</v>
      </c>
      <c r="AL373" s="33">
        <f t="shared" si="327"/>
        <v>7</v>
      </c>
      <c r="AM373" s="34">
        <f t="shared" si="327"/>
        <v>0</v>
      </c>
      <c r="AN373" s="57">
        <f>SUM(AF373:AM373)</f>
        <v>129</v>
      </c>
      <c r="AP373" s="57">
        <f>SUM(J373+T373+AD373+AN373)</f>
        <v>371</v>
      </c>
    </row>
    <row r="374" spans="1:42" ht="15.75" customHeight="1">
      <c r="A374" s="58">
        <v>0.71875</v>
      </c>
      <c r="B374" s="36">
        <f t="shared" si="324"/>
        <v>52</v>
      </c>
      <c r="C374" s="37">
        <f t="shared" si="324"/>
        <v>3</v>
      </c>
      <c r="D374" s="37">
        <f t="shared" si="324"/>
        <v>1</v>
      </c>
      <c r="E374" s="37">
        <f t="shared" si="324"/>
        <v>0</v>
      </c>
      <c r="F374" s="37">
        <f t="shared" si="324"/>
        <v>0</v>
      </c>
      <c r="G374" s="37">
        <f t="shared" si="324"/>
        <v>0</v>
      </c>
      <c r="H374" s="37">
        <f t="shared" si="324"/>
        <v>92</v>
      </c>
      <c r="I374" s="40">
        <f t="shared" si="324"/>
        <v>0</v>
      </c>
      <c r="J374" s="59">
        <f>SUM(B374:I374)</f>
        <v>148</v>
      </c>
      <c r="L374" s="36">
        <f t="shared" si="325"/>
        <v>0</v>
      </c>
      <c r="M374" s="37">
        <f t="shared" si="325"/>
        <v>0</v>
      </c>
      <c r="N374" s="37">
        <f t="shared" si="325"/>
        <v>0</v>
      </c>
      <c r="O374" s="37">
        <f t="shared" si="325"/>
        <v>0</v>
      </c>
      <c r="P374" s="37">
        <f t="shared" si="325"/>
        <v>0</v>
      </c>
      <c r="Q374" s="37">
        <f t="shared" si="325"/>
        <v>0</v>
      </c>
      <c r="R374" s="37">
        <f t="shared" si="325"/>
        <v>7</v>
      </c>
      <c r="S374" s="40">
        <f t="shared" si="325"/>
        <v>1</v>
      </c>
      <c r="T374" s="59">
        <f>SUM(L374:S374)</f>
        <v>8</v>
      </c>
      <c r="V374" s="36">
        <f t="shared" si="326"/>
        <v>104</v>
      </c>
      <c r="W374" s="37">
        <f t="shared" si="326"/>
        <v>6</v>
      </c>
      <c r="X374" s="37">
        <f t="shared" si="326"/>
        <v>1</v>
      </c>
      <c r="Y374" s="37">
        <f t="shared" si="326"/>
        <v>0</v>
      </c>
      <c r="Z374" s="37">
        <f t="shared" si="326"/>
        <v>0</v>
      </c>
      <c r="AA374" s="37">
        <f t="shared" si="326"/>
        <v>3</v>
      </c>
      <c r="AB374" s="37">
        <f t="shared" si="326"/>
        <v>10</v>
      </c>
      <c r="AC374" s="40">
        <f t="shared" si="326"/>
        <v>0</v>
      </c>
      <c r="AD374" s="59">
        <f>SUM(V374:AC374)</f>
        <v>124</v>
      </c>
      <c r="AF374" s="36">
        <f t="shared" si="327"/>
        <v>107</v>
      </c>
      <c r="AG374" s="37">
        <f t="shared" si="327"/>
        <v>6</v>
      </c>
      <c r="AH374" s="37">
        <f t="shared" si="327"/>
        <v>1</v>
      </c>
      <c r="AI374" s="37">
        <f t="shared" si="327"/>
        <v>0</v>
      </c>
      <c r="AJ374" s="37">
        <f t="shared" si="327"/>
        <v>1</v>
      </c>
      <c r="AK374" s="37">
        <f t="shared" si="327"/>
        <v>1</v>
      </c>
      <c r="AL374" s="37">
        <f t="shared" si="327"/>
        <v>25</v>
      </c>
      <c r="AM374" s="40">
        <f t="shared" si="327"/>
        <v>0</v>
      </c>
      <c r="AN374" s="59">
        <f>SUM(AF374:AM374)</f>
        <v>141</v>
      </c>
      <c r="AP374" s="59">
        <f>SUM(J374+T374+AD374+AN374)</f>
        <v>421</v>
      </c>
    </row>
    <row r="375" spans="1:42" ht="15.75" customHeight="1">
      <c r="A375" s="58">
        <v>0.72916666666666663</v>
      </c>
      <c r="B375" s="36">
        <f t="shared" si="324"/>
        <v>44</v>
      </c>
      <c r="C375" s="37">
        <f t="shared" si="324"/>
        <v>0</v>
      </c>
      <c r="D375" s="37">
        <f t="shared" si="324"/>
        <v>0</v>
      </c>
      <c r="E375" s="37">
        <f t="shared" si="324"/>
        <v>0</v>
      </c>
      <c r="F375" s="37">
        <f t="shared" si="324"/>
        <v>0</v>
      </c>
      <c r="G375" s="37">
        <f t="shared" si="324"/>
        <v>0</v>
      </c>
      <c r="H375" s="37">
        <f t="shared" si="324"/>
        <v>77</v>
      </c>
      <c r="I375" s="40">
        <f t="shared" si="324"/>
        <v>0</v>
      </c>
      <c r="J375" s="59">
        <f>SUM(B375:I375)</f>
        <v>121</v>
      </c>
      <c r="L375" s="36">
        <f t="shared" si="325"/>
        <v>0</v>
      </c>
      <c r="M375" s="37">
        <f t="shared" si="325"/>
        <v>0</v>
      </c>
      <c r="N375" s="37">
        <f t="shared" si="325"/>
        <v>0</v>
      </c>
      <c r="O375" s="37">
        <f t="shared" si="325"/>
        <v>0</v>
      </c>
      <c r="P375" s="37">
        <f t="shared" si="325"/>
        <v>0</v>
      </c>
      <c r="Q375" s="37">
        <f t="shared" si="325"/>
        <v>0</v>
      </c>
      <c r="R375" s="37">
        <f t="shared" si="325"/>
        <v>4</v>
      </c>
      <c r="S375" s="40">
        <f t="shared" si="325"/>
        <v>1</v>
      </c>
      <c r="T375" s="59">
        <f>SUM(L375:S375)</f>
        <v>5</v>
      </c>
      <c r="V375" s="36">
        <f t="shared" si="326"/>
        <v>93</v>
      </c>
      <c r="W375" s="37">
        <f t="shared" si="326"/>
        <v>8</v>
      </c>
      <c r="X375" s="37">
        <f t="shared" si="326"/>
        <v>0</v>
      </c>
      <c r="Y375" s="37">
        <f t="shared" si="326"/>
        <v>0</v>
      </c>
      <c r="Z375" s="37">
        <f t="shared" si="326"/>
        <v>1</v>
      </c>
      <c r="AA375" s="37">
        <f t="shared" si="326"/>
        <v>4</v>
      </c>
      <c r="AB375" s="37">
        <f t="shared" si="326"/>
        <v>10</v>
      </c>
      <c r="AC375" s="40">
        <f t="shared" si="326"/>
        <v>0</v>
      </c>
      <c r="AD375" s="59">
        <f>SUM(V375:AC375)</f>
        <v>116</v>
      </c>
      <c r="AF375" s="36">
        <f t="shared" si="327"/>
        <v>97</v>
      </c>
      <c r="AG375" s="37">
        <f t="shared" si="327"/>
        <v>9</v>
      </c>
      <c r="AH375" s="37">
        <f t="shared" si="327"/>
        <v>1</v>
      </c>
      <c r="AI375" s="37">
        <f t="shared" si="327"/>
        <v>0</v>
      </c>
      <c r="AJ375" s="37">
        <f t="shared" si="327"/>
        <v>2</v>
      </c>
      <c r="AK375" s="37">
        <f t="shared" si="327"/>
        <v>7</v>
      </c>
      <c r="AL375" s="37">
        <f t="shared" si="327"/>
        <v>24</v>
      </c>
      <c r="AM375" s="40">
        <f t="shared" si="327"/>
        <v>0</v>
      </c>
      <c r="AN375" s="59">
        <f>SUM(AF375:AM375)</f>
        <v>140</v>
      </c>
      <c r="AP375" s="59">
        <f>SUM(J375+T375+AD375+AN375)</f>
        <v>382</v>
      </c>
    </row>
    <row r="376" spans="1:42" ht="15.75" customHeight="1">
      <c r="A376" s="60">
        <v>0.73958333333333337</v>
      </c>
      <c r="B376" s="41">
        <f t="shared" si="324"/>
        <v>42</v>
      </c>
      <c r="C376" s="42">
        <f t="shared" si="324"/>
        <v>2</v>
      </c>
      <c r="D376" s="42">
        <f t="shared" si="324"/>
        <v>0</v>
      </c>
      <c r="E376" s="42">
        <f t="shared" si="324"/>
        <v>0</v>
      </c>
      <c r="F376" s="42">
        <f t="shared" si="324"/>
        <v>0</v>
      </c>
      <c r="G376" s="42">
        <f t="shared" si="324"/>
        <v>2</v>
      </c>
      <c r="H376" s="42">
        <f t="shared" si="324"/>
        <v>82</v>
      </c>
      <c r="I376" s="43">
        <f t="shared" si="324"/>
        <v>0</v>
      </c>
      <c r="J376" s="61">
        <f>SUM(B376:I376)</f>
        <v>128</v>
      </c>
      <c r="L376" s="41">
        <f t="shared" si="325"/>
        <v>0</v>
      </c>
      <c r="M376" s="42">
        <f t="shared" si="325"/>
        <v>0</v>
      </c>
      <c r="N376" s="42">
        <f t="shared" si="325"/>
        <v>0</v>
      </c>
      <c r="O376" s="42">
        <f t="shared" si="325"/>
        <v>0</v>
      </c>
      <c r="P376" s="42">
        <f t="shared" si="325"/>
        <v>0</v>
      </c>
      <c r="Q376" s="42">
        <f t="shared" si="325"/>
        <v>0</v>
      </c>
      <c r="R376" s="42">
        <f t="shared" si="325"/>
        <v>7</v>
      </c>
      <c r="S376" s="43">
        <f t="shared" si="325"/>
        <v>1</v>
      </c>
      <c r="T376" s="61">
        <f>SUM(L376:S376)</f>
        <v>8</v>
      </c>
      <c r="V376" s="41">
        <f t="shared" si="326"/>
        <v>112</v>
      </c>
      <c r="W376" s="42">
        <f t="shared" si="326"/>
        <v>9</v>
      </c>
      <c r="X376" s="42">
        <f t="shared" si="326"/>
        <v>0</v>
      </c>
      <c r="Y376" s="42">
        <f t="shared" si="326"/>
        <v>0</v>
      </c>
      <c r="Z376" s="42">
        <f t="shared" si="326"/>
        <v>0</v>
      </c>
      <c r="AA376" s="42">
        <f t="shared" si="326"/>
        <v>4</v>
      </c>
      <c r="AB376" s="42">
        <f t="shared" si="326"/>
        <v>4</v>
      </c>
      <c r="AC376" s="43">
        <f t="shared" si="326"/>
        <v>0</v>
      </c>
      <c r="AD376" s="61">
        <f>SUM(V376:AC376)</f>
        <v>129</v>
      </c>
      <c r="AF376" s="41">
        <f t="shared" si="327"/>
        <v>109</v>
      </c>
      <c r="AG376" s="42">
        <f t="shared" si="327"/>
        <v>7</v>
      </c>
      <c r="AH376" s="42">
        <f t="shared" si="327"/>
        <v>0</v>
      </c>
      <c r="AI376" s="42">
        <f t="shared" si="327"/>
        <v>0</v>
      </c>
      <c r="AJ376" s="42">
        <f t="shared" si="327"/>
        <v>0</v>
      </c>
      <c r="AK376" s="42">
        <f t="shared" si="327"/>
        <v>2</v>
      </c>
      <c r="AL376" s="42">
        <f t="shared" si="327"/>
        <v>25</v>
      </c>
      <c r="AM376" s="43">
        <f t="shared" si="327"/>
        <v>0</v>
      </c>
      <c r="AN376" s="61">
        <f>SUM(AF376:AM376)</f>
        <v>143</v>
      </c>
      <c r="AP376" s="61">
        <f>SUM(J376+T376+AD376+AN376)</f>
        <v>408</v>
      </c>
    </row>
    <row r="377" spans="1:42" ht="15.75" customHeight="1">
      <c r="A377" s="48" t="s">
        <v>29</v>
      </c>
      <c r="B377" s="45">
        <f t="shared" ref="B377:J377" si="328">SUM(B373:B376)</f>
        <v>178</v>
      </c>
      <c r="C377" s="46">
        <f t="shared" si="328"/>
        <v>5</v>
      </c>
      <c r="D377" s="46">
        <f t="shared" si="328"/>
        <v>1</v>
      </c>
      <c r="E377" s="46">
        <f t="shared" si="328"/>
        <v>0</v>
      </c>
      <c r="F377" s="46">
        <f t="shared" si="328"/>
        <v>0</v>
      </c>
      <c r="G377" s="46">
        <f t="shared" si="328"/>
        <v>5</v>
      </c>
      <c r="H377" s="46">
        <f t="shared" si="328"/>
        <v>301</v>
      </c>
      <c r="I377" s="47">
        <f t="shared" si="328"/>
        <v>0</v>
      </c>
      <c r="J377" s="48">
        <f t="shared" si="328"/>
        <v>490</v>
      </c>
      <c r="L377" s="45">
        <f t="shared" ref="L377:T377" si="329">SUM(L373:L376)</f>
        <v>0</v>
      </c>
      <c r="M377" s="46">
        <f t="shared" si="329"/>
        <v>0</v>
      </c>
      <c r="N377" s="46">
        <f t="shared" si="329"/>
        <v>0</v>
      </c>
      <c r="O377" s="46">
        <f t="shared" si="329"/>
        <v>0</v>
      </c>
      <c r="P377" s="46">
        <f t="shared" si="329"/>
        <v>0</v>
      </c>
      <c r="Q377" s="46">
        <f t="shared" si="329"/>
        <v>0</v>
      </c>
      <c r="R377" s="46">
        <f t="shared" si="329"/>
        <v>25</v>
      </c>
      <c r="S377" s="47">
        <f t="shared" si="329"/>
        <v>4</v>
      </c>
      <c r="T377" s="48">
        <f t="shared" si="329"/>
        <v>29</v>
      </c>
      <c r="V377" s="45">
        <f t="shared" ref="V377:AD377" si="330">SUM(V373:V376)</f>
        <v>418</v>
      </c>
      <c r="W377" s="46">
        <f t="shared" si="330"/>
        <v>35</v>
      </c>
      <c r="X377" s="46">
        <f t="shared" si="330"/>
        <v>2</v>
      </c>
      <c r="Y377" s="46">
        <f t="shared" si="330"/>
        <v>2</v>
      </c>
      <c r="Z377" s="46">
        <f t="shared" si="330"/>
        <v>1</v>
      </c>
      <c r="AA377" s="46">
        <f t="shared" si="330"/>
        <v>20</v>
      </c>
      <c r="AB377" s="46">
        <f t="shared" si="330"/>
        <v>32</v>
      </c>
      <c r="AC377" s="47">
        <f t="shared" si="330"/>
        <v>0</v>
      </c>
      <c r="AD377" s="48">
        <f t="shared" si="330"/>
        <v>510</v>
      </c>
      <c r="AF377" s="45">
        <f t="shared" ref="AF377:AN377" si="331">SUM(AF373:AF376)</f>
        <v>417</v>
      </c>
      <c r="AG377" s="46">
        <f t="shared" si="331"/>
        <v>35</v>
      </c>
      <c r="AH377" s="46">
        <f t="shared" si="331"/>
        <v>3</v>
      </c>
      <c r="AI377" s="46">
        <f t="shared" si="331"/>
        <v>0</v>
      </c>
      <c r="AJ377" s="46">
        <f t="shared" si="331"/>
        <v>4</v>
      </c>
      <c r="AK377" s="46">
        <f t="shared" si="331"/>
        <v>13</v>
      </c>
      <c r="AL377" s="46">
        <f t="shared" si="331"/>
        <v>81</v>
      </c>
      <c r="AM377" s="47">
        <f t="shared" si="331"/>
        <v>0</v>
      </c>
      <c r="AN377" s="48">
        <f t="shared" si="331"/>
        <v>553</v>
      </c>
      <c r="AP377" s="48">
        <f>SUM(AP373:AP376)</f>
        <v>1582</v>
      </c>
    </row>
    <row r="378" spans="1:42" ht="15.75" customHeight="1">
      <c r="A378" s="56">
        <v>0.75</v>
      </c>
      <c r="B378" s="32">
        <f t="shared" ref="B378:I381" si="332">SUM(B74+L74+V74+AF74)</f>
        <v>30</v>
      </c>
      <c r="C378" s="33">
        <f t="shared" si="332"/>
        <v>0</v>
      </c>
      <c r="D378" s="33">
        <f t="shared" si="332"/>
        <v>0</v>
      </c>
      <c r="E378" s="33">
        <f t="shared" si="332"/>
        <v>0</v>
      </c>
      <c r="F378" s="33">
        <f t="shared" si="332"/>
        <v>0</v>
      </c>
      <c r="G378" s="33">
        <f t="shared" si="332"/>
        <v>0</v>
      </c>
      <c r="H378" s="33">
        <f t="shared" si="332"/>
        <v>91</v>
      </c>
      <c r="I378" s="34">
        <f t="shared" si="332"/>
        <v>0</v>
      </c>
      <c r="J378" s="57">
        <f>SUM(B378:I378)</f>
        <v>121</v>
      </c>
      <c r="L378" s="32">
        <f t="shared" ref="L378:S381" si="333">SUM(B150+L150+V150+AF150)</f>
        <v>0</v>
      </c>
      <c r="M378" s="33">
        <f t="shared" si="333"/>
        <v>0</v>
      </c>
      <c r="N378" s="33">
        <f t="shared" si="333"/>
        <v>0</v>
      </c>
      <c r="O378" s="33">
        <f t="shared" si="333"/>
        <v>0</v>
      </c>
      <c r="P378" s="33">
        <f t="shared" si="333"/>
        <v>0</v>
      </c>
      <c r="Q378" s="33">
        <f t="shared" si="333"/>
        <v>0</v>
      </c>
      <c r="R378" s="33">
        <f t="shared" si="333"/>
        <v>6</v>
      </c>
      <c r="S378" s="34">
        <f t="shared" si="333"/>
        <v>0</v>
      </c>
      <c r="T378" s="57">
        <f>SUM(L378:S378)</f>
        <v>6</v>
      </c>
      <c r="V378" s="32">
        <f t="shared" ref="V378:AC381" si="334">SUM(B226+L226+V226+AF226)</f>
        <v>93</v>
      </c>
      <c r="W378" s="33">
        <f t="shared" si="334"/>
        <v>7</v>
      </c>
      <c r="X378" s="33">
        <f t="shared" si="334"/>
        <v>0</v>
      </c>
      <c r="Y378" s="33">
        <f t="shared" si="334"/>
        <v>0</v>
      </c>
      <c r="Z378" s="33">
        <f t="shared" si="334"/>
        <v>1</v>
      </c>
      <c r="AA378" s="33">
        <f t="shared" si="334"/>
        <v>5</v>
      </c>
      <c r="AB378" s="33">
        <f t="shared" si="334"/>
        <v>4</v>
      </c>
      <c r="AC378" s="34">
        <f t="shared" si="334"/>
        <v>0</v>
      </c>
      <c r="AD378" s="57">
        <f>SUM(V378:AC378)</f>
        <v>110</v>
      </c>
      <c r="AF378" s="32">
        <f t="shared" ref="AF378:AM381" si="335">SUM(B302+L302+V302+AF302)</f>
        <v>101</v>
      </c>
      <c r="AG378" s="33">
        <f t="shared" si="335"/>
        <v>7</v>
      </c>
      <c r="AH378" s="33">
        <f t="shared" si="335"/>
        <v>0</v>
      </c>
      <c r="AI378" s="33">
        <f t="shared" si="335"/>
        <v>0</v>
      </c>
      <c r="AJ378" s="33">
        <f t="shared" si="335"/>
        <v>1</v>
      </c>
      <c r="AK378" s="33">
        <f t="shared" si="335"/>
        <v>5</v>
      </c>
      <c r="AL378" s="33">
        <f t="shared" si="335"/>
        <v>18</v>
      </c>
      <c r="AM378" s="34">
        <f t="shared" si="335"/>
        <v>0</v>
      </c>
      <c r="AN378" s="57">
        <f>SUM(AF378:AM378)</f>
        <v>132</v>
      </c>
      <c r="AP378" s="57">
        <f>SUM(J378+T378+AD378+AN378)</f>
        <v>369</v>
      </c>
    </row>
    <row r="379" spans="1:42" ht="15.75" customHeight="1">
      <c r="A379" s="58">
        <v>0.76041666666666663</v>
      </c>
      <c r="B379" s="36">
        <f t="shared" si="332"/>
        <v>27</v>
      </c>
      <c r="C379" s="37">
        <f t="shared" si="332"/>
        <v>0</v>
      </c>
      <c r="D379" s="37">
        <f t="shared" si="332"/>
        <v>0</v>
      </c>
      <c r="E379" s="37">
        <f t="shared" si="332"/>
        <v>0</v>
      </c>
      <c r="F379" s="37">
        <f t="shared" si="332"/>
        <v>0</v>
      </c>
      <c r="G379" s="37">
        <f t="shared" si="332"/>
        <v>0</v>
      </c>
      <c r="H379" s="37">
        <f t="shared" si="332"/>
        <v>78</v>
      </c>
      <c r="I379" s="40">
        <f t="shared" si="332"/>
        <v>0</v>
      </c>
      <c r="J379" s="59">
        <f>SUM(B379:I379)</f>
        <v>105</v>
      </c>
      <c r="L379" s="36">
        <f t="shared" si="333"/>
        <v>0</v>
      </c>
      <c r="M379" s="37">
        <f t="shared" si="333"/>
        <v>0</v>
      </c>
      <c r="N379" s="37">
        <f t="shared" si="333"/>
        <v>0</v>
      </c>
      <c r="O379" s="37">
        <f t="shared" si="333"/>
        <v>0</v>
      </c>
      <c r="P379" s="37">
        <f t="shared" si="333"/>
        <v>0</v>
      </c>
      <c r="Q379" s="37">
        <f t="shared" si="333"/>
        <v>0</v>
      </c>
      <c r="R379" s="37">
        <f t="shared" si="333"/>
        <v>10</v>
      </c>
      <c r="S379" s="40">
        <f t="shared" si="333"/>
        <v>0</v>
      </c>
      <c r="T379" s="59">
        <f>SUM(L379:S379)</f>
        <v>10</v>
      </c>
      <c r="V379" s="36">
        <f t="shared" si="334"/>
        <v>115</v>
      </c>
      <c r="W379" s="37">
        <f t="shared" si="334"/>
        <v>3</v>
      </c>
      <c r="X379" s="37">
        <f t="shared" si="334"/>
        <v>0</v>
      </c>
      <c r="Y379" s="37">
        <f t="shared" si="334"/>
        <v>0</v>
      </c>
      <c r="Z379" s="37">
        <f t="shared" si="334"/>
        <v>1</v>
      </c>
      <c r="AA379" s="37">
        <f t="shared" si="334"/>
        <v>3</v>
      </c>
      <c r="AB379" s="37">
        <f t="shared" si="334"/>
        <v>0</v>
      </c>
      <c r="AC379" s="40">
        <f t="shared" si="334"/>
        <v>0</v>
      </c>
      <c r="AD379" s="59">
        <f>SUM(V379:AC379)</f>
        <v>122</v>
      </c>
      <c r="AF379" s="36">
        <f t="shared" si="335"/>
        <v>91</v>
      </c>
      <c r="AG379" s="37">
        <f t="shared" si="335"/>
        <v>7</v>
      </c>
      <c r="AH379" s="37">
        <f t="shared" si="335"/>
        <v>0</v>
      </c>
      <c r="AI379" s="37">
        <f t="shared" si="335"/>
        <v>0</v>
      </c>
      <c r="AJ379" s="37">
        <f t="shared" si="335"/>
        <v>1</v>
      </c>
      <c r="AK379" s="37">
        <f t="shared" si="335"/>
        <v>3</v>
      </c>
      <c r="AL379" s="37">
        <f t="shared" si="335"/>
        <v>19</v>
      </c>
      <c r="AM379" s="40">
        <f t="shared" si="335"/>
        <v>0</v>
      </c>
      <c r="AN379" s="59">
        <f>SUM(AF379:AM379)</f>
        <v>121</v>
      </c>
      <c r="AP379" s="59">
        <f>SUM(J379+T379+AD379+AN379)</f>
        <v>358</v>
      </c>
    </row>
    <row r="380" spans="1:42" ht="15.75" customHeight="1">
      <c r="A380" s="58">
        <v>0.77083333333333337</v>
      </c>
      <c r="B380" s="36">
        <f t="shared" si="332"/>
        <v>31</v>
      </c>
      <c r="C380" s="37">
        <f t="shared" si="332"/>
        <v>5</v>
      </c>
      <c r="D380" s="37">
        <f t="shared" si="332"/>
        <v>0</v>
      </c>
      <c r="E380" s="37">
        <f t="shared" si="332"/>
        <v>0</v>
      </c>
      <c r="F380" s="37">
        <f t="shared" si="332"/>
        <v>0</v>
      </c>
      <c r="G380" s="37">
        <f t="shared" si="332"/>
        <v>1</v>
      </c>
      <c r="H380" s="37">
        <f t="shared" si="332"/>
        <v>40</v>
      </c>
      <c r="I380" s="40">
        <f t="shared" si="332"/>
        <v>0</v>
      </c>
      <c r="J380" s="59">
        <f>SUM(B380:I380)</f>
        <v>77</v>
      </c>
      <c r="L380" s="36">
        <f t="shared" si="333"/>
        <v>0</v>
      </c>
      <c r="M380" s="37">
        <f t="shared" si="333"/>
        <v>0</v>
      </c>
      <c r="N380" s="37">
        <f t="shared" si="333"/>
        <v>0</v>
      </c>
      <c r="O380" s="37">
        <f t="shared" si="333"/>
        <v>0</v>
      </c>
      <c r="P380" s="37">
        <f t="shared" si="333"/>
        <v>0</v>
      </c>
      <c r="Q380" s="37">
        <f t="shared" si="333"/>
        <v>0</v>
      </c>
      <c r="R380" s="37">
        <f t="shared" si="333"/>
        <v>1</v>
      </c>
      <c r="S380" s="40">
        <f t="shared" si="333"/>
        <v>0</v>
      </c>
      <c r="T380" s="59">
        <f>SUM(L380:S380)</f>
        <v>1</v>
      </c>
      <c r="V380" s="36">
        <f t="shared" si="334"/>
        <v>80</v>
      </c>
      <c r="W380" s="37">
        <f t="shared" si="334"/>
        <v>2</v>
      </c>
      <c r="X380" s="37">
        <f t="shared" si="334"/>
        <v>0</v>
      </c>
      <c r="Y380" s="37">
        <f t="shared" si="334"/>
        <v>0</v>
      </c>
      <c r="Z380" s="37">
        <f t="shared" si="334"/>
        <v>1</v>
      </c>
      <c r="AA380" s="37">
        <f t="shared" si="334"/>
        <v>0</v>
      </c>
      <c r="AB380" s="37">
        <f t="shared" si="334"/>
        <v>3</v>
      </c>
      <c r="AC380" s="40">
        <f t="shared" si="334"/>
        <v>0</v>
      </c>
      <c r="AD380" s="59">
        <f>SUM(V380:AC380)</f>
        <v>86</v>
      </c>
      <c r="AF380" s="36">
        <f t="shared" si="335"/>
        <v>74</v>
      </c>
      <c r="AG380" s="37">
        <f t="shared" si="335"/>
        <v>8</v>
      </c>
      <c r="AH380" s="37">
        <f t="shared" si="335"/>
        <v>0</v>
      </c>
      <c r="AI380" s="37">
        <f t="shared" si="335"/>
        <v>0</v>
      </c>
      <c r="AJ380" s="37">
        <f t="shared" si="335"/>
        <v>0</v>
      </c>
      <c r="AK380" s="37">
        <f t="shared" si="335"/>
        <v>2</v>
      </c>
      <c r="AL380" s="37">
        <f t="shared" si="335"/>
        <v>26</v>
      </c>
      <c r="AM380" s="40">
        <f t="shared" si="335"/>
        <v>0</v>
      </c>
      <c r="AN380" s="59">
        <f>SUM(AF380:AM380)</f>
        <v>110</v>
      </c>
      <c r="AP380" s="59">
        <f>SUM(J380+T380+AD380+AN380)</f>
        <v>274</v>
      </c>
    </row>
    <row r="381" spans="1:42" ht="15.75" customHeight="1">
      <c r="A381" s="60">
        <v>0.78125</v>
      </c>
      <c r="B381" s="41">
        <f t="shared" si="332"/>
        <v>12</v>
      </c>
      <c r="C381" s="42">
        <f t="shared" si="332"/>
        <v>0</v>
      </c>
      <c r="D381" s="42">
        <f t="shared" si="332"/>
        <v>1</v>
      </c>
      <c r="E381" s="42">
        <f t="shared" si="332"/>
        <v>0</v>
      </c>
      <c r="F381" s="42">
        <f t="shared" si="332"/>
        <v>0</v>
      </c>
      <c r="G381" s="42">
        <f t="shared" si="332"/>
        <v>0</v>
      </c>
      <c r="H381" s="42">
        <f t="shared" si="332"/>
        <v>36</v>
      </c>
      <c r="I381" s="43">
        <f t="shared" si="332"/>
        <v>0</v>
      </c>
      <c r="J381" s="61">
        <f>SUM(B381:I381)</f>
        <v>49</v>
      </c>
      <c r="L381" s="41">
        <f t="shared" si="333"/>
        <v>0</v>
      </c>
      <c r="M381" s="42">
        <f t="shared" si="333"/>
        <v>0</v>
      </c>
      <c r="N381" s="42">
        <f t="shared" si="333"/>
        <v>0</v>
      </c>
      <c r="O381" s="42">
        <f t="shared" si="333"/>
        <v>0</v>
      </c>
      <c r="P381" s="42">
        <f t="shared" si="333"/>
        <v>0</v>
      </c>
      <c r="Q381" s="42">
        <f t="shared" si="333"/>
        <v>0</v>
      </c>
      <c r="R381" s="42">
        <f t="shared" si="333"/>
        <v>2</v>
      </c>
      <c r="S381" s="43">
        <f t="shared" si="333"/>
        <v>0</v>
      </c>
      <c r="T381" s="61">
        <f>SUM(L381:S381)</f>
        <v>2</v>
      </c>
      <c r="V381" s="41">
        <f t="shared" si="334"/>
        <v>58</v>
      </c>
      <c r="W381" s="42">
        <f t="shared" si="334"/>
        <v>2</v>
      </c>
      <c r="X381" s="42">
        <f t="shared" si="334"/>
        <v>0</v>
      </c>
      <c r="Y381" s="42">
        <f t="shared" si="334"/>
        <v>0</v>
      </c>
      <c r="Z381" s="42">
        <f t="shared" si="334"/>
        <v>1</v>
      </c>
      <c r="AA381" s="42">
        <f t="shared" si="334"/>
        <v>0</v>
      </c>
      <c r="AB381" s="42">
        <f t="shared" si="334"/>
        <v>9</v>
      </c>
      <c r="AC381" s="43">
        <f t="shared" si="334"/>
        <v>0</v>
      </c>
      <c r="AD381" s="61">
        <f>SUM(V381:AC381)</f>
        <v>70</v>
      </c>
      <c r="AF381" s="41">
        <f t="shared" si="335"/>
        <v>71</v>
      </c>
      <c r="AG381" s="42">
        <f t="shared" si="335"/>
        <v>3</v>
      </c>
      <c r="AH381" s="42">
        <f t="shared" si="335"/>
        <v>1</v>
      </c>
      <c r="AI381" s="42">
        <f t="shared" si="335"/>
        <v>0</v>
      </c>
      <c r="AJ381" s="42">
        <f t="shared" si="335"/>
        <v>1</v>
      </c>
      <c r="AK381" s="42">
        <f t="shared" si="335"/>
        <v>3</v>
      </c>
      <c r="AL381" s="42">
        <f t="shared" si="335"/>
        <v>19</v>
      </c>
      <c r="AM381" s="43">
        <f t="shared" si="335"/>
        <v>0</v>
      </c>
      <c r="AN381" s="61">
        <f>SUM(AF381:AM381)</f>
        <v>98</v>
      </c>
      <c r="AP381" s="61">
        <f>SUM(J381+T381+AD381+AN381)</f>
        <v>219</v>
      </c>
    </row>
    <row r="382" spans="1:42" ht="15.75" customHeight="1">
      <c r="A382" s="48" t="s">
        <v>29</v>
      </c>
      <c r="B382" s="45">
        <f t="shared" ref="B382:J382" si="336">SUM(B378:B381)</f>
        <v>100</v>
      </c>
      <c r="C382" s="46">
        <f t="shared" si="336"/>
        <v>5</v>
      </c>
      <c r="D382" s="46">
        <f t="shared" si="336"/>
        <v>1</v>
      </c>
      <c r="E382" s="46">
        <f t="shared" si="336"/>
        <v>0</v>
      </c>
      <c r="F382" s="46">
        <f t="shared" si="336"/>
        <v>0</v>
      </c>
      <c r="G382" s="46">
        <f t="shared" si="336"/>
        <v>1</v>
      </c>
      <c r="H382" s="46">
        <f t="shared" si="336"/>
        <v>245</v>
      </c>
      <c r="I382" s="47">
        <f t="shared" si="336"/>
        <v>0</v>
      </c>
      <c r="J382" s="48">
        <f t="shared" si="336"/>
        <v>352</v>
      </c>
      <c r="L382" s="45">
        <f t="shared" ref="L382:T382" si="337">SUM(L378:L381)</f>
        <v>0</v>
      </c>
      <c r="M382" s="46">
        <f t="shared" si="337"/>
        <v>0</v>
      </c>
      <c r="N382" s="46">
        <f t="shared" si="337"/>
        <v>0</v>
      </c>
      <c r="O382" s="46">
        <f t="shared" si="337"/>
        <v>0</v>
      </c>
      <c r="P382" s="46">
        <f t="shared" si="337"/>
        <v>0</v>
      </c>
      <c r="Q382" s="46">
        <f t="shared" si="337"/>
        <v>0</v>
      </c>
      <c r="R382" s="46">
        <f t="shared" si="337"/>
        <v>19</v>
      </c>
      <c r="S382" s="47">
        <f t="shared" si="337"/>
        <v>0</v>
      </c>
      <c r="T382" s="48">
        <f t="shared" si="337"/>
        <v>19</v>
      </c>
      <c r="V382" s="45">
        <f t="shared" ref="V382:AD382" si="338">SUM(V378:V381)</f>
        <v>346</v>
      </c>
      <c r="W382" s="46">
        <f t="shared" si="338"/>
        <v>14</v>
      </c>
      <c r="X382" s="46">
        <f t="shared" si="338"/>
        <v>0</v>
      </c>
      <c r="Y382" s="46">
        <f t="shared" si="338"/>
        <v>0</v>
      </c>
      <c r="Z382" s="46">
        <f t="shared" si="338"/>
        <v>4</v>
      </c>
      <c r="AA382" s="46">
        <f t="shared" si="338"/>
        <v>8</v>
      </c>
      <c r="AB382" s="46">
        <f t="shared" si="338"/>
        <v>16</v>
      </c>
      <c r="AC382" s="47">
        <f t="shared" si="338"/>
        <v>0</v>
      </c>
      <c r="AD382" s="48">
        <f t="shared" si="338"/>
        <v>388</v>
      </c>
      <c r="AF382" s="45">
        <f t="shared" ref="AF382:AN382" si="339">SUM(AF378:AF381)</f>
        <v>337</v>
      </c>
      <c r="AG382" s="46">
        <f t="shared" si="339"/>
        <v>25</v>
      </c>
      <c r="AH382" s="46">
        <f t="shared" si="339"/>
        <v>1</v>
      </c>
      <c r="AI382" s="46">
        <f t="shared" si="339"/>
        <v>0</v>
      </c>
      <c r="AJ382" s="46">
        <f t="shared" si="339"/>
        <v>3</v>
      </c>
      <c r="AK382" s="46">
        <f t="shared" si="339"/>
        <v>13</v>
      </c>
      <c r="AL382" s="46">
        <f t="shared" si="339"/>
        <v>82</v>
      </c>
      <c r="AM382" s="47">
        <f t="shared" si="339"/>
        <v>0</v>
      </c>
      <c r="AN382" s="48">
        <f t="shared" si="339"/>
        <v>461</v>
      </c>
      <c r="AP382" s="48">
        <f>SUM(AP378:AP381)</f>
        <v>1220</v>
      </c>
    </row>
    <row r="384" spans="1:42" ht="15.75" customHeight="1">
      <c r="A384" s="48" t="s">
        <v>30</v>
      </c>
      <c r="B384" s="45">
        <f t="shared" ref="B384:J384" si="340">SUM(B382+B377+B372+B367+B362+B357)</f>
        <v>592</v>
      </c>
      <c r="C384" s="46">
        <f t="shared" si="340"/>
        <v>74</v>
      </c>
      <c r="D384" s="46">
        <f t="shared" si="340"/>
        <v>5</v>
      </c>
      <c r="E384" s="46">
        <f t="shared" si="340"/>
        <v>0</v>
      </c>
      <c r="F384" s="46">
        <f t="shared" si="340"/>
        <v>0</v>
      </c>
      <c r="G384" s="46">
        <f t="shared" si="340"/>
        <v>12</v>
      </c>
      <c r="H384" s="46">
        <f t="shared" si="340"/>
        <v>846</v>
      </c>
      <c r="I384" s="47">
        <f t="shared" si="340"/>
        <v>5</v>
      </c>
      <c r="J384" s="48">
        <f t="shared" si="340"/>
        <v>1534</v>
      </c>
      <c r="L384" s="45">
        <f t="shared" ref="L384:T384" si="341">SUM(L382+L377+L372+L367+L362+L357)</f>
        <v>0</v>
      </c>
      <c r="M384" s="46">
        <f t="shared" si="341"/>
        <v>0</v>
      </c>
      <c r="N384" s="46">
        <f t="shared" si="341"/>
        <v>0</v>
      </c>
      <c r="O384" s="46">
        <f t="shared" si="341"/>
        <v>0</v>
      </c>
      <c r="P384" s="46">
        <f t="shared" si="341"/>
        <v>0</v>
      </c>
      <c r="Q384" s="46">
        <f t="shared" si="341"/>
        <v>0</v>
      </c>
      <c r="R384" s="46">
        <f t="shared" si="341"/>
        <v>63</v>
      </c>
      <c r="S384" s="47">
        <f t="shared" si="341"/>
        <v>4</v>
      </c>
      <c r="T384" s="48">
        <f t="shared" si="341"/>
        <v>67</v>
      </c>
      <c r="V384" s="45">
        <f t="shared" ref="V384:AD384" si="342">SUM(V382+V377+V372+V367+V362+V357)</f>
        <v>1790</v>
      </c>
      <c r="W384" s="46">
        <f t="shared" si="342"/>
        <v>205</v>
      </c>
      <c r="X384" s="46">
        <f t="shared" si="342"/>
        <v>33</v>
      </c>
      <c r="Y384" s="46">
        <f t="shared" si="342"/>
        <v>11</v>
      </c>
      <c r="Z384" s="46">
        <f t="shared" si="342"/>
        <v>25</v>
      </c>
      <c r="AA384" s="46">
        <f t="shared" si="342"/>
        <v>46</v>
      </c>
      <c r="AB384" s="46">
        <f t="shared" si="342"/>
        <v>113</v>
      </c>
      <c r="AC384" s="47">
        <f t="shared" si="342"/>
        <v>0</v>
      </c>
      <c r="AD384" s="48">
        <f t="shared" si="342"/>
        <v>2223</v>
      </c>
      <c r="AF384" s="45">
        <f t="shared" ref="AF384:AN384" si="343">SUM(AF382+AF377+AF372+AF367+AF362+AF357)</f>
        <v>2046</v>
      </c>
      <c r="AG384" s="46">
        <f t="shared" si="343"/>
        <v>292</v>
      </c>
      <c r="AH384" s="46">
        <f t="shared" si="343"/>
        <v>34</v>
      </c>
      <c r="AI384" s="46">
        <f t="shared" si="343"/>
        <v>2</v>
      </c>
      <c r="AJ384" s="46">
        <f t="shared" si="343"/>
        <v>20</v>
      </c>
      <c r="AK384" s="46">
        <f t="shared" si="343"/>
        <v>55</v>
      </c>
      <c r="AL384" s="46">
        <f t="shared" si="343"/>
        <v>349</v>
      </c>
      <c r="AM384" s="47">
        <f t="shared" si="343"/>
        <v>1</v>
      </c>
      <c r="AN384" s="48">
        <f t="shared" si="343"/>
        <v>2799</v>
      </c>
      <c r="AP384" s="48">
        <f>SUM(AP382+AP377+AP372+AP367+AP362+AP357)</f>
        <v>6623</v>
      </c>
    </row>
    <row r="386" spans="1:42" ht="15.75" customHeight="1">
      <c r="A386" s="48" t="s">
        <v>24</v>
      </c>
      <c r="B386" s="45">
        <f t="shared" ref="B386:J386" si="344">SUM(B347+B384)</f>
        <v>793</v>
      </c>
      <c r="C386" s="46">
        <f t="shared" si="344"/>
        <v>131</v>
      </c>
      <c r="D386" s="46">
        <f t="shared" si="344"/>
        <v>14</v>
      </c>
      <c r="E386" s="46">
        <f t="shared" si="344"/>
        <v>2</v>
      </c>
      <c r="F386" s="46">
        <f t="shared" si="344"/>
        <v>0</v>
      </c>
      <c r="G386" s="46">
        <f t="shared" si="344"/>
        <v>13</v>
      </c>
      <c r="H386" s="46">
        <f t="shared" si="344"/>
        <v>1051</v>
      </c>
      <c r="I386" s="47">
        <f t="shared" si="344"/>
        <v>6</v>
      </c>
      <c r="J386" s="48">
        <f t="shared" si="344"/>
        <v>2010</v>
      </c>
      <c r="L386" s="45">
        <f t="shared" ref="L386:T386" si="345">SUM(L347+L384)</f>
        <v>0</v>
      </c>
      <c r="M386" s="46">
        <f t="shared" si="345"/>
        <v>0</v>
      </c>
      <c r="N386" s="46">
        <f t="shared" si="345"/>
        <v>0</v>
      </c>
      <c r="O386" s="46">
        <f t="shared" si="345"/>
        <v>0</v>
      </c>
      <c r="P386" s="46">
        <f t="shared" si="345"/>
        <v>0</v>
      </c>
      <c r="Q386" s="46">
        <f t="shared" si="345"/>
        <v>0</v>
      </c>
      <c r="R386" s="46">
        <f t="shared" si="345"/>
        <v>63</v>
      </c>
      <c r="S386" s="47">
        <f t="shared" si="345"/>
        <v>4</v>
      </c>
      <c r="T386" s="48">
        <f t="shared" si="345"/>
        <v>67</v>
      </c>
      <c r="V386" s="45">
        <f t="shared" ref="V386:AD386" si="346">SUM(V347+V384)</f>
        <v>3699</v>
      </c>
      <c r="W386" s="46">
        <f t="shared" si="346"/>
        <v>534</v>
      </c>
      <c r="X386" s="46">
        <f t="shared" si="346"/>
        <v>80</v>
      </c>
      <c r="Y386" s="46">
        <f t="shared" si="346"/>
        <v>27</v>
      </c>
      <c r="Z386" s="46">
        <f t="shared" si="346"/>
        <v>49</v>
      </c>
      <c r="AA386" s="46">
        <f t="shared" si="346"/>
        <v>87</v>
      </c>
      <c r="AB386" s="46">
        <f t="shared" si="346"/>
        <v>340</v>
      </c>
      <c r="AC386" s="47">
        <f t="shared" si="346"/>
        <v>0</v>
      </c>
      <c r="AD386" s="48">
        <f t="shared" si="346"/>
        <v>4816</v>
      </c>
      <c r="AF386" s="45">
        <f t="shared" ref="AF386:AN386" si="347">SUM(AF347+AF384)</f>
        <v>3969</v>
      </c>
      <c r="AG386" s="46">
        <f t="shared" si="347"/>
        <v>601</v>
      </c>
      <c r="AH386" s="46">
        <f t="shared" si="347"/>
        <v>67</v>
      </c>
      <c r="AI386" s="46">
        <f t="shared" si="347"/>
        <v>9</v>
      </c>
      <c r="AJ386" s="46">
        <f t="shared" si="347"/>
        <v>49</v>
      </c>
      <c r="AK386" s="46">
        <f t="shared" si="347"/>
        <v>122</v>
      </c>
      <c r="AL386" s="46">
        <f t="shared" si="347"/>
        <v>1227</v>
      </c>
      <c r="AM386" s="47">
        <f t="shared" si="347"/>
        <v>3</v>
      </c>
      <c r="AN386" s="48">
        <f t="shared" si="347"/>
        <v>6047</v>
      </c>
      <c r="AP386" s="48">
        <f>SUM(AP347+AP384)</f>
        <v>12940</v>
      </c>
    </row>
    <row r="388" spans="1:42" ht="15.75" customHeight="1">
      <c r="A388" s="44" t="s">
        <v>34</v>
      </c>
    </row>
    <row r="389" spans="1:42" ht="15.75" customHeight="1">
      <c r="B389" s="45" t="s">
        <v>16</v>
      </c>
      <c r="C389" s="46"/>
      <c r="D389" s="46" t="str">
        <f>$D$9</f>
        <v>Arm A - Wapping Road</v>
      </c>
      <c r="E389" s="46"/>
      <c r="F389" s="46"/>
      <c r="G389" s="46"/>
      <c r="H389" s="46"/>
      <c r="I389" s="47"/>
      <c r="J389" s="48"/>
      <c r="L389" s="45" t="s">
        <v>16</v>
      </c>
      <c r="M389" s="46"/>
      <c r="N389" s="46" t="str">
        <f>$N$9</f>
        <v>Arm B - River Path</v>
      </c>
      <c r="O389" s="46"/>
      <c r="P389" s="46"/>
      <c r="Q389" s="46"/>
      <c r="R389" s="46"/>
      <c r="S389" s="47"/>
      <c r="T389" s="48"/>
      <c r="V389" s="45" t="s">
        <v>16</v>
      </c>
      <c r="W389" s="46"/>
      <c r="X389" s="46" t="str">
        <f>$X$9</f>
        <v>Arm C - Commerical Road</v>
      </c>
      <c r="Y389" s="46"/>
      <c r="Z389" s="46"/>
      <c r="AA389" s="46"/>
      <c r="AB389" s="46"/>
      <c r="AC389" s="47"/>
      <c r="AD389" s="48"/>
      <c r="AF389" s="45" t="s">
        <v>16</v>
      </c>
      <c r="AG389" s="46"/>
      <c r="AH389" s="46" t="str">
        <f>$AH$9</f>
        <v>Arm D - Cumberland Road</v>
      </c>
      <c r="AI389" s="46"/>
      <c r="AJ389" s="46"/>
      <c r="AK389" s="46"/>
      <c r="AL389" s="46"/>
      <c r="AM389" s="47"/>
      <c r="AN389" s="48"/>
      <c r="AP389" s="49" t="s">
        <v>35</v>
      </c>
    </row>
    <row r="390" spans="1:42" s="50" customFormat="1" ht="15.75" customHeight="1">
      <c r="B390" s="51" t="str">
        <f>$B$10</f>
        <v>CAR</v>
      </c>
      <c r="C390" s="52" t="str">
        <f>$C$10</f>
        <v>LGV</v>
      </c>
      <c r="D390" s="52" t="str">
        <f>$D$10</f>
        <v>OGV1</v>
      </c>
      <c r="E390" s="52" t="str">
        <f>$E$10</f>
        <v>OGV2</v>
      </c>
      <c r="F390" s="52" t="str">
        <f>$F$10</f>
        <v>PSV</v>
      </c>
      <c r="G390" s="52" t="str">
        <f>$G$10</f>
        <v>MC</v>
      </c>
      <c r="H390" s="52" t="str">
        <f>$H$10</f>
        <v>PC</v>
      </c>
      <c r="I390" s="53" t="str">
        <f>$I$10</f>
        <v>PC</v>
      </c>
      <c r="J390" s="54" t="s">
        <v>24</v>
      </c>
      <c r="L390" s="51" t="str">
        <f>$B$10</f>
        <v>CAR</v>
      </c>
      <c r="M390" s="52" t="str">
        <f>$C$10</f>
        <v>LGV</v>
      </c>
      <c r="N390" s="52" t="str">
        <f>$D$10</f>
        <v>OGV1</v>
      </c>
      <c r="O390" s="52" t="str">
        <f>$E$10</f>
        <v>OGV2</v>
      </c>
      <c r="P390" s="52" t="str">
        <f>$F$10</f>
        <v>PSV</v>
      </c>
      <c r="Q390" s="52" t="str">
        <f>$G$10</f>
        <v>MC</v>
      </c>
      <c r="R390" s="52" t="str">
        <f>$H$10</f>
        <v>PC</v>
      </c>
      <c r="S390" s="53" t="str">
        <f>$I$10</f>
        <v>PC</v>
      </c>
      <c r="T390" s="54" t="s">
        <v>24</v>
      </c>
      <c r="V390" s="51" t="str">
        <f>$B$10</f>
        <v>CAR</v>
      </c>
      <c r="W390" s="52" t="str">
        <f>$C$10</f>
        <v>LGV</v>
      </c>
      <c r="X390" s="52" t="str">
        <f>$D$10</f>
        <v>OGV1</v>
      </c>
      <c r="Y390" s="52" t="str">
        <f>$E$10</f>
        <v>OGV2</v>
      </c>
      <c r="Z390" s="52" t="str">
        <f>$F$10</f>
        <v>PSV</v>
      </c>
      <c r="AA390" s="52" t="str">
        <f>$G$10</f>
        <v>MC</v>
      </c>
      <c r="AB390" s="52" t="str">
        <f>$H$10</f>
        <v>PC</v>
      </c>
      <c r="AC390" s="53" t="str">
        <f>$I$10</f>
        <v>PC</v>
      </c>
      <c r="AD390" s="54" t="s">
        <v>24</v>
      </c>
      <c r="AF390" s="51" t="str">
        <f>$B$10</f>
        <v>CAR</v>
      </c>
      <c r="AG390" s="52" t="str">
        <f>$C$10</f>
        <v>LGV</v>
      </c>
      <c r="AH390" s="52" t="str">
        <f>$D$10</f>
        <v>OGV1</v>
      </c>
      <c r="AI390" s="52" t="str">
        <f>$E$10</f>
        <v>OGV2</v>
      </c>
      <c r="AJ390" s="52" t="str">
        <f>$F$10</f>
        <v>PSV</v>
      </c>
      <c r="AK390" s="52" t="str">
        <f>$G$10</f>
        <v>MC</v>
      </c>
      <c r="AL390" s="52" t="str">
        <f>$H$10</f>
        <v>PC</v>
      </c>
      <c r="AM390" s="53" t="str">
        <f>$I$10</f>
        <v>PC</v>
      </c>
      <c r="AN390" s="54" t="s">
        <v>24</v>
      </c>
      <c r="AP390" s="55"/>
    </row>
    <row r="392" spans="1:42" ht="15.75" customHeight="1">
      <c r="A392" s="56">
        <v>0.29166666666666669</v>
      </c>
      <c r="B392" s="32">
        <f t="shared" ref="B392:I395" si="348">SUM(B12+B88+B164+B240)</f>
        <v>22</v>
      </c>
      <c r="C392" s="33">
        <f t="shared" si="348"/>
        <v>9</v>
      </c>
      <c r="D392" s="33">
        <f t="shared" si="348"/>
        <v>0</v>
      </c>
      <c r="E392" s="33">
        <f t="shared" si="348"/>
        <v>0</v>
      </c>
      <c r="F392" s="33">
        <f t="shared" si="348"/>
        <v>0</v>
      </c>
      <c r="G392" s="33">
        <f t="shared" si="348"/>
        <v>1</v>
      </c>
      <c r="H392" s="33">
        <f t="shared" si="348"/>
        <v>21</v>
      </c>
      <c r="I392" s="34">
        <f t="shared" si="348"/>
        <v>0</v>
      </c>
      <c r="J392" s="57">
        <f>SUM(B392:I392)</f>
        <v>53</v>
      </c>
      <c r="L392" s="32">
        <f t="shared" ref="L392:S395" si="349">SUM(L12+L88+L164+L240)</f>
        <v>0</v>
      </c>
      <c r="M392" s="33">
        <f t="shared" si="349"/>
        <v>0</v>
      </c>
      <c r="N392" s="33">
        <f t="shared" si="349"/>
        <v>0</v>
      </c>
      <c r="O392" s="33">
        <f t="shared" si="349"/>
        <v>0</v>
      </c>
      <c r="P392" s="33">
        <f t="shared" si="349"/>
        <v>0</v>
      </c>
      <c r="Q392" s="33">
        <f t="shared" si="349"/>
        <v>1</v>
      </c>
      <c r="R392" s="33">
        <f t="shared" si="349"/>
        <v>0</v>
      </c>
      <c r="S392" s="34">
        <f t="shared" si="349"/>
        <v>1</v>
      </c>
      <c r="T392" s="57">
        <f>SUM(L392:S392)</f>
        <v>2</v>
      </c>
      <c r="V392" s="32">
        <f t="shared" ref="V392:AC395" si="350">SUM(V12+V88+V164+V240)</f>
        <v>77</v>
      </c>
      <c r="W392" s="33">
        <f t="shared" si="350"/>
        <v>14</v>
      </c>
      <c r="X392" s="33">
        <f t="shared" si="350"/>
        <v>0</v>
      </c>
      <c r="Y392" s="33">
        <f t="shared" si="350"/>
        <v>0</v>
      </c>
      <c r="Z392" s="33">
        <f t="shared" si="350"/>
        <v>0</v>
      </c>
      <c r="AA392" s="33">
        <f t="shared" si="350"/>
        <v>5</v>
      </c>
      <c r="AB392" s="33">
        <f t="shared" si="350"/>
        <v>7</v>
      </c>
      <c r="AC392" s="34">
        <f t="shared" si="350"/>
        <v>0</v>
      </c>
      <c r="AD392" s="57">
        <f>SUM(V392:AC392)</f>
        <v>103</v>
      </c>
      <c r="AF392" s="32">
        <f t="shared" ref="AF392:AM395" si="351">SUM(AF12+AF88+AF164+AF240)</f>
        <v>61</v>
      </c>
      <c r="AG392" s="33">
        <f t="shared" si="351"/>
        <v>20</v>
      </c>
      <c r="AH392" s="33">
        <f t="shared" si="351"/>
        <v>5</v>
      </c>
      <c r="AI392" s="33">
        <f t="shared" si="351"/>
        <v>0</v>
      </c>
      <c r="AJ392" s="33">
        <f t="shared" si="351"/>
        <v>0</v>
      </c>
      <c r="AK392" s="33">
        <f t="shared" si="351"/>
        <v>3</v>
      </c>
      <c r="AL392" s="33">
        <f t="shared" si="351"/>
        <v>8</v>
      </c>
      <c r="AM392" s="34">
        <f t="shared" si="351"/>
        <v>0</v>
      </c>
      <c r="AN392" s="57">
        <f>SUM(AF392:AM392)</f>
        <v>97</v>
      </c>
      <c r="AP392" s="57">
        <f>SUM(J392+T392+AD392+AN392)</f>
        <v>255</v>
      </c>
    </row>
    <row r="393" spans="1:42" ht="15.75" customHeight="1">
      <c r="A393" s="58">
        <v>0.30208333333333331</v>
      </c>
      <c r="B393" s="36">
        <f t="shared" si="348"/>
        <v>41</v>
      </c>
      <c r="C393" s="37">
        <f t="shared" si="348"/>
        <v>3</v>
      </c>
      <c r="D393" s="37">
        <f t="shared" si="348"/>
        <v>0</v>
      </c>
      <c r="E393" s="37">
        <f t="shared" si="348"/>
        <v>0</v>
      </c>
      <c r="F393" s="37">
        <f t="shared" si="348"/>
        <v>0</v>
      </c>
      <c r="G393" s="37">
        <f t="shared" si="348"/>
        <v>1</v>
      </c>
      <c r="H393" s="37">
        <f t="shared" si="348"/>
        <v>41</v>
      </c>
      <c r="I393" s="40">
        <f t="shared" si="348"/>
        <v>0</v>
      </c>
      <c r="J393" s="59">
        <f>SUM(B393:I393)</f>
        <v>86</v>
      </c>
      <c r="L393" s="36">
        <f t="shared" si="349"/>
        <v>0</v>
      </c>
      <c r="M393" s="37">
        <f t="shared" si="349"/>
        <v>0</v>
      </c>
      <c r="N393" s="37">
        <f t="shared" si="349"/>
        <v>0</v>
      </c>
      <c r="O393" s="37">
        <f t="shared" si="349"/>
        <v>0</v>
      </c>
      <c r="P393" s="37">
        <f t="shared" si="349"/>
        <v>0</v>
      </c>
      <c r="Q393" s="37">
        <f t="shared" si="349"/>
        <v>0</v>
      </c>
      <c r="R393" s="37">
        <f t="shared" si="349"/>
        <v>6</v>
      </c>
      <c r="S393" s="40">
        <f t="shared" si="349"/>
        <v>0</v>
      </c>
      <c r="T393" s="59">
        <f>SUM(L393:S393)</f>
        <v>6</v>
      </c>
      <c r="V393" s="36">
        <f t="shared" si="350"/>
        <v>98</v>
      </c>
      <c r="W393" s="37">
        <f t="shared" si="350"/>
        <v>9</v>
      </c>
      <c r="X393" s="37">
        <f t="shared" si="350"/>
        <v>2</v>
      </c>
      <c r="Y393" s="37">
        <f t="shared" si="350"/>
        <v>0</v>
      </c>
      <c r="Z393" s="37">
        <f t="shared" si="350"/>
        <v>1</v>
      </c>
      <c r="AA393" s="37">
        <f t="shared" si="350"/>
        <v>5</v>
      </c>
      <c r="AB393" s="37">
        <f t="shared" si="350"/>
        <v>7</v>
      </c>
      <c r="AC393" s="40">
        <f t="shared" si="350"/>
        <v>0</v>
      </c>
      <c r="AD393" s="59">
        <f>SUM(V393:AC393)</f>
        <v>122</v>
      </c>
      <c r="AF393" s="36">
        <f t="shared" si="351"/>
        <v>72</v>
      </c>
      <c r="AG393" s="37">
        <f t="shared" si="351"/>
        <v>20</v>
      </c>
      <c r="AH393" s="37">
        <f t="shared" si="351"/>
        <v>2</v>
      </c>
      <c r="AI393" s="37">
        <f t="shared" si="351"/>
        <v>0</v>
      </c>
      <c r="AJ393" s="37">
        <f t="shared" si="351"/>
        <v>0</v>
      </c>
      <c r="AK393" s="37">
        <f t="shared" si="351"/>
        <v>4</v>
      </c>
      <c r="AL393" s="37">
        <f t="shared" si="351"/>
        <v>5</v>
      </c>
      <c r="AM393" s="40">
        <f t="shared" si="351"/>
        <v>0</v>
      </c>
      <c r="AN393" s="59">
        <f>SUM(AF393:AM393)</f>
        <v>103</v>
      </c>
      <c r="AP393" s="59">
        <f>SUM(J393+T393+AD393+AN393)</f>
        <v>317</v>
      </c>
    </row>
    <row r="394" spans="1:42" ht="15.75" customHeight="1">
      <c r="A394" s="58">
        <v>0.3125</v>
      </c>
      <c r="B394" s="36">
        <f t="shared" si="348"/>
        <v>49</v>
      </c>
      <c r="C394" s="37">
        <f t="shared" si="348"/>
        <v>6</v>
      </c>
      <c r="D394" s="37">
        <f t="shared" si="348"/>
        <v>0</v>
      </c>
      <c r="E394" s="37">
        <f t="shared" si="348"/>
        <v>0</v>
      </c>
      <c r="F394" s="37">
        <f t="shared" si="348"/>
        <v>0</v>
      </c>
      <c r="G394" s="37">
        <f t="shared" si="348"/>
        <v>0</v>
      </c>
      <c r="H394" s="37">
        <f t="shared" si="348"/>
        <v>70</v>
      </c>
      <c r="I394" s="40">
        <f t="shared" si="348"/>
        <v>0</v>
      </c>
      <c r="J394" s="59">
        <f>SUM(B394:I394)</f>
        <v>125</v>
      </c>
      <c r="L394" s="36">
        <f t="shared" si="349"/>
        <v>0</v>
      </c>
      <c r="M394" s="37">
        <f t="shared" si="349"/>
        <v>1</v>
      </c>
      <c r="N394" s="37">
        <f t="shared" si="349"/>
        <v>0</v>
      </c>
      <c r="O394" s="37">
        <f t="shared" si="349"/>
        <v>0</v>
      </c>
      <c r="P394" s="37">
        <f t="shared" si="349"/>
        <v>0</v>
      </c>
      <c r="Q394" s="37">
        <f t="shared" si="349"/>
        <v>0</v>
      </c>
      <c r="R394" s="37">
        <f t="shared" si="349"/>
        <v>3</v>
      </c>
      <c r="S394" s="40">
        <f t="shared" si="349"/>
        <v>0</v>
      </c>
      <c r="T394" s="59">
        <f>SUM(L394:S394)</f>
        <v>4</v>
      </c>
      <c r="V394" s="36">
        <f t="shared" si="350"/>
        <v>87</v>
      </c>
      <c r="W394" s="37">
        <f t="shared" si="350"/>
        <v>8</v>
      </c>
      <c r="X394" s="37">
        <f t="shared" si="350"/>
        <v>2</v>
      </c>
      <c r="Y394" s="37">
        <f t="shared" si="350"/>
        <v>2</v>
      </c>
      <c r="Z394" s="37">
        <f t="shared" si="350"/>
        <v>0</v>
      </c>
      <c r="AA394" s="37">
        <f t="shared" si="350"/>
        <v>5</v>
      </c>
      <c r="AB394" s="37">
        <f t="shared" si="350"/>
        <v>9</v>
      </c>
      <c r="AC394" s="40">
        <f t="shared" si="350"/>
        <v>0</v>
      </c>
      <c r="AD394" s="59">
        <f>SUM(V394:AC394)</f>
        <v>113</v>
      </c>
      <c r="AF394" s="36">
        <f t="shared" si="351"/>
        <v>102</v>
      </c>
      <c r="AG394" s="37">
        <f t="shared" si="351"/>
        <v>22</v>
      </c>
      <c r="AH394" s="37">
        <f t="shared" si="351"/>
        <v>3</v>
      </c>
      <c r="AI394" s="37">
        <f t="shared" si="351"/>
        <v>1</v>
      </c>
      <c r="AJ394" s="37">
        <f t="shared" si="351"/>
        <v>1</v>
      </c>
      <c r="AK394" s="37">
        <f t="shared" si="351"/>
        <v>4</v>
      </c>
      <c r="AL394" s="37">
        <f t="shared" si="351"/>
        <v>5</v>
      </c>
      <c r="AM394" s="40">
        <f t="shared" si="351"/>
        <v>0</v>
      </c>
      <c r="AN394" s="59">
        <f>SUM(AF394:AM394)</f>
        <v>138</v>
      </c>
      <c r="AP394" s="59">
        <f>SUM(J394+T394+AD394+AN394)</f>
        <v>380</v>
      </c>
    </row>
    <row r="395" spans="1:42" ht="15.75" customHeight="1">
      <c r="A395" s="60">
        <v>0.32291666666666669</v>
      </c>
      <c r="B395" s="41">
        <f t="shared" si="348"/>
        <v>39</v>
      </c>
      <c r="C395" s="42">
        <f t="shared" si="348"/>
        <v>0</v>
      </c>
      <c r="D395" s="42">
        <f t="shared" si="348"/>
        <v>0</v>
      </c>
      <c r="E395" s="42">
        <f t="shared" si="348"/>
        <v>0</v>
      </c>
      <c r="F395" s="42">
        <f t="shared" si="348"/>
        <v>0</v>
      </c>
      <c r="G395" s="42">
        <f t="shared" si="348"/>
        <v>0</v>
      </c>
      <c r="H395" s="42">
        <f t="shared" si="348"/>
        <v>68</v>
      </c>
      <c r="I395" s="43">
        <f t="shared" si="348"/>
        <v>0</v>
      </c>
      <c r="J395" s="61">
        <f>SUM(B395:I395)</f>
        <v>107</v>
      </c>
      <c r="L395" s="41">
        <f t="shared" si="349"/>
        <v>0</v>
      </c>
      <c r="M395" s="42">
        <f t="shared" si="349"/>
        <v>0</v>
      </c>
      <c r="N395" s="42">
        <f t="shared" si="349"/>
        <v>0</v>
      </c>
      <c r="O395" s="42">
        <f t="shared" si="349"/>
        <v>0</v>
      </c>
      <c r="P395" s="42">
        <f t="shared" si="349"/>
        <v>0</v>
      </c>
      <c r="Q395" s="42">
        <f t="shared" si="349"/>
        <v>0</v>
      </c>
      <c r="R395" s="42">
        <f t="shared" si="349"/>
        <v>6</v>
      </c>
      <c r="S395" s="43">
        <f t="shared" si="349"/>
        <v>0</v>
      </c>
      <c r="T395" s="61">
        <f>SUM(L395:S395)</f>
        <v>6</v>
      </c>
      <c r="V395" s="41">
        <f t="shared" si="350"/>
        <v>90</v>
      </c>
      <c r="W395" s="42">
        <f t="shared" si="350"/>
        <v>12</v>
      </c>
      <c r="X395" s="42">
        <f t="shared" si="350"/>
        <v>0</v>
      </c>
      <c r="Y395" s="42">
        <f t="shared" si="350"/>
        <v>1</v>
      </c>
      <c r="Z395" s="42">
        <f t="shared" si="350"/>
        <v>2</v>
      </c>
      <c r="AA395" s="42">
        <f t="shared" si="350"/>
        <v>3</v>
      </c>
      <c r="AB395" s="42">
        <f t="shared" si="350"/>
        <v>10</v>
      </c>
      <c r="AC395" s="43">
        <f t="shared" si="350"/>
        <v>0</v>
      </c>
      <c r="AD395" s="61">
        <f>SUM(V395:AC395)</f>
        <v>118</v>
      </c>
      <c r="AF395" s="41">
        <f t="shared" si="351"/>
        <v>109</v>
      </c>
      <c r="AG395" s="42">
        <f t="shared" si="351"/>
        <v>22</v>
      </c>
      <c r="AH395" s="42">
        <f t="shared" si="351"/>
        <v>0</v>
      </c>
      <c r="AI395" s="42">
        <f t="shared" si="351"/>
        <v>1</v>
      </c>
      <c r="AJ395" s="42">
        <f t="shared" si="351"/>
        <v>0</v>
      </c>
      <c r="AK395" s="42">
        <f t="shared" si="351"/>
        <v>1</v>
      </c>
      <c r="AL395" s="42">
        <f t="shared" si="351"/>
        <v>13</v>
      </c>
      <c r="AM395" s="43">
        <f t="shared" si="351"/>
        <v>0</v>
      </c>
      <c r="AN395" s="61">
        <f>SUM(AF395:AM395)</f>
        <v>146</v>
      </c>
      <c r="AP395" s="61">
        <f>SUM(J395+T395+AD395+AN395)</f>
        <v>377</v>
      </c>
    </row>
    <row r="396" spans="1:42" ht="15.75" customHeight="1">
      <c r="A396" s="48" t="s">
        <v>29</v>
      </c>
      <c r="B396" s="45">
        <f t="shared" ref="B396:J396" si="352">SUM(B392:B395)</f>
        <v>151</v>
      </c>
      <c r="C396" s="46">
        <f t="shared" si="352"/>
        <v>18</v>
      </c>
      <c r="D396" s="46">
        <f t="shared" si="352"/>
        <v>0</v>
      </c>
      <c r="E396" s="46">
        <f t="shared" si="352"/>
        <v>0</v>
      </c>
      <c r="F396" s="46">
        <f t="shared" si="352"/>
        <v>0</v>
      </c>
      <c r="G396" s="46">
        <f t="shared" si="352"/>
        <v>2</v>
      </c>
      <c r="H396" s="46">
        <f t="shared" si="352"/>
        <v>200</v>
      </c>
      <c r="I396" s="47">
        <f t="shared" si="352"/>
        <v>0</v>
      </c>
      <c r="J396" s="48">
        <f t="shared" si="352"/>
        <v>371</v>
      </c>
      <c r="L396" s="45">
        <f t="shared" ref="L396:T396" si="353">SUM(L392:L395)</f>
        <v>0</v>
      </c>
      <c r="M396" s="46">
        <f t="shared" si="353"/>
        <v>1</v>
      </c>
      <c r="N396" s="46">
        <f t="shared" si="353"/>
        <v>0</v>
      </c>
      <c r="O396" s="46">
        <f t="shared" si="353"/>
        <v>0</v>
      </c>
      <c r="P396" s="46">
        <f t="shared" si="353"/>
        <v>0</v>
      </c>
      <c r="Q396" s="46">
        <f t="shared" si="353"/>
        <v>1</v>
      </c>
      <c r="R396" s="46">
        <f t="shared" si="353"/>
        <v>15</v>
      </c>
      <c r="S396" s="47">
        <f t="shared" si="353"/>
        <v>1</v>
      </c>
      <c r="T396" s="48">
        <f t="shared" si="353"/>
        <v>18</v>
      </c>
      <c r="V396" s="45">
        <f t="shared" ref="V396:AD396" si="354">SUM(V392:V395)</f>
        <v>352</v>
      </c>
      <c r="W396" s="46">
        <f t="shared" si="354"/>
        <v>43</v>
      </c>
      <c r="X396" s="46">
        <f t="shared" si="354"/>
        <v>4</v>
      </c>
      <c r="Y396" s="46">
        <f t="shared" si="354"/>
        <v>3</v>
      </c>
      <c r="Z396" s="46">
        <f t="shared" si="354"/>
        <v>3</v>
      </c>
      <c r="AA396" s="46">
        <f t="shared" si="354"/>
        <v>18</v>
      </c>
      <c r="AB396" s="46">
        <f t="shared" si="354"/>
        <v>33</v>
      </c>
      <c r="AC396" s="47">
        <f t="shared" si="354"/>
        <v>0</v>
      </c>
      <c r="AD396" s="48">
        <f t="shared" si="354"/>
        <v>456</v>
      </c>
      <c r="AF396" s="45">
        <f t="shared" ref="AF396:AN396" si="355">SUM(AF392:AF395)</f>
        <v>344</v>
      </c>
      <c r="AG396" s="46">
        <f t="shared" si="355"/>
        <v>84</v>
      </c>
      <c r="AH396" s="46">
        <f t="shared" si="355"/>
        <v>10</v>
      </c>
      <c r="AI396" s="46">
        <f t="shared" si="355"/>
        <v>2</v>
      </c>
      <c r="AJ396" s="46">
        <f t="shared" si="355"/>
        <v>1</v>
      </c>
      <c r="AK396" s="46">
        <f t="shared" si="355"/>
        <v>12</v>
      </c>
      <c r="AL396" s="46">
        <f t="shared" si="355"/>
        <v>31</v>
      </c>
      <c r="AM396" s="47">
        <f t="shared" si="355"/>
        <v>0</v>
      </c>
      <c r="AN396" s="48">
        <f t="shared" si="355"/>
        <v>484</v>
      </c>
      <c r="AP396" s="48">
        <f>SUM(AP392:AP395)</f>
        <v>1329</v>
      </c>
    </row>
    <row r="397" spans="1:42" ht="15.75" customHeight="1">
      <c r="A397" s="56">
        <v>0.33333333333333331</v>
      </c>
      <c r="B397" s="32">
        <f t="shared" ref="B397:I400" si="356">SUM(B17+B93+B169+B245)</f>
        <v>45</v>
      </c>
      <c r="C397" s="33">
        <f t="shared" si="356"/>
        <v>3</v>
      </c>
      <c r="D397" s="33">
        <f t="shared" si="356"/>
        <v>2</v>
      </c>
      <c r="E397" s="33">
        <f t="shared" si="356"/>
        <v>0</v>
      </c>
      <c r="F397" s="33">
        <f t="shared" si="356"/>
        <v>0</v>
      </c>
      <c r="G397" s="33">
        <f t="shared" si="356"/>
        <v>1</v>
      </c>
      <c r="H397" s="33">
        <f t="shared" si="356"/>
        <v>76</v>
      </c>
      <c r="I397" s="34">
        <f t="shared" si="356"/>
        <v>0</v>
      </c>
      <c r="J397" s="57">
        <f>SUM(B397:I397)</f>
        <v>127</v>
      </c>
      <c r="L397" s="32">
        <f t="shared" ref="L397:S400" si="357">SUM(L17+L93+L169+L245)</f>
        <v>0</v>
      </c>
      <c r="M397" s="33">
        <f t="shared" si="357"/>
        <v>0</v>
      </c>
      <c r="N397" s="33">
        <f t="shared" si="357"/>
        <v>0</v>
      </c>
      <c r="O397" s="33">
        <f t="shared" si="357"/>
        <v>0</v>
      </c>
      <c r="P397" s="33">
        <f t="shared" si="357"/>
        <v>0</v>
      </c>
      <c r="Q397" s="33">
        <f t="shared" si="357"/>
        <v>0</v>
      </c>
      <c r="R397" s="33">
        <f t="shared" si="357"/>
        <v>3</v>
      </c>
      <c r="S397" s="34">
        <f t="shared" si="357"/>
        <v>0</v>
      </c>
      <c r="T397" s="57">
        <f>SUM(L397:S397)</f>
        <v>3</v>
      </c>
      <c r="V397" s="32">
        <f t="shared" ref="V397:AC400" si="358">SUM(V17+V93+V169+V245)</f>
        <v>109</v>
      </c>
      <c r="W397" s="33">
        <f t="shared" si="358"/>
        <v>8</v>
      </c>
      <c r="X397" s="33">
        <f t="shared" si="358"/>
        <v>2</v>
      </c>
      <c r="Y397" s="33">
        <f t="shared" si="358"/>
        <v>0</v>
      </c>
      <c r="Z397" s="33">
        <f t="shared" si="358"/>
        <v>0</v>
      </c>
      <c r="AA397" s="33">
        <f t="shared" si="358"/>
        <v>7</v>
      </c>
      <c r="AB397" s="33">
        <f t="shared" si="358"/>
        <v>11</v>
      </c>
      <c r="AC397" s="34">
        <f t="shared" si="358"/>
        <v>1</v>
      </c>
      <c r="AD397" s="57">
        <f>SUM(V397:AC397)</f>
        <v>138</v>
      </c>
      <c r="AF397" s="32">
        <f t="shared" ref="AF397:AM400" si="359">SUM(AF17+AF93+AF169+AF245)</f>
        <v>107</v>
      </c>
      <c r="AG397" s="33">
        <f t="shared" si="359"/>
        <v>12</v>
      </c>
      <c r="AH397" s="33">
        <f t="shared" si="359"/>
        <v>2</v>
      </c>
      <c r="AI397" s="33">
        <f t="shared" si="359"/>
        <v>0</v>
      </c>
      <c r="AJ397" s="33">
        <f t="shared" si="359"/>
        <v>0</v>
      </c>
      <c r="AK397" s="33">
        <f t="shared" si="359"/>
        <v>6</v>
      </c>
      <c r="AL397" s="33">
        <f t="shared" si="359"/>
        <v>14</v>
      </c>
      <c r="AM397" s="34">
        <f t="shared" si="359"/>
        <v>0</v>
      </c>
      <c r="AN397" s="57">
        <f>SUM(AF397:AM397)</f>
        <v>141</v>
      </c>
      <c r="AP397" s="57">
        <f>SUM(J397+T397+AD397+AN397)</f>
        <v>409</v>
      </c>
    </row>
    <row r="398" spans="1:42" ht="15.75" customHeight="1">
      <c r="A398" s="58">
        <v>0.34375</v>
      </c>
      <c r="B398" s="36">
        <f t="shared" si="356"/>
        <v>34</v>
      </c>
      <c r="C398" s="37">
        <f t="shared" si="356"/>
        <v>2</v>
      </c>
      <c r="D398" s="37">
        <f t="shared" si="356"/>
        <v>0</v>
      </c>
      <c r="E398" s="37">
        <f t="shared" si="356"/>
        <v>0</v>
      </c>
      <c r="F398" s="37">
        <f t="shared" si="356"/>
        <v>0</v>
      </c>
      <c r="G398" s="37">
        <f t="shared" si="356"/>
        <v>0</v>
      </c>
      <c r="H398" s="37">
        <f t="shared" si="356"/>
        <v>95</v>
      </c>
      <c r="I398" s="40">
        <f t="shared" si="356"/>
        <v>0</v>
      </c>
      <c r="J398" s="59">
        <f>SUM(B398:I398)</f>
        <v>131</v>
      </c>
      <c r="L398" s="36">
        <f t="shared" si="357"/>
        <v>0</v>
      </c>
      <c r="M398" s="37">
        <f t="shared" si="357"/>
        <v>0</v>
      </c>
      <c r="N398" s="37">
        <f t="shared" si="357"/>
        <v>0</v>
      </c>
      <c r="O398" s="37">
        <f t="shared" si="357"/>
        <v>0</v>
      </c>
      <c r="P398" s="37">
        <f t="shared" si="357"/>
        <v>0</v>
      </c>
      <c r="Q398" s="37">
        <f t="shared" si="357"/>
        <v>0</v>
      </c>
      <c r="R398" s="37">
        <f t="shared" si="357"/>
        <v>7</v>
      </c>
      <c r="S398" s="40">
        <f t="shared" si="357"/>
        <v>0</v>
      </c>
      <c r="T398" s="59">
        <f>SUM(L398:S398)</f>
        <v>7</v>
      </c>
      <c r="V398" s="36">
        <f t="shared" si="358"/>
        <v>82</v>
      </c>
      <c r="W398" s="37">
        <f t="shared" si="358"/>
        <v>10</v>
      </c>
      <c r="X398" s="37">
        <f t="shared" si="358"/>
        <v>0</v>
      </c>
      <c r="Y398" s="37">
        <f t="shared" si="358"/>
        <v>0</v>
      </c>
      <c r="Z398" s="37">
        <f t="shared" si="358"/>
        <v>0</v>
      </c>
      <c r="AA398" s="37">
        <f t="shared" si="358"/>
        <v>10</v>
      </c>
      <c r="AB398" s="37">
        <f t="shared" si="358"/>
        <v>17</v>
      </c>
      <c r="AC398" s="40">
        <f t="shared" si="358"/>
        <v>0</v>
      </c>
      <c r="AD398" s="59">
        <f>SUM(V398:AC398)</f>
        <v>119</v>
      </c>
      <c r="AF398" s="36">
        <f t="shared" si="359"/>
        <v>72</v>
      </c>
      <c r="AG398" s="37">
        <f t="shared" si="359"/>
        <v>16</v>
      </c>
      <c r="AH398" s="37">
        <f t="shared" si="359"/>
        <v>1</v>
      </c>
      <c r="AI398" s="37">
        <f t="shared" si="359"/>
        <v>0</v>
      </c>
      <c r="AJ398" s="37">
        <f t="shared" si="359"/>
        <v>0</v>
      </c>
      <c r="AK398" s="37">
        <f t="shared" si="359"/>
        <v>2</v>
      </c>
      <c r="AL398" s="37">
        <f t="shared" si="359"/>
        <v>19</v>
      </c>
      <c r="AM398" s="40">
        <f t="shared" si="359"/>
        <v>0</v>
      </c>
      <c r="AN398" s="59">
        <f>SUM(AF398:AM398)</f>
        <v>110</v>
      </c>
      <c r="AP398" s="59">
        <f>SUM(J398+T398+AD398+AN398)</f>
        <v>367</v>
      </c>
    </row>
    <row r="399" spans="1:42" ht="15.75" customHeight="1">
      <c r="A399" s="58">
        <v>0.35416666666666669</v>
      </c>
      <c r="B399" s="36">
        <f t="shared" si="356"/>
        <v>38</v>
      </c>
      <c r="C399" s="37">
        <f t="shared" si="356"/>
        <v>2</v>
      </c>
      <c r="D399" s="37">
        <f t="shared" si="356"/>
        <v>0</v>
      </c>
      <c r="E399" s="37">
        <f t="shared" si="356"/>
        <v>0</v>
      </c>
      <c r="F399" s="37">
        <f t="shared" si="356"/>
        <v>0</v>
      </c>
      <c r="G399" s="37">
        <f t="shared" si="356"/>
        <v>0</v>
      </c>
      <c r="H399" s="37">
        <f t="shared" si="356"/>
        <v>88</v>
      </c>
      <c r="I399" s="40">
        <f t="shared" si="356"/>
        <v>0</v>
      </c>
      <c r="J399" s="59">
        <f>SUM(B399:I399)</f>
        <v>128</v>
      </c>
      <c r="L399" s="36">
        <f t="shared" si="357"/>
        <v>0</v>
      </c>
      <c r="M399" s="37">
        <f t="shared" si="357"/>
        <v>0</v>
      </c>
      <c r="N399" s="37">
        <f t="shared" si="357"/>
        <v>0</v>
      </c>
      <c r="O399" s="37">
        <f t="shared" si="357"/>
        <v>0</v>
      </c>
      <c r="P399" s="37">
        <f t="shared" si="357"/>
        <v>0</v>
      </c>
      <c r="Q399" s="37">
        <f t="shared" si="357"/>
        <v>0</v>
      </c>
      <c r="R399" s="37">
        <f t="shared" si="357"/>
        <v>6</v>
      </c>
      <c r="S399" s="40">
        <f t="shared" si="357"/>
        <v>0</v>
      </c>
      <c r="T399" s="59">
        <f>SUM(L399:S399)</f>
        <v>6</v>
      </c>
      <c r="V399" s="36">
        <f t="shared" si="358"/>
        <v>73</v>
      </c>
      <c r="W399" s="37">
        <f t="shared" si="358"/>
        <v>4</v>
      </c>
      <c r="X399" s="37">
        <f t="shared" si="358"/>
        <v>0</v>
      </c>
      <c r="Y399" s="37">
        <f t="shared" si="358"/>
        <v>1</v>
      </c>
      <c r="Z399" s="37">
        <f t="shared" si="358"/>
        <v>0</v>
      </c>
      <c r="AA399" s="37">
        <f t="shared" si="358"/>
        <v>5</v>
      </c>
      <c r="AB399" s="37">
        <f t="shared" si="358"/>
        <v>14</v>
      </c>
      <c r="AC399" s="40">
        <f t="shared" si="358"/>
        <v>0</v>
      </c>
      <c r="AD399" s="59">
        <f>SUM(V399:AC399)</f>
        <v>97</v>
      </c>
      <c r="AF399" s="36">
        <f t="shared" si="359"/>
        <v>86</v>
      </c>
      <c r="AG399" s="37">
        <f t="shared" si="359"/>
        <v>10</v>
      </c>
      <c r="AH399" s="37">
        <f t="shared" si="359"/>
        <v>0</v>
      </c>
      <c r="AI399" s="37">
        <f t="shared" si="359"/>
        <v>2</v>
      </c>
      <c r="AJ399" s="37">
        <f t="shared" si="359"/>
        <v>2</v>
      </c>
      <c r="AK399" s="37">
        <f t="shared" si="359"/>
        <v>1</v>
      </c>
      <c r="AL399" s="37">
        <f t="shared" si="359"/>
        <v>18</v>
      </c>
      <c r="AM399" s="40">
        <f t="shared" si="359"/>
        <v>0</v>
      </c>
      <c r="AN399" s="59">
        <f>SUM(AF399:AM399)</f>
        <v>119</v>
      </c>
      <c r="AP399" s="59">
        <f>SUM(J399+T399+AD399+AN399)</f>
        <v>350</v>
      </c>
    </row>
    <row r="400" spans="1:42" ht="15.75" customHeight="1">
      <c r="A400" s="60">
        <v>0.36458333333333331</v>
      </c>
      <c r="B400" s="41">
        <f t="shared" si="356"/>
        <v>52</v>
      </c>
      <c r="C400" s="42">
        <f t="shared" si="356"/>
        <v>3</v>
      </c>
      <c r="D400" s="42">
        <f t="shared" si="356"/>
        <v>0</v>
      </c>
      <c r="E400" s="42">
        <f t="shared" si="356"/>
        <v>1</v>
      </c>
      <c r="F400" s="42">
        <f t="shared" si="356"/>
        <v>0</v>
      </c>
      <c r="G400" s="42">
        <f t="shared" si="356"/>
        <v>1</v>
      </c>
      <c r="H400" s="42">
        <f t="shared" si="356"/>
        <v>124</v>
      </c>
      <c r="I400" s="43">
        <f t="shared" si="356"/>
        <v>0</v>
      </c>
      <c r="J400" s="61">
        <f>SUM(B400:I400)</f>
        <v>181</v>
      </c>
      <c r="L400" s="41">
        <f t="shared" si="357"/>
        <v>0</v>
      </c>
      <c r="M400" s="42">
        <f t="shared" si="357"/>
        <v>0</v>
      </c>
      <c r="N400" s="42">
        <f t="shared" si="357"/>
        <v>0</v>
      </c>
      <c r="O400" s="42">
        <f t="shared" si="357"/>
        <v>0</v>
      </c>
      <c r="P400" s="42">
        <f t="shared" si="357"/>
        <v>0</v>
      </c>
      <c r="Q400" s="42">
        <f t="shared" si="357"/>
        <v>0</v>
      </c>
      <c r="R400" s="42">
        <f t="shared" si="357"/>
        <v>8</v>
      </c>
      <c r="S400" s="43">
        <f t="shared" si="357"/>
        <v>0</v>
      </c>
      <c r="T400" s="61">
        <f>SUM(L400:S400)</f>
        <v>8</v>
      </c>
      <c r="V400" s="41">
        <f t="shared" si="358"/>
        <v>81</v>
      </c>
      <c r="W400" s="42">
        <f t="shared" si="358"/>
        <v>9</v>
      </c>
      <c r="X400" s="42">
        <f t="shared" si="358"/>
        <v>1</v>
      </c>
      <c r="Y400" s="42">
        <f t="shared" si="358"/>
        <v>0</v>
      </c>
      <c r="Z400" s="42">
        <f t="shared" si="358"/>
        <v>1</v>
      </c>
      <c r="AA400" s="42">
        <f t="shared" si="358"/>
        <v>5</v>
      </c>
      <c r="AB400" s="42">
        <f t="shared" si="358"/>
        <v>9</v>
      </c>
      <c r="AC400" s="43">
        <f t="shared" si="358"/>
        <v>0</v>
      </c>
      <c r="AD400" s="61">
        <f>SUM(V400:AC400)</f>
        <v>106</v>
      </c>
      <c r="AF400" s="41">
        <f t="shared" si="359"/>
        <v>90</v>
      </c>
      <c r="AG400" s="42">
        <f t="shared" si="359"/>
        <v>17</v>
      </c>
      <c r="AH400" s="42">
        <f t="shared" si="359"/>
        <v>1</v>
      </c>
      <c r="AI400" s="42">
        <f t="shared" si="359"/>
        <v>0</v>
      </c>
      <c r="AJ400" s="42">
        <f t="shared" si="359"/>
        <v>0</v>
      </c>
      <c r="AK400" s="42">
        <f t="shared" si="359"/>
        <v>3</v>
      </c>
      <c r="AL400" s="42">
        <f t="shared" si="359"/>
        <v>13</v>
      </c>
      <c r="AM400" s="43">
        <f t="shared" si="359"/>
        <v>0</v>
      </c>
      <c r="AN400" s="61">
        <f>SUM(AF400:AM400)</f>
        <v>124</v>
      </c>
      <c r="AP400" s="61">
        <f>SUM(J400+T400+AD400+AN400)</f>
        <v>419</v>
      </c>
    </row>
    <row r="401" spans="1:42" ht="15.75" customHeight="1">
      <c r="A401" s="48" t="s">
        <v>29</v>
      </c>
      <c r="B401" s="45">
        <f t="shared" ref="B401:J401" si="360">SUM(B397:B400)</f>
        <v>169</v>
      </c>
      <c r="C401" s="46">
        <f t="shared" si="360"/>
        <v>10</v>
      </c>
      <c r="D401" s="46">
        <f t="shared" si="360"/>
        <v>2</v>
      </c>
      <c r="E401" s="46">
        <f t="shared" si="360"/>
        <v>1</v>
      </c>
      <c r="F401" s="46">
        <f t="shared" si="360"/>
        <v>0</v>
      </c>
      <c r="G401" s="46">
        <f t="shared" si="360"/>
        <v>2</v>
      </c>
      <c r="H401" s="46">
        <f t="shared" si="360"/>
        <v>383</v>
      </c>
      <c r="I401" s="47">
        <f t="shared" si="360"/>
        <v>0</v>
      </c>
      <c r="J401" s="48">
        <f t="shared" si="360"/>
        <v>567</v>
      </c>
      <c r="L401" s="45">
        <f t="shared" ref="L401:T401" si="361">SUM(L397:L400)</f>
        <v>0</v>
      </c>
      <c r="M401" s="46">
        <f t="shared" si="361"/>
        <v>0</v>
      </c>
      <c r="N401" s="46">
        <f t="shared" si="361"/>
        <v>0</v>
      </c>
      <c r="O401" s="46">
        <f t="shared" si="361"/>
        <v>0</v>
      </c>
      <c r="P401" s="46">
        <f t="shared" si="361"/>
        <v>0</v>
      </c>
      <c r="Q401" s="46">
        <f t="shared" si="361"/>
        <v>0</v>
      </c>
      <c r="R401" s="46">
        <f t="shared" si="361"/>
        <v>24</v>
      </c>
      <c r="S401" s="47">
        <f t="shared" si="361"/>
        <v>0</v>
      </c>
      <c r="T401" s="48">
        <f t="shared" si="361"/>
        <v>24</v>
      </c>
      <c r="V401" s="45">
        <f t="shared" ref="V401:AD401" si="362">SUM(V397:V400)</f>
        <v>345</v>
      </c>
      <c r="W401" s="46">
        <f t="shared" si="362"/>
        <v>31</v>
      </c>
      <c r="X401" s="46">
        <f t="shared" si="362"/>
        <v>3</v>
      </c>
      <c r="Y401" s="46">
        <f t="shared" si="362"/>
        <v>1</v>
      </c>
      <c r="Z401" s="46">
        <f t="shared" si="362"/>
        <v>1</v>
      </c>
      <c r="AA401" s="46">
        <f t="shared" si="362"/>
        <v>27</v>
      </c>
      <c r="AB401" s="46">
        <f t="shared" si="362"/>
        <v>51</v>
      </c>
      <c r="AC401" s="47">
        <f t="shared" si="362"/>
        <v>1</v>
      </c>
      <c r="AD401" s="48">
        <f t="shared" si="362"/>
        <v>460</v>
      </c>
      <c r="AF401" s="45">
        <f t="shared" ref="AF401:AN401" si="363">SUM(AF397:AF400)</f>
        <v>355</v>
      </c>
      <c r="AG401" s="46">
        <f t="shared" si="363"/>
        <v>55</v>
      </c>
      <c r="AH401" s="46">
        <f t="shared" si="363"/>
        <v>4</v>
      </c>
      <c r="AI401" s="46">
        <f t="shared" si="363"/>
        <v>2</v>
      </c>
      <c r="AJ401" s="46">
        <f t="shared" si="363"/>
        <v>2</v>
      </c>
      <c r="AK401" s="46">
        <f t="shared" si="363"/>
        <v>12</v>
      </c>
      <c r="AL401" s="46">
        <f t="shared" si="363"/>
        <v>64</v>
      </c>
      <c r="AM401" s="47">
        <f t="shared" si="363"/>
        <v>0</v>
      </c>
      <c r="AN401" s="48">
        <f t="shared" si="363"/>
        <v>494</v>
      </c>
      <c r="AP401" s="48">
        <f>SUM(AP397:AP400)</f>
        <v>1545</v>
      </c>
    </row>
    <row r="402" spans="1:42" ht="15.75" customHeight="1">
      <c r="A402" s="56">
        <v>0.375</v>
      </c>
      <c r="B402" s="32">
        <f t="shared" ref="B402:I405" si="364">SUM(B22+B98+B174+B250)</f>
        <v>39</v>
      </c>
      <c r="C402" s="33">
        <f t="shared" si="364"/>
        <v>3</v>
      </c>
      <c r="D402" s="33">
        <f t="shared" si="364"/>
        <v>1</v>
      </c>
      <c r="E402" s="33">
        <f t="shared" si="364"/>
        <v>0</v>
      </c>
      <c r="F402" s="33">
        <f t="shared" si="364"/>
        <v>0</v>
      </c>
      <c r="G402" s="33">
        <f t="shared" si="364"/>
        <v>0</v>
      </c>
      <c r="H402" s="33">
        <f t="shared" si="364"/>
        <v>60</v>
      </c>
      <c r="I402" s="34">
        <f t="shared" si="364"/>
        <v>0</v>
      </c>
      <c r="J402" s="57">
        <f>SUM(B402:I402)</f>
        <v>103</v>
      </c>
      <c r="L402" s="32">
        <f t="shared" ref="L402:S405" si="365">SUM(L22+L98+L174+L250)</f>
        <v>0</v>
      </c>
      <c r="M402" s="33">
        <f t="shared" si="365"/>
        <v>0</v>
      </c>
      <c r="N402" s="33">
        <f t="shared" si="365"/>
        <v>0</v>
      </c>
      <c r="O402" s="33">
        <f t="shared" si="365"/>
        <v>0</v>
      </c>
      <c r="P402" s="33">
        <f t="shared" si="365"/>
        <v>0</v>
      </c>
      <c r="Q402" s="33">
        <f t="shared" si="365"/>
        <v>0</v>
      </c>
      <c r="R402" s="33">
        <f t="shared" si="365"/>
        <v>6</v>
      </c>
      <c r="S402" s="34">
        <f t="shared" si="365"/>
        <v>0</v>
      </c>
      <c r="T402" s="57">
        <f>SUM(L402:S402)</f>
        <v>6</v>
      </c>
      <c r="V402" s="32">
        <f t="shared" ref="V402:AC405" si="366">SUM(V22+V98+V174+V250)</f>
        <v>124</v>
      </c>
      <c r="W402" s="33">
        <f t="shared" si="366"/>
        <v>18</v>
      </c>
      <c r="X402" s="33">
        <f t="shared" si="366"/>
        <v>0</v>
      </c>
      <c r="Y402" s="33">
        <f t="shared" si="366"/>
        <v>2</v>
      </c>
      <c r="Z402" s="33">
        <f t="shared" si="366"/>
        <v>2</v>
      </c>
      <c r="AA402" s="33">
        <f t="shared" si="366"/>
        <v>1</v>
      </c>
      <c r="AB402" s="33">
        <f t="shared" si="366"/>
        <v>4</v>
      </c>
      <c r="AC402" s="34">
        <f t="shared" si="366"/>
        <v>0</v>
      </c>
      <c r="AD402" s="57">
        <f>SUM(V402:AC402)</f>
        <v>151</v>
      </c>
      <c r="AF402" s="32">
        <f t="shared" ref="AF402:AM405" si="367">SUM(AF22+AF98+AF174+AF250)</f>
        <v>73</v>
      </c>
      <c r="AG402" s="33">
        <f t="shared" si="367"/>
        <v>8</v>
      </c>
      <c r="AH402" s="33">
        <f t="shared" si="367"/>
        <v>2</v>
      </c>
      <c r="AI402" s="33">
        <f t="shared" si="367"/>
        <v>0</v>
      </c>
      <c r="AJ402" s="33">
        <f t="shared" si="367"/>
        <v>0</v>
      </c>
      <c r="AK402" s="33">
        <f t="shared" si="367"/>
        <v>1</v>
      </c>
      <c r="AL402" s="33">
        <f t="shared" si="367"/>
        <v>16</v>
      </c>
      <c r="AM402" s="34">
        <f t="shared" si="367"/>
        <v>0</v>
      </c>
      <c r="AN402" s="57">
        <f>SUM(AF402:AM402)</f>
        <v>100</v>
      </c>
      <c r="AP402" s="57">
        <f>SUM(J402+T402+AD402+AN402)</f>
        <v>360</v>
      </c>
    </row>
    <row r="403" spans="1:42" ht="15.75" customHeight="1">
      <c r="A403" s="58">
        <v>0.38541666666666669</v>
      </c>
      <c r="B403" s="36">
        <f t="shared" si="364"/>
        <v>27</v>
      </c>
      <c r="C403" s="37">
        <f t="shared" si="364"/>
        <v>5</v>
      </c>
      <c r="D403" s="37">
        <f t="shared" si="364"/>
        <v>1</v>
      </c>
      <c r="E403" s="37">
        <f t="shared" si="364"/>
        <v>0</v>
      </c>
      <c r="F403" s="37">
        <f t="shared" si="364"/>
        <v>0</v>
      </c>
      <c r="G403" s="37">
        <f t="shared" si="364"/>
        <v>2</v>
      </c>
      <c r="H403" s="37">
        <f t="shared" si="364"/>
        <v>59</v>
      </c>
      <c r="I403" s="40">
        <f t="shared" si="364"/>
        <v>0</v>
      </c>
      <c r="J403" s="59">
        <f>SUM(B403:I403)</f>
        <v>94</v>
      </c>
      <c r="L403" s="36">
        <f t="shared" si="365"/>
        <v>0</v>
      </c>
      <c r="M403" s="37">
        <f t="shared" si="365"/>
        <v>0</v>
      </c>
      <c r="N403" s="37">
        <f t="shared" si="365"/>
        <v>0</v>
      </c>
      <c r="O403" s="37">
        <f t="shared" si="365"/>
        <v>0</v>
      </c>
      <c r="P403" s="37">
        <f t="shared" si="365"/>
        <v>0</v>
      </c>
      <c r="Q403" s="37">
        <f t="shared" si="365"/>
        <v>0</v>
      </c>
      <c r="R403" s="37">
        <f t="shared" si="365"/>
        <v>2</v>
      </c>
      <c r="S403" s="40">
        <f t="shared" si="365"/>
        <v>0</v>
      </c>
      <c r="T403" s="59">
        <f>SUM(L403:S403)</f>
        <v>2</v>
      </c>
      <c r="V403" s="36">
        <f t="shared" si="366"/>
        <v>79</v>
      </c>
      <c r="W403" s="37">
        <f t="shared" si="366"/>
        <v>17</v>
      </c>
      <c r="X403" s="37">
        <f t="shared" si="366"/>
        <v>1</v>
      </c>
      <c r="Y403" s="37">
        <f t="shared" si="366"/>
        <v>1</v>
      </c>
      <c r="Z403" s="37">
        <f t="shared" si="366"/>
        <v>0</v>
      </c>
      <c r="AA403" s="37">
        <f t="shared" si="366"/>
        <v>3</v>
      </c>
      <c r="AB403" s="37">
        <f t="shared" si="366"/>
        <v>1</v>
      </c>
      <c r="AC403" s="40">
        <f t="shared" si="366"/>
        <v>0</v>
      </c>
      <c r="AD403" s="59">
        <f>SUM(V403:AC403)</f>
        <v>102</v>
      </c>
      <c r="AF403" s="36">
        <f t="shared" si="367"/>
        <v>86</v>
      </c>
      <c r="AG403" s="37">
        <f t="shared" si="367"/>
        <v>4</v>
      </c>
      <c r="AH403" s="37">
        <f t="shared" si="367"/>
        <v>1</v>
      </c>
      <c r="AI403" s="37">
        <f t="shared" si="367"/>
        <v>1</v>
      </c>
      <c r="AJ403" s="37">
        <f t="shared" si="367"/>
        <v>2</v>
      </c>
      <c r="AK403" s="37">
        <f t="shared" si="367"/>
        <v>0</v>
      </c>
      <c r="AL403" s="37">
        <f t="shared" si="367"/>
        <v>16</v>
      </c>
      <c r="AM403" s="40">
        <f t="shared" si="367"/>
        <v>0</v>
      </c>
      <c r="AN403" s="59">
        <f>SUM(AF403:AM403)</f>
        <v>110</v>
      </c>
      <c r="AP403" s="59">
        <f>SUM(J403+T403+AD403+AN403)</f>
        <v>308</v>
      </c>
    </row>
    <row r="404" spans="1:42" ht="15.75" customHeight="1">
      <c r="A404" s="58">
        <v>0.39583333333333331</v>
      </c>
      <c r="B404" s="36">
        <f t="shared" si="364"/>
        <v>17</v>
      </c>
      <c r="C404" s="37">
        <f t="shared" si="364"/>
        <v>1</v>
      </c>
      <c r="D404" s="37">
        <f t="shared" si="364"/>
        <v>0</v>
      </c>
      <c r="E404" s="37">
        <f t="shared" si="364"/>
        <v>1</v>
      </c>
      <c r="F404" s="37">
        <f t="shared" si="364"/>
        <v>0</v>
      </c>
      <c r="G404" s="37">
        <f t="shared" si="364"/>
        <v>1</v>
      </c>
      <c r="H404" s="37">
        <f t="shared" si="364"/>
        <v>32</v>
      </c>
      <c r="I404" s="40">
        <f t="shared" si="364"/>
        <v>0</v>
      </c>
      <c r="J404" s="59">
        <f>SUM(B404:I404)</f>
        <v>52</v>
      </c>
      <c r="L404" s="36">
        <f t="shared" si="365"/>
        <v>0</v>
      </c>
      <c r="M404" s="37">
        <f t="shared" si="365"/>
        <v>0</v>
      </c>
      <c r="N404" s="37">
        <f t="shared" si="365"/>
        <v>0</v>
      </c>
      <c r="O404" s="37">
        <f t="shared" si="365"/>
        <v>0</v>
      </c>
      <c r="P404" s="37">
        <f t="shared" si="365"/>
        <v>0</v>
      </c>
      <c r="Q404" s="37">
        <f t="shared" si="365"/>
        <v>0</v>
      </c>
      <c r="R404" s="37">
        <f t="shared" si="365"/>
        <v>1</v>
      </c>
      <c r="S404" s="40">
        <f t="shared" si="365"/>
        <v>0</v>
      </c>
      <c r="T404" s="59">
        <f>SUM(L404:S404)</f>
        <v>1</v>
      </c>
      <c r="V404" s="36">
        <f t="shared" si="366"/>
        <v>85</v>
      </c>
      <c r="W404" s="37">
        <f t="shared" si="366"/>
        <v>12</v>
      </c>
      <c r="X404" s="37">
        <f t="shared" si="366"/>
        <v>1</v>
      </c>
      <c r="Y404" s="37">
        <f t="shared" si="366"/>
        <v>1</v>
      </c>
      <c r="Z404" s="37">
        <f t="shared" si="366"/>
        <v>2</v>
      </c>
      <c r="AA404" s="37">
        <f t="shared" si="366"/>
        <v>1</v>
      </c>
      <c r="AB404" s="37">
        <f t="shared" si="366"/>
        <v>0</v>
      </c>
      <c r="AC404" s="40">
        <f t="shared" si="366"/>
        <v>0</v>
      </c>
      <c r="AD404" s="59">
        <f>SUM(V404:AC404)</f>
        <v>102</v>
      </c>
      <c r="AF404" s="36">
        <f t="shared" si="367"/>
        <v>69</v>
      </c>
      <c r="AG404" s="37">
        <f t="shared" si="367"/>
        <v>12</v>
      </c>
      <c r="AH404" s="37">
        <f t="shared" si="367"/>
        <v>1</v>
      </c>
      <c r="AI404" s="37">
        <f t="shared" si="367"/>
        <v>1</v>
      </c>
      <c r="AJ404" s="37">
        <f t="shared" si="367"/>
        <v>1</v>
      </c>
      <c r="AK404" s="37">
        <f t="shared" si="367"/>
        <v>1</v>
      </c>
      <c r="AL404" s="37">
        <f t="shared" si="367"/>
        <v>8</v>
      </c>
      <c r="AM404" s="40">
        <f t="shared" si="367"/>
        <v>0</v>
      </c>
      <c r="AN404" s="59">
        <f>SUM(AF404:AM404)</f>
        <v>93</v>
      </c>
      <c r="AP404" s="59">
        <f>SUM(J404+T404+AD404+AN404)</f>
        <v>248</v>
      </c>
    </row>
    <row r="405" spans="1:42" ht="15.75" customHeight="1">
      <c r="A405" s="60">
        <v>0.40625</v>
      </c>
      <c r="B405" s="41">
        <f t="shared" si="364"/>
        <v>12</v>
      </c>
      <c r="C405" s="42">
        <f t="shared" si="364"/>
        <v>1</v>
      </c>
      <c r="D405" s="42">
        <f t="shared" si="364"/>
        <v>0</v>
      </c>
      <c r="E405" s="42">
        <f t="shared" si="364"/>
        <v>0</v>
      </c>
      <c r="F405" s="42">
        <f t="shared" si="364"/>
        <v>0</v>
      </c>
      <c r="G405" s="42">
        <f t="shared" si="364"/>
        <v>0</v>
      </c>
      <c r="H405" s="42">
        <f t="shared" si="364"/>
        <v>26</v>
      </c>
      <c r="I405" s="43">
        <f t="shared" si="364"/>
        <v>0</v>
      </c>
      <c r="J405" s="61">
        <f>SUM(B405:I405)</f>
        <v>39</v>
      </c>
      <c r="L405" s="41">
        <f t="shared" si="365"/>
        <v>0</v>
      </c>
      <c r="M405" s="42">
        <f t="shared" si="365"/>
        <v>0</v>
      </c>
      <c r="N405" s="42">
        <f t="shared" si="365"/>
        <v>0</v>
      </c>
      <c r="O405" s="42">
        <f t="shared" si="365"/>
        <v>0</v>
      </c>
      <c r="P405" s="42">
        <f t="shared" si="365"/>
        <v>0</v>
      </c>
      <c r="Q405" s="42">
        <f t="shared" si="365"/>
        <v>0</v>
      </c>
      <c r="R405" s="42">
        <f t="shared" si="365"/>
        <v>2</v>
      </c>
      <c r="S405" s="43">
        <f t="shared" si="365"/>
        <v>0</v>
      </c>
      <c r="T405" s="61">
        <f>SUM(L405:S405)</f>
        <v>2</v>
      </c>
      <c r="V405" s="41">
        <f t="shared" si="366"/>
        <v>79</v>
      </c>
      <c r="W405" s="42">
        <f t="shared" si="366"/>
        <v>9</v>
      </c>
      <c r="X405" s="42">
        <f t="shared" si="366"/>
        <v>2</v>
      </c>
      <c r="Y405" s="42">
        <f t="shared" si="366"/>
        <v>0</v>
      </c>
      <c r="Z405" s="42">
        <f t="shared" si="366"/>
        <v>2</v>
      </c>
      <c r="AA405" s="42">
        <f t="shared" si="366"/>
        <v>1</v>
      </c>
      <c r="AB405" s="42">
        <f t="shared" si="366"/>
        <v>2</v>
      </c>
      <c r="AC405" s="43">
        <f t="shared" si="366"/>
        <v>0</v>
      </c>
      <c r="AD405" s="61">
        <f>SUM(V405:AC405)</f>
        <v>95</v>
      </c>
      <c r="AF405" s="41">
        <f t="shared" si="367"/>
        <v>63</v>
      </c>
      <c r="AG405" s="42">
        <f t="shared" si="367"/>
        <v>6</v>
      </c>
      <c r="AH405" s="42">
        <f t="shared" si="367"/>
        <v>4</v>
      </c>
      <c r="AI405" s="42">
        <f t="shared" si="367"/>
        <v>1</v>
      </c>
      <c r="AJ405" s="42">
        <f t="shared" si="367"/>
        <v>2</v>
      </c>
      <c r="AK405" s="42">
        <f t="shared" si="367"/>
        <v>1</v>
      </c>
      <c r="AL405" s="42">
        <f t="shared" si="367"/>
        <v>7</v>
      </c>
      <c r="AM405" s="43">
        <f t="shared" si="367"/>
        <v>0</v>
      </c>
      <c r="AN405" s="61">
        <f>SUM(AF405:AM405)</f>
        <v>84</v>
      </c>
      <c r="AP405" s="61">
        <f>SUM(J405+T405+AD405+AN405)</f>
        <v>220</v>
      </c>
    </row>
    <row r="406" spans="1:42" ht="15.75" customHeight="1">
      <c r="A406" s="48" t="s">
        <v>29</v>
      </c>
      <c r="B406" s="45">
        <f t="shared" ref="B406:J406" si="368">SUM(B402:B405)</f>
        <v>95</v>
      </c>
      <c r="C406" s="46">
        <f t="shared" si="368"/>
        <v>10</v>
      </c>
      <c r="D406" s="46">
        <f t="shared" si="368"/>
        <v>2</v>
      </c>
      <c r="E406" s="46">
        <f t="shared" si="368"/>
        <v>1</v>
      </c>
      <c r="F406" s="46">
        <f t="shared" si="368"/>
        <v>0</v>
      </c>
      <c r="G406" s="46">
        <f t="shared" si="368"/>
        <v>3</v>
      </c>
      <c r="H406" s="46">
        <f t="shared" si="368"/>
        <v>177</v>
      </c>
      <c r="I406" s="47">
        <f t="shared" si="368"/>
        <v>0</v>
      </c>
      <c r="J406" s="48">
        <f t="shared" si="368"/>
        <v>288</v>
      </c>
      <c r="L406" s="45">
        <f t="shared" ref="L406:T406" si="369">SUM(L402:L405)</f>
        <v>0</v>
      </c>
      <c r="M406" s="46">
        <f t="shared" si="369"/>
        <v>0</v>
      </c>
      <c r="N406" s="46">
        <f t="shared" si="369"/>
        <v>0</v>
      </c>
      <c r="O406" s="46">
        <f t="shared" si="369"/>
        <v>0</v>
      </c>
      <c r="P406" s="46">
        <f t="shared" si="369"/>
        <v>0</v>
      </c>
      <c r="Q406" s="46">
        <f t="shared" si="369"/>
        <v>0</v>
      </c>
      <c r="R406" s="46">
        <f t="shared" si="369"/>
        <v>11</v>
      </c>
      <c r="S406" s="47">
        <f t="shared" si="369"/>
        <v>0</v>
      </c>
      <c r="T406" s="48">
        <f t="shared" si="369"/>
        <v>11</v>
      </c>
      <c r="V406" s="45">
        <f t="shared" ref="V406:AD406" si="370">SUM(V402:V405)</f>
        <v>367</v>
      </c>
      <c r="W406" s="46">
        <f t="shared" si="370"/>
        <v>56</v>
      </c>
      <c r="X406" s="46">
        <f t="shared" si="370"/>
        <v>4</v>
      </c>
      <c r="Y406" s="46">
        <f t="shared" si="370"/>
        <v>4</v>
      </c>
      <c r="Z406" s="46">
        <f t="shared" si="370"/>
        <v>6</v>
      </c>
      <c r="AA406" s="46">
        <f t="shared" si="370"/>
        <v>6</v>
      </c>
      <c r="AB406" s="46">
        <f t="shared" si="370"/>
        <v>7</v>
      </c>
      <c r="AC406" s="47">
        <f t="shared" si="370"/>
        <v>0</v>
      </c>
      <c r="AD406" s="48">
        <f t="shared" si="370"/>
        <v>450</v>
      </c>
      <c r="AF406" s="45">
        <f t="shared" ref="AF406:AN406" si="371">SUM(AF402:AF405)</f>
        <v>291</v>
      </c>
      <c r="AG406" s="46">
        <f t="shared" si="371"/>
        <v>30</v>
      </c>
      <c r="AH406" s="46">
        <f t="shared" si="371"/>
        <v>8</v>
      </c>
      <c r="AI406" s="46">
        <f t="shared" si="371"/>
        <v>3</v>
      </c>
      <c r="AJ406" s="46">
        <f t="shared" si="371"/>
        <v>5</v>
      </c>
      <c r="AK406" s="46">
        <f t="shared" si="371"/>
        <v>3</v>
      </c>
      <c r="AL406" s="46">
        <f t="shared" si="371"/>
        <v>47</v>
      </c>
      <c r="AM406" s="47">
        <f t="shared" si="371"/>
        <v>0</v>
      </c>
      <c r="AN406" s="48">
        <f t="shared" si="371"/>
        <v>387</v>
      </c>
      <c r="AP406" s="48">
        <f>SUM(AP402:AP405)</f>
        <v>1136</v>
      </c>
    </row>
    <row r="407" spans="1:42" ht="15.75" customHeight="1">
      <c r="A407" s="56">
        <v>0.41666666666666669</v>
      </c>
      <c r="B407" s="32">
        <f t="shared" ref="B407:I410" si="372">SUM(B27+B103+B179+B255)</f>
        <v>16</v>
      </c>
      <c r="C407" s="33">
        <f t="shared" si="372"/>
        <v>6</v>
      </c>
      <c r="D407" s="33">
        <f t="shared" si="372"/>
        <v>1</v>
      </c>
      <c r="E407" s="33">
        <f t="shared" si="372"/>
        <v>0</v>
      </c>
      <c r="F407" s="33">
        <f t="shared" si="372"/>
        <v>0</v>
      </c>
      <c r="G407" s="33">
        <f t="shared" si="372"/>
        <v>0</v>
      </c>
      <c r="H407" s="33">
        <f t="shared" si="372"/>
        <v>18</v>
      </c>
      <c r="I407" s="34">
        <f t="shared" si="372"/>
        <v>0</v>
      </c>
      <c r="J407" s="57">
        <f>SUM(B407:I407)</f>
        <v>41</v>
      </c>
      <c r="L407" s="32">
        <f t="shared" ref="L407:S410" si="373">SUM(L27+L103+L179+L255)</f>
        <v>0</v>
      </c>
      <c r="M407" s="33">
        <f t="shared" si="373"/>
        <v>0</v>
      </c>
      <c r="N407" s="33">
        <f t="shared" si="373"/>
        <v>0</v>
      </c>
      <c r="O407" s="33">
        <f t="shared" si="373"/>
        <v>0</v>
      </c>
      <c r="P407" s="33">
        <f t="shared" si="373"/>
        <v>0</v>
      </c>
      <c r="Q407" s="33">
        <f t="shared" si="373"/>
        <v>0</v>
      </c>
      <c r="R407" s="33">
        <f t="shared" si="373"/>
        <v>0</v>
      </c>
      <c r="S407" s="34">
        <f t="shared" si="373"/>
        <v>0</v>
      </c>
      <c r="T407" s="57">
        <f>SUM(L407:S407)</f>
        <v>0</v>
      </c>
      <c r="V407" s="32">
        <f t="shared" ref="V407:AC410" si="374">SUM(V27+V103+V179+V255)</f>
        <v>61</v>
      </c>
      <c r="W407" s="33">
        <f t="shared" si="374"/>
        <v>16</v>
      </c>
      <c r="X407" s="33">
        <f t="shared" si="374"/>
        <v>0</v>
      </c>
      <c r="Y407" s="33">
        <f t="shared" si="374"/>
        <v>0</v>
      </c>
      <c r="Z407" s="33">
        <f t="shared" si="374"/>
        <v>3</v>
      </c>
      <c r="AA407" s="33">
        <f t="shared" si="374"/>
        <v>3</v>
      </c>
      <c r="AB407" s="33">
        <f t="shared" si="374"/>
        <v>1</v>
      </c>
      <c r="AC407" s="34">
        <f t="shared" si="374"/>
        <v>0</v>
      </c>
      <c r="AD407" s="57">
        <f>SUM(V407:AC407)</f>
        <v>84</v>
      </c>
      <c r="AF407" s="32">
        <f t="shared" ref="AF407:AM410" si="375">SUM(AF27+AF103+AF179+AF255)</f>
        <v>50</v>
      </c>
      <c r="AG407" s="33">
        <f t="shared" si="375"/>
        <v>12</v>
      </c>
      <c r="AH407" s="33">
        <f t="shared" si="375"/>
        <v>3</v>
      </c>
      <c r="AI407" s="33">
        <f t="shared" si="375"/>
        <v>0</v>
      </c>
      <c r="AJ407" s="33">
        <f t="shared" si="375"/>
        <v>0</v>
      </c>
      <c r="AK407" s="33">
        <f t="shared" si="375"/>
        <v>1</v>
      </c>
      <c r="AL407" s="33">
        <f t="shared" si="375"/>
        <v>3</v>
      </c>
      <c r="AM407" s="34">
        <f t="shared" si="375"/>
        <v>0</v>
      </c>
      <c r="AN407" s="57">
        <f>SUM(AF407:AM407)</f>
        <v>69</v>
      </c>
      <c r="AP407" s="57">
        <f>SUM(J407+T407+AD407+AN407)</f>
        <v>194</v>
      </c>
    </row>
    <row r="408" spans="1:42" ht="15.75" customHeight="1">
      <c r="A408" s="58">
        <v>0.42708333333333331</v>
      </c>
      <c r="B408" s="36">
        <f t="shared" si="372"/>
        <v>6</v>
      </c>
      <c r="C408" s="37">
        <f t="shared" si="372"/>
        <v>4</v>
      </c>
      <c r="D408" s="37">
        <f t="shared" si="372"/>
        <v>0</v>
      </c>
      <c r="E408" s="37">
        <f t="shared" si="372"/>
        <v>0</v>
      </c>
      <c r="F408" s="37">
        <f t="shared" si="372"/>
        <v>0</v>
      </c>
      <c r="G408" s="37">
        <f t="shared" si="372"/>
        <v>0</v>
      </c>
      <c r="H408" s="37">
        <f t="shared" si="372"/>
        <v>20</v>
      </c>
      <c r="I408" s="40">
        <f t="shared" si="372"/>
        <v>0</v>
      </c>
      <c r="J408" s="59">
        <f>SUM(B408:I408)</f>
        <v>30</v>
      </c>
      <c r="L408" s="36">
        <f t="shared" si="373"/>
        <v>0</v>
      </c>
      <c r="M408" s="37">
        <f t="shared" si="373"/>
        <v>0</v>
      </c>
      <c r="N408" s="37">
        <f t="shared" si="373"/>
        <v>0</v>
      </c>
      <c r="O408" s="37">
        <f t="shared" si="373"/>
        <v>0</v>
      </c>
      <c r="P408" s="37">
        <f t="shared" si="373"/>
        <v>0</v>
      </c>
      <c r="Q408" s="37">
        <f t="shared" si="373"/>
        <v>0</v>
      </c>
      <c r="R408" s="37">
        <f t="shared" si="373"/>
        <v>2</v>
      </c>
      <c r="S408" s="40">
        <f t="shared" si="373"/>
        <v>0</v>
      </c>
      <c r="T408" s="59">
        <f>SUM(L408:S408)</f>
        <v>2</v>
      </c>
      <c r="V408" s="36">
        <f t="shared" si="374"/>
        <v>61</v>
      </c>
      <c r="W408" s="37">
        <f t="shared" si="374"/>
        <v>11</v>
      </c>
      <c r="X408" s="37">
        <f t="shared" si="374"/>
        <v>1</v>
      </c>
      <c r="Y408" s="37">
        <f t="shared" si="374"/>
        <v>0</v>
      </c>
      <c r="Z408" s="37">
        <f t="shared" si="374"/>
        <v>2</v>
      </c>
      <c r="AA408" s="37">
        <f t="shared" si="374"/>
        <v>0</v>
      </c>
      <c r="AB408" s="37">
        <f t="shared" si="374"/>
        <v>1</v>
      </c>
      <c r="AC408" s="40">
        <f t="shared" si="374"/>
        <v>0</v>
      </c>
      <c r="AD408" s="59">
        <f>SUM(V408:AC408)</f>
        <v>76</v>
      </c>
      <c r="AF408" s="36">
        <f t="shared" si="375"/>
        <v>50</v>
      </c>
      <c r="AG408" s="37">
        <f t="shared" si="375"/>
        <v>10</v>
      </c>
      <c r="AH408" s="37">
        <f t="shared" si="375"/>
        <v>0</v>
      </c>
      <c r="AI408" s="37">
        <f t="shared" si="375"/>
        <v>0</v>
      </c>
      <c r="AJ408" s="37">
        <f t="shared" si="375"/>
        <v>1</v>
      </c>
      <c r="AK408" s="37">
        <f t="shared" si="375"/>
        <v>1</v>
      </c>
      <c r="AL408" s="37">
        <f t="shared" si="375"/>
        <v>3</v>
      </c>
      <c r="AM408" s="40">
        <f t="shared" si="375"/>
        <v>0</v>
      </c>
      <c r="AN408" s="59">
        <f>SUM(AF408:AM408)</f>
        <v>65</v>
      </c>
      <c r="AP408" s="59">
        <f>SUM(J408+T408+AD408+AN408)</f>
        <v>173</v>
      </c>
    </row>
    <row r="409" spans="1:42" ht="15.75" customHeight="1">
      <c r="A409" s="58">
        <v>0.4375</v>
      </c>
      <c r="B409" s="36">
        <f t="shared" si="372"/>
        <v>13</v>
      </c>
      <c r="C409" s="37">
        <f t="shared" si="372"/>
        <v>4</v>
      </c>
      <c r="D409" s="37">
        <f t="shared" si="372"/>
        <v>0</v>
      </c>
      <c r="E409" s="37">
        <f t="shared" si="372"/>
        <v>0</v>
      </c>
      <c r="F409" s="37">
        <f t="shared" si="372"/>
        <v>0</v>
      </c>
      <c r="G409" s="37">
        <f t="shared" si="372"/>
        <v>0</v>
      </c>
      <c r="H409" s="37">
        <f t="shared" si="372"/>
        <v>19</v>
      </c>
      <c r="I409" s="40">
        <f t="shared" si="372"/>
        <v>0</v>
      </c>
      <c r="J409" s="59">
        <f>SUM(B409:I409)</f>
        <v>36</v>
      </c>
      <c r="L409" s="36">
        <f t="shared" si="373"/>
        <v>0</v>
      </c>
      <c r="M409" s="37">
        <f t="shared" si="373"/>
        <v>0</v>
      </c>
      <c r="N409" s="37">
        <f t="shared" si="373"/>
        <v>0</v>
      </c>
      <c r="O409" s="37">
        <f t="shared" si="373"/>
        <v>0</v>
      </c>
      <c r="P409" s="37">
        <f t="shared" si="373"/>
        <v>0</v>
      </c>
      <c r="Q409" s="37">
        <f t="shared" si="373"/>
        <v>0</v>
      </c>
      <c r="R409" s="37">
        <f t="shared" si="373"/>
        <v>0</v>
      </c>
      <c r="S409" s="40">
        <f t="shared" si="373"/>
        <v>0</v>
      </c>
      <c r="T409" s="59">
        <f>SUM(L409:S409)</f>
        <v>0</v>
      </c>
      <c r="V409" s="36">
        <f t="shared" si="374"/>
        <v>57</v>
      </c>
      <c r="W409" s="37">
        <f t="shared" si="374"/>
        <v>18</v>
      </c>
      <c r="X409" s="37">
        <f t="shared" si="374"/>
        <v>1</v>
      </c>
      <c r="Y409" s="37">
        <f t="shared" si="374"/>
        <v>0</v>
      </c>
      <c r="Z409" s="37">
        <f t="shared" si="374"/>
        <v>0</v>
      </c>
      <c r="AA409" s="37">
        <f t="shared" si="374"/>
        <v>0</v>
      </c>
      <c r="AB409" s="37">
        <f t="shared" si="374"/>
        <v>1</v>
      </c>
      <c r="AC409" s="40">
        <f t="shared" si="374"/>
        <v>0</v>
      </c>
      <c r="AD409" s="59">
        <f>SUM(V409:AC409)</f>
        <v>77</v>
      </c>
      <c r="AF409" s="36">
        <f t="shared" si="375"/>
        <v>51</v>
      </c>
      <c r="AG409" s="37">
        <f t="shared" si="375"/>
        <v>8</v>
      </c>
      <c r="AH409" s="37">
        <f t="shared" si="375"/>
        <v>2</v>
      </c>
      <c r="AI409" s="37">
        <f t="shared" si="375"/>
        <v>3</v>
      </c>
      <c r="AJ409" s="37">
        <f t="shared" si="375"/>
        <v>0</v>
      </c>
      <c r="AK409" s="37">
        <f t="shared" si="375"/>
        <v>0</v>
      </c>
      <c r="AL409" s="37">
        <f t="shared" si="375"/>
        <v>5</v>
      </c>
      <c r="AM409" s="40">
        <f t="shared" si="375"/>
        <v>0</v>
      </c>
      <c r="AN409" s="59">
        <f>SUM(AF409:AM409)</f>
        <v>69</v>
      </c>
      <c r="AP409" s="59">
        <f>SUM(J409+T409+AD409+AN409)</f>
        <v>182</v>
      </c>
    </row>
    <row r="410" spans="1:42" ht="15.75" customHeight="1">
      <c r="A410" s="60">
        <v>0.44791666666666669</v>
      </c>
      <c r="B410" s="41">
        <f t="shared" si="372"/>
        <v>8</v>
      </c>
      <c r="C410" s="42">
        <f t="shared" si="372"/>
        <v>4</v>
      </c>
      <c r="D410" s="42">
        <f t="shared" si="372"/>
        <v>0</v>
      </c>
      <c r="E410" s="42">
        <f t="shared" si="372"/>
        <v>0</v>
      </c>
      <c r="F410" s="42">
        <f t="shared" si="372"/>
        <v>0</v>
      </c>
      <c r="G410" s="42">
        <f t="shared" si="372"/>
        <v>0</v>
      </c>
      <c r="H410" s="42">
        <f t="shared" si="372"/>
        <v>12</v>
      </c>
      <c r="I410" s="43">
        <f t="shared" si="372"/>
        <v>0</v>
      </c>
      <c r="J410" s="61">
        <f>SUM(B410:I410)</f>
        <v>24</v>
      </c>
      <c r="L410" s="41">
        <f t="shared" si="373"/>
        <v>0</v>
      </c>
      <c r="M410" s="42">
        <f t="shared" si="373"/>
        <v>0</v>
      </c>
      <c r="N410" s="42">
        <f t="shared" si="373"/>
        <v>0</v>
      </c>
      <c r="O410" s="42">
        <f t="shared" si="373"/>
        <v>0</v>
      </c>
      <c r="P410" s="42">
        <f t="shared" si="373"/>
        <v>0</v>
      </c>
      <c r="Q410" s="42">
        <f t="shared" si="373"/>
        <v>0</v>
      </c>
      <c r="R410" s="42">
        <f t="shared" si="373"/>
        <v>0</v>
      </c>
      <c r="S410" s="43">
        <f t="shared" si="373"/>
        <v>0</v>
      </c>
      <c r="T410" s="61">
        <f>SUM(L410:S410)</f>
        <v>0</v>
      </c>
      <c r="V410" s="41">
        <f t="shared" si="374"/>
        <v>63</v>
      </c>
      <c r="W410" s="42">
        <f t="shared" si="374"/>
        <v>10</v>
      </c>
      <c r="X410" s="42">
        <f t="shared" si="374"/>
        <v>3</v>
      </c>
      <c r="Y410" s="42">
        <f t="shared" si="374"/>
        <v>0</v>
      </c>
      <c r="Z410" s="42">
        <f t="shared" si="374"/>
        <v>1</v>
      </c>
      <c r="AA410" s="42">
        <f t="shared" si="374"/>
        <v>2</v>
      </c>
      <c r="AB410" s="42">
        <f t="shared" si="374"/>
        <v>2</v>
      </c>
      <c r="AC410" s="43">
        <f t="shared" si="374"/>
        <v>0</v>
      </c>
      <c r="AD410" s="61">
        <f>SUM(V410:AC410)</f>
        <v>81</v>
      </c>
      <c r="AF410" s="41">
        <f t="shared" si="375"/>
        <v>55</v>
      </c>
      <c r="AG410" s="42">
        <f t="shared" si="375"/>
        <v>18</v>
      </c>
      <c r="AH410" s="42">
        <f t="shared" si="375"/>
        <v>2</v>
      </c>
      <c r="AI410" s="42">
        <f t="shared" si="375"/>
        <v>0</v>
      </c>
      <c r="AJ410" s="42">
        <f t="shared" si="375"/>
        <v>2</v>
      </c>
      <c r="AK410" s="42">
        <f t="shared" si="375"/>
        <v>0</v>
      </c>
      <c r="AL410" s="42">
        <f t="shared" si="375"/>
        <v>3</v>
      </c>
      <c r="AM410" s="43">
        <f t="shared" si="375"/>
        <v>0</v>
      </c>
      <c r="AN410" s="61">
        <f>SUM(AF410:AM410)</f>
        <v>80</v>
      </c>
      <c r="AP410" s="61">
        <f>SUM(J410+T410+AD410+AN410)</f>
        <v>185</v>
      </c>
    </row>
    <row r="411" spans="1:42" ht="15.75" customHeight="1">
      <c r="A411" s="48" t="s">
        <v>29</v>
      </c>
      <c r="B411" s="45">
        <f t="shared" ref="B411:J411" si="376">SUM(B407:B410)</f>
        <v>43</v>
      </c>
      <c r="C411" s="46">
        <f t="shared" si="376"/>
        <v>18</v>
      </c>
      <c r="D411" s="46">
        <f t="shared" si="376"/>
        <v>1</v>
      </c>
      <c r="E411" s="46">
        <f t="shared" si="376"/>
        <v>0</v>
      </c>
      <c r="F411" s="46">
        <f t="shared" si="376"/>
        <v>0</v>
      </c>
      <c r="G411" s="46">
        <f t="shared" si="376"/>
        <v>0</v>
      </c>
      <c r="H411" s="46">
        <f t="shared" si="376"/>
        <v>69</v>
      </c>
      <c r="I411" s="47">
        <f t="shared" si="376"/>
        <v>0</v>
      </c>
      <c r="J411" s="48">
        <f t="shared" si="376"/>
        <v>131</v>
      </c>
      <c r="L411" s="45">
        <f t="shared" ref="L411:T411" si="377">SUM(L407:L410)</f>
        <v>0</v>
      </c>
      <c r="M411" s="46">
        <f t="shared" si="377"/>
        <v>0</v>
      </c>
      <c r="N411" s="46">
        <f t="shared" si="377"/>
        <v>0</v>
      </c>
      <c r="O411" s="46">
        <f t="shared" si="377"/>
        <v>0</v>
      </c>
      <c r="P411" s="46">
        <f t="shared" si="377"/>
        <v>0</v>
      </c>
      <c r="Q411" s="46">
        <f t="shared" si="377"/>
        <v>0</v>
      </c>
      <c r="R411" s="46">
        <f t="shared" si="377"/>
        <v>2</v>
      </c>
      <c r="S411" s="47">
        <f t="shared" si="377"/>
        <v>0</v>
      </c>
      <c r="T411" s="48">
        <f t="shared" si="377"/>
        <v>2</v>
      </c>
      <c r="V411" s="45">
        <f t="shared" ref="V411:AD411" si="378">SUM(V407:V410)</f>
        <v>242</v>
      </c>
      <c r="W411" s="46">
        <f t="shared" si="378"/>
        <v>55</v>
      </c>
      <c r="X411" s="46">
        <f t="shared" si="378"/>
        <v>5</v>
      </c>
      <c r="Y411" s="46">
        <f t="shared" si="378"/>
        <v>0</v>
      </c>
      <c r="Z411" s="46">
        <f t="shared" si="378"/>
        <v>6</v>
      </c>
      <c r="AA411" s="46">
        <f t="shared" si="378"/>
        <v>5</v>
      </c>
      <c r="AB411" s="46">
        <f t="shared" si="378"/>
        <v>5</v>
      </c>
      <c r="AC411" s="47">
        <f t="shared" si="378"/>
        <v>0</v>
      </c>
      <c r="AD411" s="48">
        <f t="shared" si="378"/>
        <v>318</v>
      </c>
      <c r="AF411" s="45">
        <f t="shared" ref="AF411:AN411" si="379">SUM(AF407:AF410)</f>
        <v>206</v>
      </c>
      <c r="AG411" s="46">
        <f t="shared" si="379"/>
        <v>48</v>
      </c>
      <c r="AH411" s="46">
        <f t="shared" si="379"/>
        <v>7</v>
      </c>
      <c r="AI411" s="46">
        <f t="shared" si="379"/>
        <v>3</v>
      </c>
      <c r="AJ411" s="46">
        <f t="shared" si="379"/>
        <v>3</v>
      </c>
      <c r="AK411" s="46">
        <f t="shared" si="379"/>
        <v>2</v>
      </c>
      <c r="AL411" s="46">
        <f t="shared" si="379"/>
        <v>14</v>
      </c>
      <c r="AM411" s="47">
        <f t="shared" si="379"/>
        <v>0</v>
      </c>
      <c r="AN411" s="48">
        <f t="shared" si="379"/>
        <v>283</v>
      </c>
      <c r="AP411" s="48">
        <f>SUM(AP407:AP410)</f>
        <v>734</v>
      </c>
    </row>
    <row r="412" spans="1:42" ht="15.75" customHeight="1">
      <c r="A412" s="56">
        <v>0.45833333333333331</v>
      </c>
      <c r="B412" s="32">
        <f t="shared" ref="B412:I415" si="380">SUM(B32+B108+B184+B260)</f>
        <v>14</v>
      </c>
      <c r="C412" s="33">
        <f t="shared" si="380"/>
        <v>4</v>
      </c>
      <c r="D412" s="33">
        <f t="shared" si="380"/>
        <v>0</v>
      </c>
      <c r="E412" s="33">
        <f t="shared" si="380"/>
        <v>0</v>
      </c>
      <c r="F412" s="33">
        <f t="shared" si="380"/>
        <v>0</v>
      </c>
      <c r="G412" s="33">
        <f t="shared" si="380"/>
        <v>0</v>
      </c>
      <c r="H412" s="33">
        <f t="shared" si="380"/>
        <v>11</v>
      </c>
      <c r="I412" s="34">
        <f t="shared" si="380"/>
        <v>0</v>
      </c>
      <c r="J412" s="57">
        <f>SUM(B412:I412)</f>
        <v>29</v>
      </c>
      <c r="L412" s="32">
        <f t="shared" ref="L412:S415" si="381">SUM(L32+L108+L184+L260)</f>
        <v>0</v>
      </c>
      <c r="M412" s="33">
        <f t="shared" si="381"/>
        <v>0</v>
      </c>
      <c r="N412" s="33">
        <f t="shared" si="381"/>
        <v>0</v>
      </c>
      <c r="O412" s="33">
        <f t="shared" si="381"/>
        <v>0</v>
      </c>
      <c r="P412" s="33">
        <f t="shared" si="381"/>
        <v>0</v>
      </c>
      <c r="Q412" s="33">
        <f t="shared" si="381"/>
        <v>0</v>
      </c>
      <c r="R412" s="33">
        <f t="shared" si="381"/>
        <v>0</v>
      </c>
      <c r="S412" s="34">
        <f t="shared" si="381"/>
        <v>0</v>
      </c>
      <c r="T412" s="57">
        <f>SUM(L412:S412)</f>
        <v>0</v>
      </c>
      <c r="V412" s="32">
        <f t="shared" ref="V412:AC415" si="382">SUM(V32+V108+V184+V260)</f>
        <v>68</v>
      </c>
      <c r="W412" s="33">
        <f t="shared" si="382"/>
        <v>20</v>
      </c>
      <c r="X412" s="33">
        <f t="shared" si="382"/>
        <v>2</v>
      </c>
      <c r="Y412" s="33">
        <f t="shared" si="382"/>
        <v>0</v>
      </c>
      <c r="Z412" s="33">
        <f t="shared" si="382"/>
        <v>2</v>
      </c>
      <c r="AA412" s="33">
        <f t="shared" si="382"/>
        <v>1</v>
      </c>
      <c r="AB412" s="33">
        <f t="shared" si="382"/>
        <v>5</v>
      </c>
      <c r="AC412" s="34">
        <f t="shared" si="382"/>
        <v>0</v>
      </c>
      <c r="AD412" s="57">
        <f>SUM(V412:AC412)</f>
        <v>98</v>
      </c>
      <c r="AF412" s="32">
        <f t="shared" ref="AF412:AM415" si="383">SUM(AF32+AF108+AF184+AF260)</f>
        <v>61</v>
      </c>
      <c r="AG412" s="33">
        <f t="shared" si="383"/>
        <v>10</v>
      </c>
      <c r="AH412" s="33">
        <f t="shared" si="383"/>
        <v>4</v>
      </c>
      <c r="AI412" s="33">
        <f t="shared" si="383"/>
        <v>3</v>
      </c>
      <c r="AJ412" s="33">
        <f t="shared" si="383"/>
        <v>0</v>
      </c>
      <c r="AK412" s="33">
        <f t="shared" si="383"/>
        <v>0</v>
      </c>
      <c r="AL412" s="33">
        <f t="shared" si="383"/>
        <v>7</v>
      </c>
      <c r="AM412" s="34">
        <f t="shared" si="383"/>
        <v>0</v>
      </c>
      <c r="AN412" s="57">
        <f>SUM(AF412:AM412)</f>
        <v>85</v>
      </c>
      <c r="AP412" s="57">
        <f>SUM(J412+T412+AD412+AN412)</f>
        <v>212</v>
      </c>
    </row>
    <row r="413" spans="1:42" ht="15.75" customHeight="1">
      <c r="A413" s="58">
        <v>0.46875</v>
      </c>
      <c r="B413" s="36">
        <f t="shared" si="380"/>
        <v>4</v>
      </c>
      <c r="C413" s="37">
        <f t="shared" si="380"/>
        <v>1</v>
      </c>
      <c r="D413" s="37">
        <f t="shared" si="380"/>
        <v>1</v>
      </c>
      <c r="E413" s="37">
        <f t="shared" si="380"/>
        <v>0</v>
      </c>
      <c r="F413" s="37">
        <f t="shared" si="380"/>
        <v>0</v>
      </c>
      <c r="G413" s="37">
        <f t="shared" si="380"/>
        <v>0</v>
      </c>
      <c r="H413" s="37">
        <f t="shared" si="380"/>
        <v>3</v>
      </c>
      <c r="I413" s="40">
        <f t="shared" si="380"/>
        <v>0</v>
      </c>
      <c r="J413" s="59">
        <f>SUM(B413:I413)</f>
        <v>9</v>
      </c>
      <c r="L413" s="36">
        <f t="shared" si="381"/>
        <v>0</v>
      </c>
      <c r="M413" s="37">
        <f t="shared" si="381"/>
        <v>0</v>
      </c>
      <c r="N413" s="37">
        <f t="shared" si="381"/>
        <v>0</v>
      </c>
      <c r="O413" s="37">
        <f t="shared" si="381"/>
        <v>0</v>
      </c>
      <c r="P413" s="37">
        <f t="shared" si="381"/>
        <v>0</v>
      </c>
      <c r="Q413" s="37">
        <f t="shared" si="381"/>
        <v>0</v>
      </c>
      <c r="R413" s="37">
        <f t="shared" si="381"/>
        <v>3</v>
      </c>
      <c r="S413" s="40">
        <f t="shared" si="381"/>
        <v>0</v>
      </c>
      <c r="T413" s="59">
        <f>SUM(L413:S413)</f>
        <v>3</v>
      </c>
      <c r="V413" s="36">
        <f t="shared" si="382"/>
        <v>74</v>
      </c>
      <c r="W413" s="37">
        <f t="shared" si="382"/>
        <v>18</v>
      </c>
      <c r="X413" s="37">
        <f t="shared" si="382"/>
        <v>2</v>
      </c>
      <c r="Y413" s="37">
        <f t="shared" si="382"/>
        <v>1</v>
      </c>
      <c r="Z413" s="37">
        <f t="shared" si="382"/>
        <v>1</v>
      </c>
      <c r="AA413" s="37">
        <f t="shared" si="382"/>
        <v>0</v>
      </c>
      <c r="AB413" s="37">
        <f t="shared" si="382"/>
        <v>5</v>
      </c>
      <c r="AC413" s="40">
        <f t="shared" si="382"/>
        <v>0</v>
      </c>
      <c r="AD413" s="59">
        <f>SUM(V413:AC413)</f>
        <v>101</v>
      </c>
      <c r="AF413" s="36">
        <f t="shared" si="383"/>
        <v>48</v>
      </c>
      <c r="AG413" s="37">
        <f t="shared" si="383"/>
        <v>3</v>
      </c>
      <c r="AH413" s="37">
        <f t="shared" si="383"/>
        <v>1</v>
      </c>
      <c r="AI413" s="37">
        <f t="shared" si="383"/>
        <v>0</v>
      </c>
      <c r="AJ413" s="37">
        <f t="shared" si="383"/>
        <v>2</v>
      </c>
      <c r="AK413" s="37">
        <f t="shared" si="383"/>
        <v>0</v>
      </c>
      <c r="AL413" s="37">
        <f t="shared" si="383"/>
        <v>8</v>
      </c>
      <c r="AM413" s="40">
        <f t="shared" si="383"/>
        <v>0</v>
      </c>
      <c r="AN413" s="59">
        <f>SUM(AF413:AM413)</f>
        <v>62</v>
      </c>
      <c r="AP413" s="59">
        <f>SUM(J413+T413+AD413+AN413)</f>
        <v>175</v>
      </c>
    </row>
    <row r="414" spans="1:42" ht="15.75" customHeight="1">
      <c r="A414" s="58">
        <v>0.47916666666666669</v>
      </c>
      <c r="B414" s="36">
        <f t="shared" si="380"/>
        <v>8</v>
      </c>
      <c r="C414" s="37">
        <f t="shared" si="380"/>
        <v>5</v>
      </c>
      <c r="D414" s="37">
        <f t="shared" si="380"/>
        <v>1</v>
      </c>
      <c r="E414" s="37">
        <f t="shared" si="380"/>
        <v>0</v>
      </c>
      <c r="F414" s="37">
        <f t="shared" si="380"/>
        <v>0</v>
      </c>
      <c r="G414" s="37">
        <f t="shared" si="380"/>
        <v>0</v>
      </c>
      <c r="H414" s="37">
        <f t="shared" si="380"/>
        <v>9</v>
      </c>
      <c r="I414" s="40">
        <f t="shared" si="380"/>
        <v>0</v>
      </c>
      <c r="J414" s="59">
        <f>SUM(B414:I414)</f>
        <v>23</v>
      </c>
      <c r="L414" s="36">
        <f t="shared" si="381"/>
        <v>0</v>
      </c>
      <c r="M414" s="37">
        <f t="shared" si="381"/>
        <v>0</v>
      </c>
      <c r="N414" s="37">
        <f t="shared" si="381"/>
        <v>0</v>
      </c>
      <c r="O414" s="37">
        <f t="shared" si="381"/>
        <v>0</v>
      </c>
      <c r="P414" s="37">
        <f t="shared" si="381"/>
        <v>0</v>
      </c>
      <c r="Q414" s="37">
        <f t="shared" si="381"/>
        <v>0</v>
      </c>
      <c r="R414" s="37">
        <f t="shared" si="381"/>
        <v>1</v>
      </c>
      <c r="S414" s="40">
        <f t="shared" si="381"/>
        <v>0</v>
      </c>
      <c r="T414" s="59">
        <f>SUM(L414:S414)</f>
        <v>1</v>
      </c>
      <c r="V414" s="36">
        <f t="shared" si="382"/>
        <v>53</v>
      </c>
      <c r="W414" s="37">
        <f t="shared" si="382"/>
        <v>15</v>
      </c>
      <c r="X414" s="37">
        <f t="shared" si="382"/>
        <v>4</v>
      </c>
      <c r="Y414" s="37">
        <f t="shared" si="382"/>
        <v>0</v>
      </c>
      <c r="Z414" s="37">
        <f t="shared" si="382"/>
        <v>2</v>
      </c>
      <c r="AA414" s="37">
        <f t="shared" si="382"/>
        <v>4</v>
      </c>
      <c r="AB414" s="37">
        <f t="shared" si="382"/>
        <v>3</v>
      </c>
      <c r="AC414" s="40">
        <f t="shared" si="382"/>
        <v>0</v>
      </c>
      <c r="AD414" s="59">
        <f>SUM(V414:AC414)</f>
        <v>81</v>
      </c>
      <c r="AF414" s="36">
        <f t="shared" si="383"/>
        <v>51</v>
      </c>
      <c r="AG414" s="37">
        <f t="shared" si="383"/>
        <v>7</v>
      </c>
      <c r="AH414" s="37">
        <f t="shared" si="383"/>
        <v>2</v>
      </c>
      <c r="AI414" s="37">
        <f t="shared" si="383"/>
        <v>0</v>
      </c>
      <c r="AJ414" s="37">
        <f t="shared" si="383"/>
        <v>2</v>
      </c>
      <c r="AK414" s="37">
        <f t="shared" si="383"/>
        <v>2</v>
      </c>
      <c r="AL414" s="37">
        <f t="shared" si="383"/>
        <v>4</v>
      </c>
      <c r="AM414" s="40">
        <f t="shared" si="383"/>
        <v>1</v>
      </c>
      <c r="AN414" s="59">
        <f>SUM(AF414:AM414)</f>
        <v>69</v>
      </c>
      <c r="AP414" s="59">
        <f>SUM(J414+T414+AD414+AN414)</f>
        <v>174</v>
      </c>
    </row>
    <row r="415" spans="1:42" ht="15.75" customHeight="1">
      <c r="A415" s="60">
        <v>0.48958333333333331</v>
      </c>
      <c r="B415" s="41">
        <f t="shared" si="380"/>
        <v>22</v>
      </c>
      <c r="C415" s="42">
        <f t="shared" si="380"/>
        <v>2</v>
      </c>
      <c r="D415" s="42">
        <f t="shared" si="380"/>
        <v>1</v>
      </c>
      <c r="E415" s="42">
        <f t="shared" si="380"/>
        <v>0</v>
      </c>
      <c r="F415" s="42">
        <f t="shared" si="380"/>
        <v>0</v>
      </c>
      <c r="G415" s="42">
        <f t="shared" si="380"/>
        <v>0</v>
      </c>
      <c r="H415" s="42">
        <f t="shared" si="380"/>
        <v>14</v>
      </c>
      <c r="I415" s="43">
        <f t="shared" si="380"/>
        <v>0</v>
      </c>
      <c r="J415" s="61">
        <f>SUM(B415:I415)</f>
        <v>39</v>
      </c>
      <c r="L415" s="41">
        <f t="shared" si="381"/>
        <v>0</v>
      </c>
      <c r="M415" s="42">
        <f t="shared" si="381"/>
        <v>0</v>
      </c>
      <c r="N415" s="42">
        <f t="shared" si="381"/>
        <v>0</v>
      </c>
      <c r="O415" s="42">
        <f t="shared" si="381"/>
        <v>0</v>
      </c>
      <c r="P415" s="42">
        <f t="shared" si="381"/>
        <v>0</v>
      </c>
      <c r="Q415" s="42">
        <f t="shared" si="381"/>
        <v>0</v>
      </c>
      <c r="R415" s="42">
        <f t="shared" si="381"/>
        <v>0</v>
      </c>
      <c r="S415" s="43">
        <f t="shared" si="381"/>
        <v>0</v>
      </c>
      <c r="T415" s="61">
        <f>SUM(L415:S415)</f>
        <v>0</v>
      </c>
      <c r="V415" s="41">
        <f t="shared" si="382"/>
        <v>68</v>
      </c>
      <c r="W415" s="42">
        <f t="shared" si="382"/>
        <v>11</v>
      </c>
      <c r="X415" s="42">
        <f t="shared" si="382"/>
        <v>1</v>
      </c>
      <c r="Y415" s="42">
        <f t="shared" si="382"/>
        <v>0</v>
      </c>
      <c r="Z415" s="42">
        <f t="shared" si="382"/>
        <v>2</v>
      </c>
      <c r="AA415" s="42">
        <f t="shared" si="382"/>
        <v>0</v>
      </c>
      <c r="AB415" s="42">
        <f t="shared" si="382"/>
        <v>4</v>
      </c>
      <c r="AC415" s="43">
        <f t="shared" si="382"/>
        <v>0</v>
      </c>
      <c r="AD415" s="61">
        <f>SUM(V415:AC415)</f>
        <v>86</v>
      </c>
      <c r="AF415" s="41">
        <f t="shared" si="383"/>
        <v>38</v>
      </c>
      <c r="AG415" s="42">
        <f t="shared" si="383"/>
        <v>21</v>
      </c>
      <c r="AH415" s="42">
        <f t="shared" si="383"/>
        <v>4</v>
      </c>
      <c r="AI415" s="42">
        <f t="shared" si="383"/>
        <v>0</v>
      </c>
      <c r="AJ415" s="42">
        <f t="shared" si="383"/>
        <v>2</v>
      </c>
      <c r="AK415" s="42">
        <f t="shared" si="383"/>
        <v>0</v>
      </c>
      <c r="AL415" s="42">
        <f t="shared" si="383"/>
        <v>4</v>
      </c>
      <c r="AM415" s="43">
        <f t="shared" si="383"/>
        <v>0</v>
      </c>
      <c r="AN415" s="61">
        <f>SUM(AF415:AM415)</f>
        <v>69</v>
      </c>
      <c r="AP415" s="61">
        <f>SUM(J415+T415+AD415+AN415)</f>
        <v>194</v>
      </c>
    </row>
    <row r="416" spans="1:42" ht="15.75" customHeight="1">
      <c r="A416" s="48" t="s">
        <v>29</v>
      </c>
      <c r="B416" s="45">
        <f t="shared" ref="B416:J416" si="384">SUM(B412:B415)</f>
        <v>48</v>
      </c>
      <c r="C416" s="46">
        <f t="shared" si="384"/>
        <v>12</v>
      </c>
      <c r="D416" s="46">
        <f t="shared" si="384"/>
        <v>3</v>
      </c>
      <c r="E416" s="46">
        <f t="shared" si="384"/>
        <v>0</v>
      </c>
      <c r="F416" s="46">
        <f t="shared" si="384"/>
        <v>0</v>
      </c>
      <c r="G416" s="46">
        <f t="shared" si="384"/>
        <v>0</v>
      </c>
      <c r="H416" s="46">
        <f t="shared" si="384"/>
        <v>37</v>
      </c>
      <c r="I416" s="47">
        <f t="shared" si="384"/>
        <v>0</v>
      </c>
      <c r="J416" s="48">
        <f t="shared" si="384"/>
        <v>100</v>
      </c>
      <c r="L416" s="45">
        <f t="shared" ref="L416:T416" si="385">SUM(L412:L415)</f>
        <v>0</v>
      </c>
      <c r="M416" s="46">
        <f t="shared" si="385"/>
        <v>0</v>
      </c>
      <c r="N416" s="46">
        <f t="shared" si="385"/>
        <v>0</v>
      </c>
      <c r="O416" s="46">
        <f t="shared" si="385"/>
        <v>0</v>
      </c>
      <c r="P416" s="46">
        <f t="shared" si="385"/>
        <v>0</v>
      </c>
      <c r="Q416" s="46">
        <f t="shared" si="385"/>
        <v>0</v>
      </c>
      <c r="R416" s="46">
        <f t="shared" si="385"/>
        <v>4</v>
      </c>
      <c r="S416" s="47">
        <f t="shared" si="385"/>
        <v>0</v>
      </c>
      <c r="T416" s="48">
        <f t="shared" si="385"/>
        <v>4</v>
      </c>
      <c r="V416" s="45">
        <f t="shared" ref="V416:AD416" si="386">SUM(V412:V415)</f>
        <v>263</v>
      </c>
      <c r="W416" s="46">
        <f t="shared" si="386"/>
        <v>64</v>
      </c>
      <c r="X416" s="46">
        <f t="shared" si="386"/>
        <v>9</v>
      </c>
      <c r="Y416" s="46">
        <f t="shared" si="386"/>
        <v>1</v>
      </c>
      <c r="Z416" s="46">
        <f t="shared" si="386"/>
        <v>7</v>
      </c>
      <c r="AA416" s="46">
        <f t="shared" si="386"/>
        <v>5</v>
      </c>
      <c r="AB416" s="46">
        <f t="shared" si="386"/>
        <v>17</v>
      </c>
      <c r="AC416" s="47">
        <f t="shared" si="386"/>
        <v>0</v>
      </c>
      <c r="AD416" s="48">
        <f t="shared" si="386"/>
        <v>366</v>
      </c>
      <c r="AF416" s="45">
        <f t="shared" ref="AF416:AN416" si="387">SUM(AF412:AF415)</f>
        <v>198</v>
      </c>
      <c r="AG416" s="46">
        <f t="shared" si="387"/>
        <v>41</v>
      </c>
      <c r="AH416" s="46">
        <f t="shared" si="387"/>
        <v>11</v>
      </c>
      <c r="AI416" s="46">
        <f t="shared" si="387"/>
        <v>3</v>
      </c>
      <c r="AJ416" s="46">
        <f t="shared" si="387"/>
        <v>6</v>
      </c>
      <c r="AK416" s="46">
        <f t="shared" si="387"/>
        <v>2</v>
      </c>
      <c r="AL416" s="46">
        <f t="shared" si="387"/>
        <v>23</v>
      </c>
      <c r="AM416" s="47">
        <f t="shared" si="387"/>
        <v>1</v>
      </c>
      <c r="AN416" s="48">
        <f t="shared" si="387"/>
        <v>285</v>
      </c>
      <c r="AP416" s="48">
        <f>SUM(AP412:AP415)</f>
        <v>755</v>
      </c>
    </row>
    <row r="417" spans="1:42" ht="15.75" customHeight="1">
      <c r="A417" s="56">
        <v>0.5</v>
      </c>
      <c r="B417" s="32">
        <f t="shared" ref="B417:I420" si="388">SUM(B37+B113+B189+B265)</f>
        <v>20</v>
      </c>
      <c r="C417" s="33">
        <f t="shared" si="388"/>
        <v>2</v>
      </c>
      <c r="D417" s="33">
        <f t="shared" si="388"/>
        <v>2</v>
      </c>
      <c r="E417" s="33">
        <f t="shared" si="388"/>
        <v>0</v>
      </c>
      <c r="F417" s="33">
        <f t="shared" si="388"/>
        <v>0</v>
      </c>
      <c r="G417" s="33">
        <f t="shared" si="388"/>
        <v>0</v>
      </c>
      <c r="H417" s="33">
        <f t="shared" si="388"/>
        <v>12</v>
      </c>
      <c r="I417" s="34">
        <f t="shared" si="388"/>
        <v>0</v>
      </c>
      <c r="J417" s="57">
        <f>SUM(B417:I417)</f>
        <v>36</v>
      </c>
      <c r="L417" s="32">
        <f t="shared" ref="L417:S420" si="389">SUM(L37+L113+L189+L265)</f>
        <v>0</v>
      </c>
      <c r="M417" s="33">
        <f t="shared" si="389"/>
        <v>0</v>
      </c>
      <c r="N417" s="33">
        <f t="shared" si="389"/>
        <v>0</v>
      </c>
      <c r="O417" s="33">
        <f t="shared" si="389"/>
        <v>0</v>
      </c>
      <c r="P417" s="33">
        <f t="shared" si="389"/>
        <v>0</v>
      </c>
      <c r="Q417" s="33">
        <f t="shared" si="389"/>
        <v>0</v>
      </c>
      <c r="R417" s="33">
        <f t="shared" si="389"/>
        <v>1</v>
      </c>
      <c r="S417" s="34">
        <f t="shared" si="389"/>
        <v>0</v>
      </c>
      <c r="T417" s="57">
        <f>SUM(L417:S417)</f>
        <v>1</v>
      </c>
      <c r="V417" s="32">
        <f t="shared" ref="V417:AC420" si="390">SUM(V37+V113+V189+V265)</f>
        <v>71</v>
      </c>
      <c r="W417" s="33">
        <f t="shared" si="390"/>
        <v>20</v>
      </c>
      <c r="X417" s="33">
        <f t="shared" si="390"/>
        <v>4</v>
      </c>
      <c r="Y417" s="33">
        <f t="shared" si="390"/>
        <v>0</v>
      </c>
      <c r="Z417" s="33">
        <f t="shared" si="390"/>
        <v>0</v>
      </c>
      <c r="AA417" s="33">
        <f t="shared" si="390"/>
        <v>2</v>
      </c>
      <c r="AB417" s="33">
        <f t="shared" si="390"/>
        <v>3</v>
      </c>
      <c r="AC417" s="34">
        <f t="shared" si="390"/>
        <v>0</v>
      </c>
      <c r="AD417" s="57">
        <f>SUM(V417:AC417)</f>
        <v>100</v>
      </c>
      <c r="AF417" s="32">
        <f t="shared" ref="AF417:AM420" si="391">SUM(AF37+AF113+AF189+AF265)</f>
        <v>70</v>
      </c>
      <c r="AG417" s="33">
        <f t="shared" si="391"/>
        <v>13</v>
      </c>
      <c r="AH417" s="33">
        <f t="shared" si="391"/>
        <v>1</v>
      </c>
      <c r="AI417" s="33">
        <f t="shared" si="391"/>
        <v>0</v>
      </c>
      <c r="AJ417" s="33">
        <f t="shared" si="391"/>
        <v>2</v>
      </c>
      <c r="AK417" s="33">
        <f t="shared" si="391"/>
        <v>1</v>
      </c>
      <c r="AL417" s="33">
        <f t="shared" si="391"/>
        <v>10</v>
      </c>
      <c r="AM417" s="34">
        <f t="shared" si="391"/>
        <v>0</v>
      </c>
      <c r="AN417" s="57">
        <f>SUM(AF417:AM417)</f>
        <v>97</v>
      </c>
      <c r="AP417" s="57">
        <f>SUM(J417+T417+AD417+AN417)</f>
        <v>234</v>
      </c>
    </row>
    <row r="418" spans="1:42" ht="15.75" customHeight="1">
      <c r="A418" s="58">
        <v>0.51041666666666663</v>
      </c>
      <c r="B418" s="36">
        <f t="shared" si="388"/>
        <v>14</v>
      </c>
      <c r="C418" s="37">
        <f t="shared" si="388"/>
        <v>4</v>
      </c>
      <c r="D418" s="37">
        <f t="shared" si="388"/>
        <v>0</v>
      </c>
      <c r="E418" s="37">
        <f t="shared" si="388"/>
        <v>0</v>
      </c>
      <c r="F418" s="37">
        <f t="shared" si="388"/>
        <v>0</v>
      </c>
      <c r="G418" s="37">
        <f t="shared" si="388"/>
        <v>0</v>
      </c>
      <c r="H418" s="37">
        <f t="shared" si="388"/>
        <v>7</v>
      </c>
      <c r="I418" s="40">
        <f t="shared" si="388"/>
        <v>0</v>
      </c>
      <c r="J418" s="59">
        <f>SUM(B418:I418)</f>
        <v>25</v>
      </c>
      <c r="L418" s="36">
        <f t="shared" si="389"/>
        <v>0</v>
      </c>
      <c r="M418" s="37">
        <f t="shared" si="389"/>
        <v>0</v>
      </c>
      <c r="N418" s="37">
        <f t="shared" si="389"/>
        <v>0</v>
      </c>
      <c r="O418" s="37">
        <f t="shared" si="389"/>
        <v>0</v>
      </c>
      <c r="P418" s="37">
        <f t="shared" si="389"/>
        <v>0</v>
      </c>
      <c r="Q418" s="37">
        <f t="shared" si="389"/>
        <v>0</v>
      </c>
      <c r="R418" s="37">
        <f t="shared" si="389"/>
        <v>0</v>
      </c>
      <c r="S418" s="40">
        <f t="shared" si="389"/>
        <v>0</v>
      </c>
      <c r="T418" s="59">
        <f>SUM(L418:S418)</f>
        <v>0</v>
      </c>
      <c r="V418" s="36">
        <f t="shared" si="390"/>
        <v>56</v>
      </c>
      <c r="W418" s="37">
        <f t="shared" si="390"/>
        <v>16</v>
      </c>
      <c r="X418" s="37">
        <f t="shared" si="390"/>
        <v>1</v>
      </c>
      <c r="Y418" s="37">
        <f t="shared" si="390"/>
        <v>0</v>
      </c>
      <c r="Z418" s="37">
        <f t="shared" si="390"/>
        <v>2</v>
      </c>
      <c r="AA418" s="37">
        <f t="shared" si="390"/>
        <v>1</v>
      </c>
      <c r="AB418" s="37">
        <f t="shared" si="390"/>
        <v>2</v>
      </c>
      <c r="AC418" s="40">
        <f t="shared" si="390"/>
        <v>0</v>
      </c>
      <c r="AD418" s="59">
        <f>SUM(V418:AC418)</f>
        <v>78</v>
      </c>
      <c r="AF418" s="36">
        <f t="shared" si="391"/>
        <v>55</v>
      </c>
      <c r="AG418" s="37">
        <f t="shared" si="391"/>
        <v>11</v>
      </c>
      <c r="AH418" s="37">
        <f t="shared" si="391"/>
        <v>3</v>
      </c>
      <c r="AI418" s="37">
        <f t="shared" si="391"/>
        <v>1</v>
      </c>
      <c r="AJ418" s="37">
        <f t="shared" si="391"/>
        <v>2</v>
      </c>
      <c r="AK418" s="37">
        <f t="shared" si="391"/>
        <v>0</v>
      </c>
      <c r="AL418" s="37">
        <f t="shared" si="391"/>
        <v>11</v>
      </c>
      <c r="AM418" s="40">
        <f t="shared" si="391"/>
        <v>0</v>
      </c>
      <c r="AN418" s="59">
        <f>SUM(AF418:AM418)</f>
        <v>83</v>
      </c>
      <c r="AP418" s="59">
        <f>SUM(J418+T418+AD418+AN418)</f>
        <v>186</v>
      </c>
    </row>
    <row r="419" spans="1:42" ht="15.75" customHeight="1">
      <c r="A419" s="58">
        <v>0.52083333333333337</v>
      </c>
      <c r="B419" s="36">
        <f t="shared" si="388"/>
        <v>11</v>
      </c>
      <c r="C419" s="37">
        <f t="shared" si="388"/>
        <v>2</v>
      </c>
      <c r="D419" s="37">
        <f t="shared" si="388"/>
        <v>0</v>
      </c>
      <c r="E419" s="37">
        <f t="shared" si="388"/>
        <v>0</v>
      </c>
      <c r="F419" s="37">
        <f t="shared" si="388"/>
        <v>0</v>
      </c>
      <c r="G419" s="37">
        <f t="shared" si="388"/>
        <v>1</v>
      </c>
      <c r="H419" s="37">
        <f t="shared" si="388"/>
        <v>8</v>
      </c>
      <c r="I419" s="40">
        <f t="shared" si="388"/>
        <v>0</v>
      </c>
      <c r="J419" s="59">
        <f>SUM(B419:I419)</f>
        <v>22</v>
      </c>
      <c r="L419" s="36">
        <f t="shared" si="389"/>
        <v>0</v>
      </c>
      <c r="M419" s="37">
        <f t="shared" si="389"/>
        <v>0</v>
      </c>
      <c r="N419" s="37">
        <f t="shared" si="389"/>
        <v>0</v>
      </c>
      <c r="O419" s="37">
        <f t="shared" si="389"/>
        <v>0</v>
      </c>
      <c r="P419" s="37">
        <f t="shared" si="389"/>
        <v>0</v>
      </c>
      <c r="Q419" s="37">
        <f t="shared" si="389"/>
        <v>0</v>
      </c>
      <c r="R419" s="37">
        <f t="shared" si="389"/>
        <v>0</v>
      </c>
      <c r="S419" s="40">
        <f t="shared" si="389"/>
        <v>0</v>
      </c>
      <c r="T419" s="59">
        <f>SUM(L419:S419)</f>
        <v>0</v>
      </c>
      <c r="V419" s="36">
        <f t="shared" si="390"/>
        <v>55</v>
      </c>
      <c r="W419" s="37">
        <f t="shared" si="390"/>
        <v>15</v>
      </c>
      <c r="X419" s="37">
        <f t="shared" si="390"/>
        <v>1</v>
      </c>
      <c r="Y419" s="37">
        <f t="shared" si="390"/>
        <v>0</v>
      </c>
      <c r="Z419" s="37">
        <f t="shared" si="390"/>
        <v>0</v>
      </c>
      <c r="AA419" s="37">
        <f t="shared" si="390"/>
        <v>1</v>
      </c>
      <c r="AB419" s="37">
        <f t="shared" si="390"/>
        <v>0</v>
      </c>
      <c r="AC419" s="40">
        <f t="shared" si="390"/>
        <v>0</v>
      </c>
      <c r="AD419" s="59">
        <f>SUM(V419:AC419)</f>
        <v>72</v>
      </c>
      <c r="AF419" s="36">
        <f t="shared" si="391"/>
        <v>66</v>
      </c>
      <c r="AG419" s="37">
        <f t="shared" si="391"/>
        <v>9</v>
      </c>
      <c r="AH419" s="37">
        <f t="shared" si="391"/>
        <v>1</v>
      </c>
      <c r="AI419" s="37">
        <f t="shared" si="391"/>
        <v>0</v>
      </c>
      <c r="AJ419" s="37">
        <f t="shared" si="391"/>
        <v>1</v>
      </c>
      <c r="AK419" s="37">
        <f t="shared" si="391"/>
        <v>1</v>
      </c>
      <c r="AL419" s="37">
        <f t="shared" si="391"/>
        <v>4</v>
      </c>
      <c r="AM419" s="40">
        <f t="shared" si="391"/>
        <v>0</v>
      </c>
      <c r="AN419" s="59">
        <f>SUM(AF419:AM419)</f>
        <v>82</v>
      </c>
      <c r="AP419" s="59">
        <f>SUM(J419+T419+AD419+AN419)</f>
        <v>176</v>
      </c>
    </row>
    <row r="420" spans="1:42" ht="15.75" customHeight="1">
      <c r="A420" s="60">
        <v>0.53125</v>
      </c>
      <c r="B420" s="41">
        <f t="shared" si="388"/>
        <v>10</v>
      </c>
      <c r="C420" s="42">
        <f t="shared" si="388"/>
        <v>3</v>
      </c>
      <c r="D420" s="42">
        <f t="shared" si="388"/>
        <v>1</v>
      </c>
      <c r="E420" s="42">
        <f t="shared" si="388"/>
        <v>0</v>
      </c>
      <c r="F420" s="42">
        <f t="shared" si="388"/>
        <v>0</v>
      </c>
      <c r="G420" s="42">
        <f t="shared" si="388"/>
        <v>0</v>
      </c>
      <c r="H420" s="42">
        <f t="shared" si="388"/>
        <v>20</v>
      </c>
      <c r="I420" s="43">
        <f t="shared" si="388"/>
        <v>0</v>
      </c>
      <c r="J420" s="61">
        <f>SUM(B420:I420)</f>
        <v>34</v>
      </c>
      <c r="L420" s="41">
        <f t="shared" si="389"/>
        <v>0</v>
      </c>
      <c r="M420" s="42">
        <f t="shared" si="389"/>
        <v>0</v>
      </c>
      <c r="N420" s="42">
        <f t="shared" si="389"/>
        <v>0</v>
      </c>
      <c r="O420" s="42">
        <f t="shared" si="389"/>
        <v>0</v>
      </c>
      <c r="P420" s="42">
        <f t="shared" si="389"/>
        <v>0</v>
      </c>
      <c r="Q420" s="42">
        <f t="shared" si="389"/>
        <v>0</v>
      </c>
      <c r="R420" s="42">
        <f t="shared" si="389"/>
        <v>2</v>
      </c>
      <c r="S420" s="43">
        <f t="shared" si="389"/>
        <v>0</v>
      </c>
      <c r="T420" s="61">
        <f>SUM(L420:S420)</f>
        <v>2</v>
      </c>
      <c r="V420" s="41">
        <f t="shared" si="390"/>
        <v>71</v>
      </c>
      <c r="W420" s="42">
        <f t="shared" si="390"/>
        <v>18</v>
      </c>
      <c r="X420" s="42">
        <f t="shared" si="390"/>
        <v>0</v>
      </c>
      <c r="Y420" s="42">
        <f t="shared" si="390"/>
        <v>0</v>
      </c>
      <c r="Z420" s="42">
        <f t="shared" si="390"/>
        <v>4</v>
      </c>
      <c r="AA420" s="42">
        <f t="shared" si="390"/>
        <v>0</v>
      </c>
      <c r="AB420" s="42">
        <f t="shared" si="390"/>
        <v>4</v>
      </c>
      <c r="AC420" s="43">
        <f t="shared" si="390"/>
        <v>0</v>
      </c>
      <c r="AD420" s="61">
        <f>SUM(V420:AC420)</f>
        <v>97</v>
      </c>
      <c r="AF420" s="41">
        <f t="shared" si="391"/>
        <v>65</v>
      </c>
      <c r="AG420" s="42">
        <f t="shared" si="391"/>
        <v>6</v>
      </c>
      <c r="AH420" s="42">
        <f t="shared" si="391"/>
        <v>2</v>
      </c>
      <c r="AI420" s="42">
        <f t="shared" si="391"/>
        <v>0</v>
      </c>
      <c r="AJ420" s="42">
        <f t="shared" si="391"/>
        <v>2</v>
      </c>
      <c r="AK420" s="42">
        <f t="shared" si="391"/>
        <v>2</v>
      </c>
      <c r="AL420" s="42">
        <f t="shared" si="391"/>
        <v>12</v>
      </c>
      <c r="AM420" s="43">
        <f t="shared" si="391"/>
        <v>0</v>
      </c>
      <c r="AN420" s="61">
        <f>SUM(AF420:AM420)</f>
        <v>89</v>
      </c>
      <c r="AP420" s="61">
        <f>SUM(J420+T420+AD420+AN420)</f>
        <v>222</v>
      </c>
    </row>
    <row r="421" spans="1:42" ht="15.75" customHeight="1">
      <c r="A421" s="48" t="s">
        <v>29</v>
      </c>
      <c r="B421" s="45">
        <f t="shared" ref="B421:J421" si="392">SUM(B417:B420)</f>
        <v>55</v>
      </c>
      <c r="C421" s="46">
        <f t="shared" si="392"/>
        <v>11</v>
      </c>
      <c r="D421" s="46">
        <f t="shared" si="392"/>
        <v>3</v>
      </c>
      <c r="E421" s="46">
        <f t="shared" si="392"/>
        <v>0</v>
      </c>
      <c r="F421" s="46">
        <f t="shared" si="392"/>
        <v>0</v>
      </c>
      <c r="G421" s="46">
        <f t="shared" si="392"/>
        <v>1</v>
      </c>
      <c r="H421" s="46">
        <f t="shared" si="392"/>
        <v>47</v>
      </c>
      <c r="I421" s="47">
        <f t="shared" si="392"/>
        <v>0</v>
      </c>
      <c r="J421" s="48">
        <f t="shared" si="392"/>
        <v>117</v>
      </c>
      <c r="L421" s="45">
        <f t="shared" ref="L421:T421" si="393">SUM(L417:L420)</f>
        <v>0</v>
      </c>
      <c r="M421" s="46">
        <f t="shared" si="393"/>
        <v>0</v>
      </c>
      <c r="N421" s="46">
        <f t="shared" si="393"/>
        <v>0</v>
      </c>
      <c r="O421" s="46">
        <f t="shared" si="393"/>
        <v>0</v>
      </c>
      <c r="P421" s="46">
        <f t="shared" si="393"/>
        <v>0</v>
      </c>
      <c r="Q421" s="46">
        <f t="shared" si="393"/>
        <v>0</v>
      </c>
      <c r="R421" s="46">
        <f t="shared" si="393"/>
        <v>3</v>
      </c>
      <c r="S421" s="47">
        <f t="shared" si="393"/>
        <v>0</v>
      </c>
      <c r="T421" s="48">
        <f t="shared" si="393"/>
        <v>3</v>
      </c>
      <c r="V421" s="45">
        <f t="shared" ref="V421:AD421" si="394">SUM(V417:V420)</f>
        <v>253</v>
      </c>
      <c r="W421" s="46">
        <f t="shared" si="394"/>
        <v>69</v>
      </c>
      <c r="X421" s="46">
        <f t="shared" si="394"/>
        <v>6</v>
      </c>
      <c r="Y421" s="46">
        <f t="shared" si="394"/>
        <v>0</v>
      </c>
      <c r="Z421" s="46">
        <f t="shared" si="394"/>
        <v>6</v>
      </c>
      <c r="AA421" s="46">
        <f t="shared" si="394"/>
        <v>4</v>
      </c>
      <c r="AB421" s="46">
        <f t="shared" si="394"/>
        <v>9</v>
      </c>
      <c r="AC421" s="47">
        <f t="shared" si="394"/>
        <v>0</v>
      </c>
      <c r="AD421" s="48">
        <f t="shared" si="394"/>
        <v>347</v>
      </c>
      <c r="AF421" s="45">
        <f t="shared" ref="AF421:AN421" si="395">SUM(AF417:AF420)</f>
        <v>256</v>
      </c>
      <c r="AG421" s="46">
        <f t="shared" si="395"/>
        <v>39</v>
      </c>
      <c r="AH421" s="46">
        <f t="shared" si="395"/>
        <v>7</v>
      </c>
      <c r="AI421" s="46">
        <f t="shared" si="395"/>
        <v>1</v>
      </c>
      <c r="AJ421" s="46">
        <f t="shared" si="395"/>
        <v>7</v>
      </c>
      <c r="AK421" s="46">
        <f t="shared" si="395"/>
        <v>4</v>
      </c>
      <c r="AL421" s="46">
        <f t="shared" si="395"/>
        <v>37</v>
      </c>
      <c r="AM421" s="47">
        <f t="shared" si="395"/>
        <v>0</v>
      </c>
      <c r="AN421" s="48">
        <f t="shared" si="395"/>
        <v>351</v>
      </c>
      <c r="AP421" s="48">
        <f>SUM(AP417:AP420)</f>
        <v>818</v>
      </c>
    </row>
    <row r="423" spans="1:42" ht="15.75" customHeight="1">
      <c r="A423" s="48" t="s">
        <v>30</v>
      </c>
      <c r="B423" s="45">
        <f t="shared" ref="B423:J423" si="396">SUM(B421+B416+B411+B406+B401+B396)</f>
        <v>561</v>
      </c>
      <c r="C423" s="46">
        <f t="shared" si="396"/>
        <v>79</v>
      </c>
      <c r="D423" s="46">
        <f t="shared" si="396"/>
        <v>11</v>
      </c>
      <c r="E423" s="46">
        <f t="shared" si="396"/>
        <v>2</v>
      </c>
      <c r="F423" s="46">
        <f t="shared" si="396"/>
        <v>0</v>
      </c>
      <c r="G423" s="46">
        <f t="shared" si="396"/>
        <v>8</v>
      </c>
      <c r="H423" s="46">
        <f t="shared" si="396"/>
        <v>913</v>
      </c>
      <c r="I423" s="47">
        <f t="shared" si="396"/>
        <v>0</v>
      </c>
      <c r="J423" s="48">
        <f t="shared" si="396"/>
        <v>1574</v>
      </c>
      <c r="L423" s="45">
        <f t="shared" ref="L423:T423" si="397">SUM(L421+L416+L411+L406+L401+L396)</f>
        <v>0</v>
      </c>
      <c r="M423" s="46">
        <f t="shared" si="397"/>
        <v>1</v>
      </c>
      <c r="N423" s="46">
        <f t="shared" si="397"/>
        <v>0</v>
      </c>
      <c r="O423" s="46">
        <f t="shared" si="397"/>
        <v>0</v>
      </c>
      <c r="P423" s="46">
        <f t="shared" si="397"/>
        <v>0</v>
      </c>
      <c r="Q423" s="46">
        <f t="shared" si="397"/>
        <v>1</v>
      </c>
      <c r="R423" s="46">
        <f t="shared" si="397"/>
        <v>59</v>
      </c>
      <c r="S423" s="47">
        <f t="shared" si="397"/>
        <v>1</v>
      </c>
      <c r="T423" s="48">
        <f t="shared" si="397"/>
        <v>62</v>
      </c>
      <c r="V423" s="45">
        <f t="shared" ref="V423:AD423" si="398">SUM(V421+V416+V411+V406+V401+V396)</f>
        <v>1822</v>
      </c>
      <c r="W423" s="46">
        <f t="shared" si="398"/>
        <v>318</v>
      </c>
      <c r="X423" s="46">
        <f t="shared" si="398"/>
        <v>31</v>
      </c>
      <c r="Y423" s="46">
        <f t="shared" si="398"/>
        <v>9</v>
      </c>
      <c r="Z423" s="46">
        <f t="shared" si="398"/>
        <v>29</v>
      </c>
      <c r="AA423" s="46">
        <f t="shared" si="398"/>
        <v>65</v>
      </c>
      <c r="AB423" s="46">
        <f t="shared" si="398"/>
        <v>122</v>
      </c>
      <c r="AC423" s="47">
        <f t="shared" si="398"/>
        <v>1</v>
      </c>
      <c r="AD423" s="48">
        <f t="shared" si="398"/>
        <v>2397</v>
      </c>
      <c r="AF423" s="45">
        <f t="shared" ref="AF423:AN423" si="399">SUM(AF421+AF416+AF411+AF406+AF401+AF396)</f>
        <v>1650</v>
      </c>
      <c r="AG423" s="46">
        <f t="shared" si="399"/>
        <v>297</v>
      </c>
      <c r="AH423" s="46">
        <f t="shared" si="399"/>
        <v>47</v>
      </c>
      <c r="AI423" s="46">
        <f t="shared" si="399"/>
        <v>14</v>
      </c>
      <c r="AJ423" s="46">
        <f t="shared" si="399"/>
        <v>24</v>
      </c>
      <c r="AK423" s="46">
        <f t="shared" si="399"/>
        <v>35</v>
      </c>
      <c r="AL423" s="46">
        <f t="shared" si="399"/>
        <v>216</v>
      </c>
      <c r="AM423" s="47">
        <f t="shared" si="399"/>
        <v>1</v>
      </c>
      <c r="AN423" s="48">
        <f t="shared" si="399"/>
        <v>2284</v>
      </c>
      <c r="AP423" s="48">
        <f>SUM(AP421+AP416+AP411+AP406+AP401+AP396)</f>
        <v>6317</v>
      </c>
    </row>
    <row r="425" spans="1:42" ht="15.75" customHeight="1">
      <c r="A425" s="44" t="s">
        <v>34</v>
      </c>
    </row>
    <row r="426" spans="1:42" ht="15.75" customHeight="1">
      <c r="B426" s="45" t="s">
        <v>16</v>
      </c>
      <c r="C426" s="46"/>
      <c r="D426" s="46" t="str">
        <f>$D$9</f>
        <v>Arm A - Wapping Road</v>
      </c>
      <c r="E426" s="46"/>
      <c r="F426" s="46"/>
      <c r="G426" s="46"/>
      <c r="H426" s="46"/>
      <c r="I426" s="47"/>
      <c r="J426" s="48"/>
      <c r="L426" s="45" t="s">
        <v>16</v>
      </c>
      <c r="M426" s="46"/>
      <c r="N426" s="46" t="str">
        <f>$N$9</f>
        <v>Arm B - River Path</v>
      </c>
      <c r="O426" s="46"/>
      <c r="P426" s="46"/>
      <c r="Q426" s="46"/>
      <c r="R426" s="46"/>
      <c r="S426" s="47"/>
      <c r="T426" s="48"/>
      <c r="V426" s="45" t="s">
        <v>16</v>
      </c>
      <c r="W426" s="46"/>
      <c r="X426" s="46" t="str">
        <f>$X$9</f>
        <v>Arm C - Commerical Road</v>
      </c>
      <c r="Y426" s="46"/>
      <c r="Z426" s="46"/>
      <c r="AA426" s="46"/>
      <c r="AB426" s="46"/>
      <c r="AC426" s="47"/>
      <c r="AD426" s="48"/>
      <c r="AF426" s="45" t="s">
        <v>16</v>
      </c>
      <c r="AG426" s="46"/>
      <c r="AH426" s="46" t="str">
        <f>$AH$9</f>
        <v>Arm D - Cumberland Road</v>
      </c>
      <c r="AI426" s="46"/>
      <c r="AJ426" s="46"/>
      <c r="AK426" s="46"/>
      <c r="AL426" s="46"/>
      <c r="AM426" s="47"/>
      <c r="AN426" s="48"/>
      <c r="AP426" s="49" t="s">
        <v>35</v>
      </c>
    </row>
    <row r="427" spans="1:42" s="50" customFormat="1" ht="15.75" customHeight="1">
      <c r="B427" s="51" t="str">
        <f>$B$10</f>
        <v>CAR</v>
      </c>
      <c r="C427" s="52" t="str">
        <f>$C$10</f>
        <v>LGV</v>
      </c>
      <c r="D427" s="52" t="str">
        <f>$D$10</f>
        <v>OGV1</v>
      </c>
      <c r="E427" s="52" t="str">
        <f>$E$10</f>
        <v>OGV2</v>
      </c>
      <c r="F427" s="52" t="str">
        <f>$F$10</f>
        <v>PSV</v>
      </c>
      <c r="G427" s="52" t="str">
        <f>$G$10</f>
        <v>MC</v>
      </c>
      <c r="H427" s="52" t="str">
        <f>$H$10</f>
        <v>PC</v>
      </c>
      <c r="I427" s="53" t="str">
        <f>$I$10</f>
        <v>PC</v>
      </c>
      <c r="J427" s="54" t="s">
        <v>24</v>
      </c>
      <c r="L427" s="51" t="str">
        <f>$B$10</f>
        <v>CAR</v>
      </c>
      <c r="M427" s="52" t="str">
        <f>$C$10</f>
        <v>LGV</v>
      </c>
      <c r="N427" s="52" t="str">
        <f>$D$10</f>
        <v>OGV1</v>
      </c>
      <c r="O427" s="52" t="str">
        <f>$E$10</f>
        <v>OGV2</v>
      </c>
      <c r="P427" s="52" t="str">
        <f>$F$10</f>
        <v>PSV</v>
      </c>
      <c r="Q427" s="52" t="str">
        <f>$G$10</f>
        <v>MC</v>
      </c>
      <c r="R427" s="52" t="str">
        <f>$H$10</f>
        <v>PC</v>
      </c>
      <c r="S427" s="53" t="str">
        <f>$I$10</f>
        <v>PC</v>
      </c>
      <c r="T427" s="54" t="s">
        <v>24</v>
      </c>
      <c r="V427" s="51" t="str">
        <f>$B$10</f>
        <v>CAR</v>
      </c>
      <c r="W427" s="52" t="str">
        <f>$C$10</f>
        <v>LGV</v>
      </c>
      <c r="X427" s="52" t="str">
        <f>$D$10</f>
        <v>OGV1</v>
      </c>
      <c r="Y427" s="52" t="str">
        <f>$E$10</f>
        <v>OGV2</v>
      </c>
      <c r="Z427" s="52" t="str">
        <f>$F$10</f>
        <v>PSV</v>
      </c>
      <c r="AA427" s="52" t="str">
        <f>$G$10</f>
        <v>MC</v>
      </c>
      <c r="AB427" s="52" t="str">
        <f>$H$10</f>
        <v>PC</v>
      </c>
      <c r="AC427" s="53" t="str">
        <f>$I$10</f>
        <v>PC</v>
      </c>
      <c r="AD427" s="54" t="s">
        <v>24</v>
      </c>
      <c r="AF427" s="51" t="str">
        <f>$B$10</f>
        <v>CAR</v>
      </c>
      <c r="AG427" s="52" t="str">
        <f>$C$10</f>
        <v>LGV</v>
      </c>
      <c r="AH427" s="52" t="str">
        <f>$D$10</f>
        <v>OGV1</v>
      </c>
      <c r="AI427" s="52" t="str">
        <f>$E$10</f>
        <v>OGV2</v>
      </c>
      <c r="AJ427" s="52" t="str">
        <f>$F$10</f>
        <v>PSV</v>
      </c>
      <c r="AK427" s="52" t="str">
        <f>$G$10</f>
        <v>MC</v>
      </c>
      <c r="AL427" s="52" t="str">
        <f>$H$10</f>
        <v>PC</v>
      </c>
      <c r="AM427" s="53" t="str">
        <f>$I$10</f>
        <v>PC</v>
      </c>
      <c r="AN427" s="54" t="s">
        <v>24</v>
      </c>
      <c r="AP427" s="55"/>
    </row>
    <row r="429" spans="1:42" ht="15.75" customHeight="1">
      <c r="A429" s="56">
        <v>0.54166666666666663</v>
      </c>
      <c r="B429" s="32">
        <f t="shared" ref="B429:I432" si="400">SUM(B49+B125+B201+B277)</f>
        <v>12</v>
      </c>
      <c r="C429" s="33">
        <f t="shared" si="400"/>
        <v>0</v>
      </c>
      <c r="D429" s="33">
        <f t="shared" si="400"/>
        <v>0</v>
      </c>
      <c r="E429" s="33">
        <f t="shared" si="400"/>
        <v>0</v>
      </c>
      <c r="F429" s="33">
        <f t="shared" si="400"/>
        <v>0</v>
      </c>
      <c r="G429" s="33">
        <f t="shared" si="400"/>
        <v>0</v>
      </c>
      <c r="H429" s="33">
        <f t="shared" si="400"/>
        <v>13</v>
      </c>
      <c r="I429" s="34">
        <f t="shared" si="400"/>
        <v>0</v>
      </c>
      <c r="J429" s="57">
        <f>SUM(B429:I429)</f>
        <v>25</v>
      </c>
      <c r="L429" s="32">
        <f t="shared" ref="L429:S432" si="401">SUM(L49+L125+L201+L277)</f>
        <v>0</v>
      </c>
      <c r="M429" s="33">
        <f t="shared" si="401"/>
        <v>0</v>
      </c>
      <c r="N429" s="33">
        <f t="shared" si="401"/>
        <v>0</v>
      </c>
      <c r="O429" s="33">
        <f t="shared" si="401"/>
        <v>0</v>
      </c>
      <c r="P429" s="33">
        <f t="shared" si="401"/>
        <v>0</v>
      </c>
      <c r="Q429" s="33">
        <f t="shared" si="401"/>
        <v>0</v>
      </c>
      <c r="R429" s="33">
        <f t="shared" si="401"/>
        <v>0</v>
      </c>
      <c r="S429" s="34">
        <f t="shared" si="401"/>
        <v>0</v>
      </c>
      <c r="T429" s="57">
        <f>SUM(L429:S429)</f>
        <v>0</v>
      </c>
      <c r="V429" s="32">
        <f t="shared" ref="V429:AC432" si="402">SUM(V49+V125+V201+V277)</f>
        <v>71</v>
      </c>
      <c r="W429" s="33">
        <f t="shared" si="402"/>
        <v>10</v>
      </c>
      <c r="X429" s="33">
        <f t="shared" si="402"/>
        <v>2</v>
      </c>
      <c r="Y429" s="33">
        <f t="shared" si="402"/>
        <v>0</v>
      </c>
      <c r="Z429" s="33">
        <f t="shared" si="402"/>
        <v>0</v>
      </c>
      <c r="AA429" s="33">
        <f t="shared" si="402"/>
        <v>1</v>
      </c>
      <c r="AB429" s="33">
        <f t="shared" si="402"/>
        <v>9</v>
      </c>
      <c r="AC429" s="34">
        <f t="shared" si="402"/>
        <v>0</v>
      </c>
      <c r="AD429" s="57">
        <f>SUM(V429:AC429)</f>
        <v>93</v>
      </c>
      <c r="AF429" s="32">
        <f t="shared" ref="AF429:AM432" si="403">SUM(AF49+AF125+AF201+AF277)</f>
        <v>49</v>
      </c>
      <c r="AG429" s="33">
        <f t="shared" si="403"/>
        <v>11</v>
      </c>
      <c r="AH429" s="33">
        <f t="shared" si="403"/>
        <v>3</v>
      </c>
      <c r="AI429" s="33">
        <f t="shared" si="403"/>
        <v>1</v>
      </c>
      <c r="AJ429" s="33">
        <f t="shared" si="403"/>
        <v>1</v>
      </c>
      <c r="AK429" s="33">
        <f t="shared" si="403"/>
        <v>1</v>
      </c>
      <c r="AL429" s="33">
        <f t="shared" si="403"/>
        <v>11</v>
      </c>
      <c r="AM429" s="34">
        <f t="shared" si="403"/>
        <v>0</v>
      </c>
      <c r="AN429" s="57">
        <f>SUM(AF429:AM429)</f>
        <v>77</v>
      </c>
      <c r="AP429" s="57">
        <f>SUM(J429+T429+AD429+AN429)</f>
        <v>195</v>
      </c>
    </row>
    <row r="430" spans="1:42" ht="15.75" customHeight="1">
      <c r="A430" s="58">
        <v>0.55208333333333337</v>
      </c>
      <c r="B430" s="36">
        <f t="shared" si="400"/>
        <v>7</v>
      </c>
      <c r="C430" s="37">
        <f t="shared" si="400"/>
        <v>2</v>
      </c>
      <c r="D430" s="37">
        <f t="shared" si="400"/>
        <v>0</v>
      </c>
      <c r="E430" s="37">
        <f t="shared" si="400"/>
        <v>0</v>
      </c>
      <c r="F430" s="37">
        <f t="shared" si="400"/>
        <v>0</v>
      </c>
      <c r="G430" s="37">
        <f t="shared" si="400"/>
        <v>1</v>
      </c>
      <c r="H430" s="37">
        <f t="shared" si="400"/>
        <v>17</v>
      </c>
      <c r="I430" s="40">
        <f t="shared" si="400"/>
        <v>0</v>
      </c>
      <c r="J430" s="59">
        <f>SUM(B430:I430)</f>
        <v>27</v>
      </c>
      <c r="L430" s="36">
        <f t="shared" si="401"/>
        <v>0</v>
      </c>
      <c r="M430" s="37">
        <f t="shared" si="401"/>
        <v>0</v>
      </c>
      <c r="N430" s="37">
        <f t="shared" si="401"/>
        <v>0</v>
      </c>
      <c r="O430" s="37">
        <f t="shared" si="401"/>
        <v>0</v>
      </c>
      <c r="P430" s="37">
        <f t="shared" si="401"/>
        <v>0</v>
      </c>
      <c r="Q430" s="37">
        <f t="shared" si="401"/>
        <v>0</v>
      </c>
      <c r="R430" s="37">
        <f t="shared" si="401"/>
        <v>1</v>
      </c>
      <c r="S430" s="40">
        <f t="shared" si="401"/>
        <v>0</v>
      </c>
      <c r="T430" s="59">
        <f>SUM(L430:S430)</f>
        <v>1</v>
      </c>
      <c r="V430" s="36">
        <f t="shared" si="402"/>
        <v>75</v>
      </c>
      <c r="W430" s="37">
        <f t="shared" si="402"/>
        <v>12</v>
      </c>
      <c r="X430" s="37">
        <f t="shared" si="402"/>
        <v>0</v>
      </c>
      <c r="Y430" s="37">
        <f t="shared" si="402"/>
        <v>1</v>
      </c>
      <c r="Z430" s="37">
        <f t="shared" si="402"/>
        <v>1</v>
      </c>
      <c r="AA430" s="37">
        <f t="shared" si="402"/>
        <v>1</v>
      </c>
      <c r="AB430" s="37">
        <f t="shared" si="402"/>
        <v>1</v>
      </c>
      <c r="AC430" s="40">
        <f t="shared" si="402"/>
        <v>0</v>
      </c>
      <c r="AD430" s="59">
        <f>SUM(V430:AC430)</f>
        <v>91</v>
      </c>
      <c r="AF430" s="36">
        <f t="shared" si="403"/>
        <v>78</v>
      </c>
      <c r="AG430" s="37">
        <f t="shared" si="403"/>
        <v>19</v>
      </c>
      <c r="AH430" s="37">
        <f t="shared" si="403"/>
        <v>5</v>
      </c>
      <c r="AI430" s="37">
        <f t="shared" si="403"/>
        <v>2</v>
      </c>
      <c r="AJ430" s="37">
        <f t="shared" si="403"/>
        <v>1</v>
      </c>
      <c r="AK430" s="37">
        <f t="shared" si="403"/>
        <v>2</v>
      </c>
      <c r="AL430" s="37">
        <f t="shared" si="403"/>
        <v>13</v>
      </c>
      <c r="AM430" s="40">
        <f t="shared" si="403"/>
        <v>1</v>
      </c>
      <c r="AN430" s="59">
        <f>SUM(AF430:AM430)</f>
        <v>121</v>
      </c>
      <c r="AP430" s="59">
        <f>SUM(J430+T430+AD430+AN430)</f>
        <v>240</v>
      </c>
    </row>
    <row r="431" spans="1:42" ht="15.75" customHeight="1">
      <c r="A431" s="58">
        <v>0.5625</v>
      </c>
      <c r="B431" s="36">
        <f t="shared" si="400"/>
        <v>10</v>
      </c>
      <c r="C431" s="37">
        <f t="shared" si="400"/>
        <v>1</v>
      </c>
      <c r="D431" s="37">
        <f t="shared" si="400"/>
        <v>0</v>
      </c>
      <c r="E431" s="37">
        <f t="shared" si="400"/>
        <v>0</v>
      </c>
      <c r="F431" s="37">
        <f t="shared" si="400"/>
        <v>0</v>
      </c>
      <c r="G431" s="37">
        <f t="shared" si="400"/>
        <v>0</v>
      </c>
      <c r="H431" s="37">
        <f t="shared" si="400"/>
        <v>10</v>
      </c>
      <c r="I431" s="40">
        <f t="shared" si="400"/>
        <v>0</v>
      </c>
      <c r="J431" s="59">
        <f>SUM(B431:I431)</f>
        <v>21</v>
      </c>
      <c r="L431" s="36">
        <f t="shared" si="401"/>
        <v>0</v>
      </c>
      <c r="M431" s="37">
        <f t="shared" si="401"/>
        <v>0</v>
      </c>
      <c r="N431" s="37">
        <f t="shared" si="401"/>
        <v>0</v>
      </c>
      <c r="O431" s="37">
        <f t="shared" si="401"/>
        <v>0</v>
      </c>
      <c r="P431" s="37">
        <f t="shared" si="401"/>
        <v>0</v>
      </c>
      <c r="Q431" s="37">
        <f t="shared" si="401"/>
        <v>0</v>
      </c>
      <c r="R431" s="37">
        <f t="shared" si="401"/>
        <v>1</v>
      </c>
      <c r="S431" s="40">
        <f t="shared" si="401"/>
        <v>0</v>
      </c>
      <c r="T431" s="59">
        <f>SUM(L431:S431)</f>
        <v>1</v>
      </c>
      <c r="V431" s="36">
        <f t="shared" si="402"/>
        <v>65</v>
      </c>
      <c r="W431" s="37">
        <f t="shared" si="402"/>
        <v>17</v>
      </c>
      <c r="X431" s="37">
        <f t="shared" si="402"/>
        <v>4</v>
      </c>
      <c r="Y431" s="37">
        <f t="shared" si="402"/>
        <v>0</v>
      </c>
      <c r="Z431" s="37">
        <f t="shared" si="402"/>
        <v>0</v>
      </c>
      <c r="AA431" s="37">
        <f t="shared" si="402"/>
        <v>1</v>
      </c>
      <c r="AB431" s="37">
        <f t="shared" si="402"/>
        <v>2</v>
      </c>
      <c r="AC431" s="40">
        <f t="shared" si="402"/>
        <v>0</v>
      </c>
      <c r="AD431" s="59">
        <f>SUM(V431:AC431)</f>
        <v>89</v>
      </c>
      <c r="AF431" s="36">
        <f t="shared" si="403"/>
        <v>46</v>
      </c>
      <c r="AG431" s="37">
        <f t="shared" si="403"/>
        <v>9</v>
      </c>
      <c r="AH431" s="37">
        <f t="shared" si="403"/>
        <v>3</v>
      </c>
      <c r="AI431" s="37">
        <f t="shared" si="403"/>
        <v>0</v>
      </c>
      <c r="AJ431" s="37">
        <f t="shared" si="403"/>
        <v>2</v>
      </c>
      <c r="AK431" s="37">
        <f t="shared" si="403"/>
        <v>1</v>
      </c>
      <c r="AL431" s="37">
        <f t="shared" si="403"/>
        <v>11</v>
      </c>
      <c r="AM431" s="40">
        <f t="shared" si="403"/>
        <v>1</v>
      </c>
      <c r="AN431" s="59">
        <f>SUM(AF431:AM431)</f>
        <v>73</v>
      </c>
      <c r="AP431" s="59">
        <f>SUM(J431+T431+AD431+AN431)</f>
        <v>184</v>
      </c>
    </row>
    <row r="432" spans="1:42" ht="15.75" customHeight="1">
      <c r="A432" s="60">
        <v>0.57291666666666663</v>
      </c>
      <c r="B432" s="41">
        <f t="shared" si="400"/>
        <v>6</v>
      </c>
      <c r="C432" s="42">
        <f t="shared" si="400"/>
        <v>3</v>
      </c>
      <c r="D432" s="42">
        <f t="shared" si="400"/>
        <v>0</v>
      </c>
      <c r="E432" s="42">
        <f t="shared" si="400"/>
        <v>0</v>
      </c>
      <c r="F432" s="42">
        <f t="shared" si="400"/>
        <v>0</v>
      </c>
      <c r="G432" s="42">
        <f t="shared" si="400"/>
        <v>0</v>
      </c>
      <c r="H432" s="42">
        <f t="shared" si="400"/>
        <v>16</v>
      </c>
      <c r="I432" s="43">
        <f t="shared" si="400"/>
        <v>0</v>
      </c>
      <c r="J432" s="61">
        <f>SUM(B432:I432)</f>
        <v>25</v>
      </c>
      <c r="L432" s="41">
        <f t="shared" si="401"/>
        <v>0</v>
      </c>
      <c r="M432" s="42">
        <f t="shared" si="401"/>
        <v>0</v>
      </c>
      <c r="N432" s="42">
        <f t="shared" si="401"/>
        <v>0</v>
      </c>
      <c r="O432" s="42">
        <f t="shared" si="401"/>
        <v>0</v>
      </c>
      <c r="P432" s="42">
        <f t="shared" si="401"/>
        <v>0</v>
      </c>
      <c r="Q432" s="42">
        <f t="shared" si="401"/>
        <v>0</v>
      </c>
      <c r="R432" s="42">
        <f t="shared" si="401"/>
        <v>3</v>
      </c>
      <c r="S432" s="43">
        <f t="shared" si="401"/>
        <v>1</v>
      </c>
      <c r="T432" s="61">
        <f>SUM(L432:S432)</f>
        <v>4</v>
      </c>
      <c r="V432" s="41">
        <f t="shared" si="402"/>
        <v>76</v>
      </c>
      <c r="W432" s="42">
        <f t="shared" si="402"/>
        <v>13</v>
      </c>
      <c r="X432" s="42">
        <f t="shared" si="402"/>
        <v>4</v>
      </c>
      <c r="Y432" s="42">
        <f t="shared" si="402"/>
        <v>0</v>
      </c>
      <c r="Z432" s="42">
        <f t="shared" si="402"/>
        <v>2</v>
      </c>
      <c r="AA432" s="42">
        <f t="shared" si="402"/>
        <v>1</v>
      </c>
      <c r="AB432" s="42">
        <f t="shared" si="402"/>
        <v>6</v>
      </c>
      <c r="AC432" s="43">
        <f t="shared" si="402"/>
        <v>0</v>
      </c>
      <c r="AD432" s="61">
        <f>SUM(V432:AC432)</f>
        <v>102</v>
      </c>
      <c r="AF432" s="41">
        <f t="shared" si="403"/>
        <v>68</v>
      </c>
      <c r="AG432" s="42">
        <f t="shared" si="403"/>
        <v>8</v>
      </c>
      <c r="AH432" s="42">
        <f t="shared" si="403"/>
        <v>1</v>
      </c>
      <c r="AI432" s="42">
        <f t="shared" si="403"/>
        <v>0</v>
      </c>
      <c r="AJ432" s="42">
        <f t="shared" si="403"/>
        <v>0</v>
      </c>
      <c r="AK432" s="42">
        <f t="shared" si="403"/>
        <v>0</v>
      </c>
      <c r="AL432" s="42">
        <f t="shared" si="403"/>
        <v>13</v>
      </c>
      <c r="AM432" s="43">
        <f t="shared" si="403"/>
        <v>0</v>
      </c>
      <c r="AN432" s="61">
        <f>SUM(AF432:AM432)</f>
        <v>90</v>
      </c>
      <c r="AP432" s="61">
        <f>SUM(J432+T432+AD432+AN432)</f>
        <v>221</v>
      </c>
    </row>
    <row r="433" spans="1:42" ht="15.75" customHeight="1">
      <c r="A433" s="48" t="s">
        <v>29</v>
      </c>
      <c r="B433" s="45">
        <f t="shared" ref="B433:J433" si="404">SUM(B429:B432)</f>
        <v>35</v>
      </c>
      <c r="C433" s="46">
        <f t="shared" si="404"/>
        <v>6</v>
      </c>
      <c r="D433" s="46">
        <f t="shared" si="404"/>
        <v>0</v>
      </c>
      <c r="E433" s="46">
        <f t="shared" si="404"/>
        <v>0</v>
      </c>
      <c r="F433" s="46">
        <f t="shared" si="404"/>
        <v>0</v>
      </c>
      <c r="G433" s="46">
        <f t="shared" si="404"/>
        <v>1</v>
      </c>
      <c r="H433" s="46">
        <f t="shared" si="404"/>
        <v>56</v>
      </c>
      <c r="I433" s="47">
        <f t="shared" si="404"/>
        <v>0</v>
      </c>
      <c r="J433" s="48">
        <f t="shared" si="404"/>
        <v>98</v>
      </c>
      <c r="L433" s="45">
        <f t="shared" ref="L433:T433" si="405">SUM(L429:L432)</f>
        <v>0</v>
      </c>
      <c r="M433" s="46">
        <f t="shared" si="405"/>
        <v>0</v>
      </c>
      <c r="N433" s="46">
        <f t="shared" si="405"/>
        <v>0</v>
      </c>
      <c r="O433" s="46">
        <f t="shared" si="405"/>
        <v>0</v>
      </c>
      <c r="P433" s="46">
        <f t="shared" si="405"/>
        <v>0</v>
      </c>
      <c r="Q433" s="46">
        <f t="shared" si="405"/>
        <v>0</v>
      </c>
      <c r="R433" s="46">
        <f t="shared" si="405"/>
        <v>5</v>
      </c>
      <c r="S433" s="47">
        <f t="shared" si="405"/>
        <v>1</v>
      </c>
      <c r="T433" s="48">
        <f t="shared" si="405"/>
        <v>6</v>
      </c>
      <c r="V433" s="45">
        <f t="shared" ref="V433:AD433" si="406">SUM(V429:V432)</f>
        <v>287</v>
      </c>
      <c r="W433" s="46">
        <f t="shared" si="406"/>
        <v>52</v>
      </c>
      <c r="X433" s="46">
        <f t="shared" si="406"/>
        <v>10</v>
      </c>
      <c r="Y433" s="46">
        <f t="shared" si="406"/>
        <v>1</v>
      </c>
      <c r="Z433" s="46">
        <f t="shared" si="406"/>
        <v>3</v>
      </c>
      <c r="AA433" s="46">
        <f t="shared" si="406"/>
        <v>4</v>
      </c>
      <c r="AB433" s="46">
        <f t="shared" si="406"/>
        <v>18</v>
      </c>
      <c r="AC433" s="47">
        <f t="shared" si="406"/>
        <v>0</v>
      </c>
      <c r="AD433" s="48">
        <f t="shared" si="406"/>
        <v>375</v>
      </c>
      <c r="AF433" s="45">
        <f t="shared" ref="AF433:AN433" si="407">SUM(AF429:AF432)</f>
        <v>241</v>
      </c>
      <c r="AG433" s="46">
        <f t="shared" si="407"/>
        <v>47</v>
      </c>
      <c r="AH433" s="46">
        <f t="shared" si="407"/>
        <v>12</v>
      </c>
      <c r="AI433" s="46">
        <f t="shared" si="407"/>
        <v>3</v>
      </c>
      <c r="AJ433" s="46">
        <f t="shared" si="407"/>
        <v>4</v>
      </c>
      <c r="AK433" s="46">
        <f t="shared" si="407"/>
        <v>4</v>
      </c>
      <c r="AL433" s="46">
        <f t="shared" si="407"/>
        <v>48</v>
      </c>
      <c r="AM433" s="47">
        <f t="shared" si="407"/>
        <v>2</v>
      </c>
      <c r="AN433" s="48">
        <f t="shared" si="407"/>
        <v>361</v>
      </c>
      <c r="AP433" s="48">
        <f>SUM(AP429:AP432)</f>
        <v>840</v>
      </c>
    </row>
    <row r="434" spans="1:42" ht="15.75" customHeight="1">
      <c r="A434" s="56">
        <v>0.58333333333333337</v>
      </c>
      <c r="B434" s="32">
        <f t="shared" ref="B434:I437" si="408">SUM(B54+B130+B206+B282)</f>
        <v>7</v>
      </c>
      <c r="C434" s="33">
        <f t="shared" si="408"/>
        <v>3</v>
      </c>
      <c r="D434" s="33">
        <f t="shared" si="408"/>
        <v>0</v>
      </c>
      <c r="E434" s="33">
        <f t="shared" si="408"/>
        <v>0</v>
      </c>
      <c r="F434" s="33">
        <f t="shared" si="408"/>
        <v>0</v>
      </c>
      <c r="G434" s="33">
        <f t="shared" si="408"/>
        <v>2</v>
      </c>
      <c r="H434" s="33">
        <f t="shared" si="408"/>
        <v>6</v>
      </c>
      <c r="I434" s="34">
        <f t="shared" si="408"/>
        <v>0</v>
      </c>
      <c r="J434" s="57">
        <f>SUM(B434:I434)</f>
        <v>18</v>
      </c>
      <c r="L434" s="32">
        <f t="shared" ref="L434:S437" si="409">SUM(L54+L130+L206+L282)</f>
        <v>0</v>
      </c>
      <c r="M434" s="33">
        <f t="shared" si="409"/>
        <v>0</v>
      </c>
      <c r="N434" s="33">
        <f t="shared" si="409"/>
        <v>0</v>
      </c>
      <c r="O434" s="33">
        <f t="shared" si="409"/>
        <v>0</v>
      </c>
      <c r="P434" s="33">
        <f t="shared" si="409"/>
        <v>0</v>
      </c>
      <c r="Q434" s="33">
        <f t="shared" si="409"/>
        <v>0</v>
      </c>
      <c r="R434" s="33">
        <f t="shared" si="409"/>
        <v>4</v>
      </c>
      <c r="S434" s="34">
        <f t="shared" si="409"/>
        <v>0</v>
      </c>
      <c r="T434" s="57">
        <f>SUM(L434:S434)</f>
        <v>4</v>
      </c>
      <c r="V434" s="32">
        <f t="shared" ref="V434:AC437" si="410">SUM(V54+V130+V206+V282)</f>
        <v>104</v>
      </c>
      <c r="W434" s="33">
        <f t="shared" si="410"/>
        <v>20</v>
      </c>
      <c r="X434" s="33">
        <f t="shared" si="410"/>
        <v>1</v>
      </c>
      <c r="Y434" s="33">
        <f t="shared" si="410"/>
        <v>0</v>
      </c>
      <c r="Z434" s="33">
        <f t="shared" si="410"/>
        <v>1</v>
      </c>
      <c r="AA434" s="33">
        <f t="shared" si="410"/>
        <v>2</v>
      </c>
      <c r="AB434" s="33">
        <f t="shared" si="410"/>
        <v>5</v>
      </c>
      <c r="AC434" s="34">
        <f t="shared" si="410"/>
        <v>0</v>
      </c>
      <c r="AD434" s="57">
        <f>SUM(V434:AC434)</f>
        <v>133</v>
      </c>
      <c r="AF434" s="32">
        <f t="shared" ref="AF434:AM437" si="411">SUM(AF54+AF130+AF206+AF282)</f>
        <v>60</v>
      </c>
      <c r="AG434" s="33">
        <f t="shared" si="411"/>
        <v>8</v>
      </c>
      <c r="AH434" s="33">
        <f t="shared" si="411"/>
        <v>2</v>
      </c>
      <c r="AI434" s="33">
        <f t="shared" si="411"/>
        <v>0</v>
      </c>
      <c r="AJ434" s="33">
        <f t="shared" si="411"/>
        <v>2</v>
      </c>
      <c r="AK434" s="33">
        <f t="shared" si="411"/>
        <v>1</v>
      </c>
      <c r="AL434" s="33">
        <f t="shared" si="411"/>
        <v>12</v>
      </c>
      <c r="AM434" s="34">
        <f t="shared" si="411"/>
        <v>0</v>
      </c>
      <c r="AN434" s="57">
        <f>SUM(AF434:AM434)</f>
        <v>85</v>
      </c>
      <c r="AP434" s="57">
        <f>SUM(J434+T434+AD434+AN434)</f>
        <v>240</v>
      </c>
    </row>
    <row r="435" spans="1:42" ht="15.75" customHeight="1">
      <c r="A435" s="58">
        <v>0.59375</v>
      </c>
      <c r="B435" s="36">
        <f t="shared" si="408"/>
        <v>9</v>
      </c>
      <c r="C435" s="37">
        <f t="shared" si="408"/>
        <v>2</v>
      </c>
      <c r="D435" s="37">
        <f t="shared" si="408"/>
        <v>0</v>
      </c>
      <c r="E435" s="37">
        <f t="shared" si="408"/>
        <v>0</v>
      </c>
      <c r="F435" s="37">
        <f t="shared" si="408"/>
        <v>0</v>
      </c>
      <c r="G435" s="37">
        <f t="shared" si="408"/>
        <v>0</v>
      </c>
      <c r="H435" s="37">
        <f t="shared" si="408"/>
        <v>7</v>
      </c>
      <c r="I435" s="40">
        <f t="shared" si="408"/>
        <v>0</v>
      </c>
      <c r="J435" s="59">
        <f>SUM(B435:I435)</f>
        <v>18</v>
      </c>
      <c r="L435" s="36">
        <f t="shared" si="409"/>
        <v>0</v>
      </c>
      <c r="M435" s="37">
        <f t="shared" si="409"/>
        <v>0</v>
      </c>
      <c r="N435" s="37">
        <f t="shared" si="409"/>
        <v>0</v>
      </c>
      <c r="O435" s="37">
        <f t="shared" si="409"/>
        <v>0</v>
      </c>
      <c r="P435" s="37">
        <f t="shared" si="409"/>
        <v>0</v>
      </c>
      <c r="Q435" s="37">
        <f t="shared" si="409"/>
        <v>0</v>
      </c>
      <c r="R435" s="37">
        <f t="shared" si="409"/>
        <v>2</v>
      </c>
      <c r="S435" s="40">
        <f t="shared" si="409"/>
        <v>0</v>
      </c>
      <c r="T435" s="59">
        <f>SUM(L435:S435)</f>
        <v>2</v>
      </c>
      <c r="V435" s="36">
        <f t="shared" si="410"/>
        <v>88</v>
      </c>
      <c r="W435" s="37">
        <f t="shared" si="410"/>
        <v>13</v>
      </c>
      <c r="X435" s="37">
        <f t="shared" si="410"/>
        <v>6</v>
      </c>
      <c r="Y435" s="37">
        <f t="shared" si="410"/>
        <v>0</v>
      </c>
      <c r="Z435" s="37">
        <f t="shared" si="410"/>
        <v>2</v>
      </c>
      <c r="AA435" s="37">
        <f t="shared" si="410"/>
        <v>0</v>
      </c>
      <c r="AB435" s="37">
        <f t="shared" si="410"/>
        <v>1</v>
      </c>
      <c r="AC435" s="40">
        <f t="shared" si="410"/>
        <v>0</v>
      </c>
      <c r="AD435" s="59">
        <f>SUM(V435:AC435)</f>
        <v>110</v>
      </c>
      <c r="AF435" s="36">
        <f t="shared" si="411"/>
        <v>59</v>
      </c>
      <c r="AG435" s="37">
        <f t="shared" si="411"/>
        <v>9</v>
      </c>
      <c r="AH435" s="37">
        <f t="shared" si="411"/>
        <v>2</v>
      </c>
      <c r="AI435" s="37">
        <f t="shared" si="411"/>
        <v>4</v>
      </c>
      <c r="AJ435" s="37">
        <f t="shared" si="411"/>
        <v>0</v>
      </c>
      <c r="AK435" s="37">
        <f t="shared" si="411"/>
        <v>0</v>
      </c>
      <c r="AL435" s="37">
        <f t="shared" si="411"/>
        <v>16</v>
      </c>
      <c r="AM435" s="40">
        <f t="shared" si="411"/>
        <v>0</v>
      </c>
      <c r="AN435" s="59">
        <f>SUM(AF435:AM435)</f>
        <v>90</v>
      </c>
      <c r="AP435" s="59">
        <f>SUM(J435+T435+AD435+AN435)</f>
        <v>220</v>
      </c>
    </row>
    <row r="436" spans="1:42" ht="15.75" customHeight="1">
      <c r="A436" s="58">
        <v>0.60416666666666663</v>
      </c>
      <c r="B436" s="36">
        <f t="shared" si="408"/>
        <v>10</v>
      </c>
      <c r="C436" s="37">
        <f t="shared" si="408"/>
        <v>2</v>
      </c>
      <c r="D436" s="37">
        <f t="shared" si="408"/>
        <v>0</v>
      </c>
      <c r="E436" s="37">
        <f t="shared" si="408"/>
        <v>0</v>
      </c>
      <c r="F436" s="37">
        <f t="shared" si="408"/>
        <v>0</v>
      </c>
      <c r="G436" s="37">
        <f t="shared" si="408"/>
        <v>0</v>
      </c>
      <c r="H436" s="37">
        <f t="shared" si="408"/>
        <v>11</v>
      </c>
      <c r="I436" s="40">
        <f t="shared" si="408"/>
        <v>0</v>
      </c>
      <c r="J436" s="59">
        <f>SUM(B436:I436)</f>
        <v>23</v>
      </c>
      <c r="L436" s="36">
        <f t="shared" si="409"/>
        <v>0</v>
      </c>
      <c r="M436" s="37">
        <f t="shared" si="409"/>
        <v>0</v>
      </c>
      <c r="N436" s="37">
        <f t="shared" si="409"/>
        <v>0</v>
      </c>
      <c r="O436" s="37">
        <f t="shared" si="409"/>
        <v>0</v>
      </c>
      <c r="P436" s="37">
        <f t="shared" si="409"/>
        <v>0</v>
      </c>
      <c r="Q436" s="37">
        <f t="shared" si="409"/>
        <v>0</v>
      </c>
      <c r="R436" s="37">
        <f t="shared" si="409"/>
        <v>1</v>
      </c>
      <c r="S436" s="40">
        <f t="shared" si="409"/>
        <v>0</v>
      </c>
      <c r="T436" s="59">
        <f>SUM(L436:S436)</f>
        <v>1</v>
      </c>
      <c r="V436" s="36">
        <f t="shared" si="410"/>
        <v>62</v>
      </c>
      <c r="W436" s="37">
        <f t="shared" si="410"/>
        <v>10</v>
      </c>
      <c r="X436" s="37">
        <f t="shared" si="410"/>
        <v>3</v>
      </c>
      <c r="Y436" s="37">
        <f t="shared" si="410"/>
        <v>0</v>
      </c>
      <c r="Z436" s="37">
        <f t="shared" si="410"/>
        <v>0</v>
      </c>
      <c r="AA436" s="37">
        <f t="shared" si="410"/>
        <v>3</v>
      </c>
      <c r="AB436" s="37">
        <f t="shared" si="410"/>
        <v>6</v>
      </c>
      <c r="AC436" s="40">
        <f t="shared" si="410"/>
        <v>0</v>
      </c>
      <c r="AD436" s="59">
        <f>SUM(V436:AC436)</f>
        <v>84</v>
      </c>
      <c r="AF436" s="36">
        <f t="shared" si="411"/>
        <v>71</v>
      </c>
      <c r="AG436" s="37">
        <f t="shared" si="411"/>
        <v>14</v>
      </c>
      <c r="AH436" s="37">
        <f t="shared" si="411"/>
        <v>1</v>
      </c>
      <c r="AI436" s="37">
        <f t="shared" si="411"/>
        <v>0</v>
      </c>
      <c r="AJ436" s="37">
        <f t="shared" si="411"/>
        <v>3</v>
      </c>
      <c r="AK436" s="37">
        <f t="shared" si="411"/>
        <v>2</v>
      </c>
      <c r="AL436" s="37">
        <f t="shared" si="411"/>
        <v>7</v>
      </c>
      <c r="AM436" s="40">
        <f t="shared" si="411"/>
        <v>1</v>
      </c>
      <c r="AN436" s="59">
        <f>SUM(AF436:AM436)</f>
        <v>99</v>
      </c>
      <c r="AP436" s="59">
        <f>SUM(J436+T436+AD436+AN436)</f>
        <v>207</v>
      </c>
    </row>
    <row r="437" spans="1:42" ht="15.75" customHeight="1">
      <c r="A437" s="60">
        <v>0.61458333333333337</v>
      </c>
      <c r="B437" s="41">
        <f t="shared" si="408"/>
        <v>8</v>
      </c>
      <c r="C437" s="42">
        <f t="shared" si="408"/>
        <v>1</v>
      </c>
      <c r="D437" s="42">
        <f t="shared" si="408"/>
        <v>0</v>
      </c>
      <c r="E437" s="42">
        <f t="shared" si="408"/>
        <v>0</v>
      </c>
      <c r="F437" s="42">
        <f t="shared" si="408"/>
        <v>0</v>
      </c>
      <c r="G437" s="42">
        <f t="shared" si="408"/>
        <v>0</v>
      </c>
      <c r="H437" s="42">
        <f t="shared" si="408"/>
        <v>8</v>
      </c>
      <c r="I437" s="43">
        <f t="shared" si="408"/>
        <v>0</v>
      </c>
      <c r="J437" s="61">
        <f>SUM(B437:I437)</f>
        <v>17</v>
      </c>
      <c r="L437" s="41">
        <f t="shared" si="409"/>
        <v>0</v>
      </c>
      <c r="M437" s="42">
        <f t="shared" si="409"/>
        <v>0</v>
      </c>
      <c r="N437" s="42">
        <f t="shared" si="409"/>
        <v>0</v>
      </c>
      <c r="O437" s="42">
        <f t="shared" si="409"/>
        <v>0</v>
      </c>
      <c r="P437" s="42">
        <f t="shared" si="409"/>
        <v>0</v>
      </c>
      <c r="Q437" s="42">
        <f t="shared" si="409"/>
        <v>0</v>
      </c>
      <c r="R437" s="42">
        <f t="shared" si="409"/>
        <v>0</v>
      </c>
      <c r="S437" s="43">
        <f t="shared" si="409"/>
        <v>0</v>
      </c>
      <c r="T437" s="61">
        <f>SUM(L437:S437)</f>
        <v>0</v>
      </c>
      <c r="V437" s="41">
        <f t="shared" si="410"/>
        <v>51</v>
      </c>
      <c r="W437" s="42">
        <f t="shared" si="410"/>
        <v>11</v>
      </c>
      <c r="X437" s="42">
        <f t="shared" si="410"/>
        <v>3</v>
      </c>
      <c r="Y437" s="42">
        <f t="shared" si="410"/>
        <v>0</v>
      </c>
      <c r="Z437" s="42">
        <f t="shared" si="410"/>
        <v>2</v>
      </c>
      <c r="AA437" s="42">
        <f t="shared" si="410"/>
        <v>2</v>
      </c>
      <c r="AB437" s="42">
        <f t="shared" si="410"/>
        <v>2</v>
      </c>
      <c r="AC437" s="43">
        <f t="shared" si="410"/>
        <v>1</v>
      </c>
      <c r="AD437" s="61">
        <f>SUM(V437:AC437)</f>
        <v>72</v>
      </c>
      <c r="AF437" s="41">
        <f t="shared" si="411"/>
        <v>63</v>
      </c>
      <c r="AG437" s="42">
        <f t="shared" si="411"/>
        <v>27</v>
      </c>
      <c r="AH437" s="42">
        <f t="shared" si="411"/>
        <v>1</v>
      </c>
      <c r="AI437" s="42">
        <f t="shared" si="411"/>
        <v>0</v>
      </c>
      <c r="AJ437" s="42">
        <f t="shared" si="411"/>
        <v>3</v>
      </c>
      <c r="AK437" s="42">
        <f t="shared" si="411"/>
        <v>0</v>
      </c>
      <c r="AL437" s="42">
        <f t="shared" si="411"/>
        <v>4</v>
      </c>
      <c r="AM437" s="43">
        <f t="shared" si="411"/>
        <v>0</v>
      </c>
      <c r="AN437" s="61">
        <f>SUM(AF437:AM437)</f>
        <v>98</v>
      </c>
      <c r="AP437" s="61">
        <f>SUM(J437+T437+AD437+AN437)</f>
        <v>187</v>
      </c>
    </row>
    <row r="438" spans="1:42" ht="15.75" customHeight="1">
      <c r="A438" s="48" t="s">
        <v>29</v>
      </c>
      <c r="B438" s="45">
        <f t="shared" ref="B438:J438" si="412">SUM(B434:B437)</f>
        <v>34</v>
      </c>
      <c r="C438" s="46">
        <f t="shared" si="412"/>
        <v>8</v>
      </c>
      <c r="D438" s="46">
        <f t="shared" si="412"/>
        <v>0</v>
      </c>
      <c r="E438" s="46">
        <f t="shared" si="412"/>
        <v>0</v>
      </c>
      <c r="F438" s="46">
        <f t="shared" si="412"/>
        <v>0</v>
      </c>
      <c r="G438" s="46">
        <f t="shared" si="412"/>
        <v>2</v>
      </c>
      <c r="H438" s="46">
        <f t="shared" si="412"/>
        <v>32</v>
      </c>
      <c r="I438" s="47">
        <f t="shared" si="412"/>
        <v>0</v>
      </c>
      <c r="J438" s="48">
        <f t="shared" si="412"/>
        <v>76</v>
      </c>
      <c r="L438" s="45">
        <f t="shared" ref="L438:T438" si="413">SUM(L434:L437)</f>
        <v>0</v>
      </c>
      <c r="M438" s="46">
        <f t="shared" si="413"/>
        <v>0</v>
      </c>
      <c r="N438" s="46">
        <f t="shared" si="413"/>
        <v>0</v>
      </c>
      <c r="O438" s="46">
        <f t="shared" si="413"/>
        <v>0</v>
      </c>
      <c r="P438" s="46">
        <f t="shared" si="413"/>
        <v>0</v>
      </c>
      <c r="Q438" s="46">
        <f t="shared" si="413"/>
        <v>0</v>
      </c>
      <c r="R438" s="46">
        <f t="shared" si="413"/>
        <v>7</v>
      </c>
      <c r="S438" s="47">
        <f t="shared" si="413"/>
        <v>0</v>
      </c>
      <c r="T438" s="48">
        <f t="shared" si="413"/>
        <v>7</v>
      </c>
      <c r="V438" s="45">
        <f t="shared" ref="V438:AD438" si="414">SUM(V434:V437)</f>
        <v>305</v>
      </c>
      <c r="W438" s="46">
        <f t="shared" si="414"/>
        <v>54</v>
      </c>
      <c r="X438" s="46">
        <f t="shared" si="414"/>
        <v>13</v>
      </c>
      <c r="Y438" s="46">
        <f t="shared" si="414"/>
        <v>0</v>
      </c>
      <c r="Z438" s="46">
        <f t="shared" si="414"/>
        <v>5</v>
      </c>
      <c r="AA438" s="46">
        <f t="shared" si="414"/>
        <v>7</v>
      </c>
      <c r="AB438" s="46">
        <f t="shared" si="414"/>
        <v>14</v>
      </c>
      <c r="AC438" s="47">
        <f t="shared" si="414"/>
        <v>1</v>
      </c>
      <c r="AD438" s="48">
        <f t="shared" si="414"/>
        <v>399</v>
      </c>
      <c r="AF438" s="45">
        <f t="shared" ref="AF438:AN438" si="415">SUM(AF434:AF437)</f>
        <v>253</v>
      </c>
      <c r="AG438" s="46">
        <f t="shared" si="415"/>
        <v>58</v>
      </c>
      <c r="AH438" s="46">
        <f t="shared" si="415"/>
        <v>6</v>
      </c>
      <c r="AI438" s="46">
        <f t="shared" si="415"/>
        <v>4</v>
      </c>
      <c r="AJ438" s="46">
        <f t="shared" si="415"/>
        <v>8</v>
      </c>
      <c r="AK438" s="46">
        <f t="shared" si="415"/>
        <v>3</v>
      </c>
      <c r="AL438" s="46">
        <f t="shared" si="415"/>
        <v>39</v>
      </c>
      <c r="AM438" s="47">
        <f t="shared" si="415"/>
        <v>1</v>
      </c>
      <c r="AN438" s="48">
        <f t="shared" si="415"/>
        <v>372</v>
      </c>
      <c r="AP438" s="48">
        <f>SUM(AP434:AP437)</f>
        <v>854</v>
      </c>
    </row>
    <row r="439" spans="1:42" ht="15.75" customHeight="1">
      <c r="A439" s="56">
        <v>0.625</v>
      </c>
      <c r="B439" s="32">
        <f t="shared" ref="B439:I442" si="416">SUM(B59+B135+B211+B287)</f>
        <v>5</v>
      </c>
      <c r="C439" s="33">
        <f t="shared" si="416"/>
        <v>0</v>
      </c>
      <c r="D439" s="33">
        <f t="shared" si="416"/>
        <v>1</v>
      </c>
      <c r="E439" s="33">
        <f t="shared" si="416"/>
        <v>0</v>
      </c>
      <c r="F439" s="33">
        <f t="shared" si="416"/>
        <v>0</v>
      </c>
      <c r="G439" s="33">
        <f t="shared" si="416"/>
        <v>0</v>
      </c>
      <c r="H439" s="33">
        <f t="shared" si="416"/>
        <v>9</v>
      </c>
      <c r="I439" s="34">
        <f t="shared" si="416"/>
        <v>0</v>
      </c>
      <c r="J439" s="57">
        <f>SUM(B439:I439)</f>
        <v>15</v>
      </c>
      <c r="L439" s="32">
        <f t="shared" ref="L439:S442" si="417">SUM(L59+L135+L211+L287)</f>
        <v>0</v>
      </c>
      <c r="M439" s="33">
        <f t="shared" si="417"/>
        <v>0</v>
      </c>
      <c r="N439" s="33">
        <f t="shared" si="417"/>
        <v>0</v>
      </c>
      <c r="O439" s="33">
        <f t="shared" si="417"/>
        <v>0</v>
      </c>
      <c r="P439" s="33">
        <f t="shared" si="417"/>
        <v>0</v>
      </c>
      <c r="Q439" s="33">
        <f t="shared" si="417"/>
        <v>0</v>
      </c>
      <c r="R439" s="33">
        <f t="shared" si="417"/>
        <v>0</v>
      </c>
      <c r="S439" s="34">
        <f t="shared" si="417"/>
        <v>0</v>
      </c>
      <c r="T439" s="57">
        <f>SUM(L439:S439)</f>
        <v>0</v>
      </c>
      <c r="V439" s="32">
        <f t="shared" ref="V439:AC442" si="418">SUM(V59+V135+V211+V287)</f>
        <v>75</v>
      </c>
      <c r="W439" s="33">
        <f t="shared" si="418"/>
        <v>12</v>
      </c>
      <c r="X439" s="33">
        <f t="shared" si="418"/>
        <v>1</v>
      </c>
      <c r="Y439" s="33">
        <f t="shared" si="418"/>
        <v>0</v>
      </c>
      <c r="Z439" s="33">
        <f t="shared" si="418"/>
        <v>0</v>
      </c>
      <c r="AA439" s="33">
        <f t="shared" si="418"/>
        <v>2</v>
      </c>
      <c r="AB439" s="33">
        <f t="shared" si="418"/>
        <v>7</v>
      </c>
      <c r="AC439" s="34">
        <f t="shared" si="418"/>
        <v>0</v>
      </c>
      <c r="AD439" s="57">
        <f>SUM(V439:AC439)</f>
        <v>97</v>
      </c>
      <c r="AF439" s="32">
        <f t="shared" ref="AF439:AM442" si="419">SUM(AF59+AF135+AF211+AF287)</f>
        <v>57</v>
      </c>
      <c r="AG439" s="33">
        <f t="shared" si="419"/>
        <v>8</v>
      </c>
      <c r="AH439" s="33">
        <f t="shared" si="419"/>
        <v>3</v>
      </c>
      <c r="AI439" s="33">
        <f t="shared" si="419"/>
        <v>0</v>
      </c>
      <c r="AJ439" s="33">
        <f t="shared" si="419"/>
        <v>3</v>
      </c>
      <c r="AK439" s="33">
        <f t="shared" si="419"/>
        <v>1</v>
      </c>
      <c r="AL439" s="33">
        <f t="shared" si="419"/>
        <v>21</v>
      </c>
      <c r="AM439" s="34">
        <f t="shared" si="419"/>
        <v>0</v>
      </c>
      <c r="AN439" s="57">
        <f>SUM(AF439:AM439)</f>
        <v>93</v>
      </c>
      <c r="AP439" s="57">
        <f>SUM(J439+T439+AD439+AN439)</f>
        <v>205</v>
      </c>
    </row>
    <row r="440" spans="1:42" ht="15.75" customHeight="1">
      <c r="A440" s="58">
        <v>0.63541666666666663</v>
      </c>
      <c r="B440" s="36">
        <f t="shared" si="416"/>
        <v>5</v>
      </c>
      <c r="C440" s="37">
        <f t="shared" si="416"/>
        <v>1</v>
      </c>
      <c r="D440" s="37">
        <f t="shared" si="416"/>
        <v>1</v>
      </c>
      <c r="E440" s="37">
        <f t="shared" si="416"/>
        <v>0</v>
      </c>
      <c r="F440" s="37">
        <f t="shared" si="416"/>
        <v>0</v>
      </c>
      <c r="G440" s="37">
        <f t="shared" si="416"/>
        <v>0</v>
      </c>
      <c r="H440" s="37">
        <f t="shared" si="416"/>
        <v>11</v>
      </c>
      <c r="I440" s="40">
        <f t="shared" si="416"/>
        <v>0</v>
      </c>
      <c r="J440" s="59">
        <f>SUM(B440:I440)</f>
        <v>18</v>
      </c>
      <c r="L440" s="36">
        <f t="shared" si="417"/>
        <v>0</v>
      </c>
      <c r="M440" s="37">
        <f t="shared" si="417"/>
        <v>0</v>
      </c>
      <c r="N440" s="37">
        <f t="shared" si="417"/>
        <v>0</v>
      </c>
      <c r="O440" s="37">
        <f t="shared" si="417"/>
        <v>0</v>
      </c>
      <c r="P440" s="37">
        <f t="shared" si="417"/>
        <v>0</v>
      </c>
      <c r="Q440" s="37">
        <f t="shared" si="417"/>
        <v>0</v>
      </c>
      <c r="R440" s="37">
        <f t="shared" si="417"/>
        <v>0</v>
      </c>
      <c r="S440" s="40">
        <f t="shared" si="417"/>
        <v>0</v>
      </c>
      <c r="T440" s="59">
        <f>SUM(L440:S440)</f>
        <v>0</v>
      </c>
      <c r="V440" s="36">
        <f t="shared" si="418"/>
        <v>84</v>
      </c>
      <c r="W440" s="37">
        <f t="shared" si="418"/>
        <v>15</v>
      </c>
      <c r="X440" s="37">
        <f t="shared" si="418"/>
        <v>1</v>
      </c>
      <c r="Y440" s="37">
        <f t="shared" si="418"/>
        <v>0</v>
      </c>
      <c r="Z440" s="37">
        <f t="shared" si="418"/>
        <v>1</v>
      </c>
      <c r="AA440" s="37">
        <f t="shared" si="418"/>
        <v>1</v>
      </c>
      <c r="AB440" s="37">
        <f t="shared" si="418"/>
        <v>3</v>
      </c>
      <c r="AC440" s="40">
        <f t="shared" si="418"/>
        <v>0</v>
      </c>
      <c r="AD440" s="59">
        <f>SUM(V440:AC440)</f>
        <v>105</v>
      </c>
      <c r="AF440" s="36">
        <f t="shared" si="419"/>
        <v>59</v>
      </c>
      <c r="AG440" s="37">
        <f t="shared" si="419"/>
        <v>7</v>
      </c>
      <c r="AH440" s="37">
        <f t="shared" si="419"/>
        <v>1</v>
      </c>
      <c r="AI440" s="37">
        <f t="shared" si="419"/>
        <v>0</v>
      </c>
      <c r="AJ440" s="37">
        <f t="shared" si="419"/>
        <v>0</v>
      </c>
      <c r="AK440" s="37">
        <f t="shared" si="419"/>
        <v>0</v>
      </c>
      <c r="AL440" s="37">
        <f t="shared" si="419"/>
        <v>35</v>
      </c>
      <c r="AM440" s="40">
        <f t="shared" si="419"/>
        <v>0</v>
      </c>
      <c r="AN440" s="59">
        <f>SUM(AF440:AM440)</f>
        <v>102</v>
      </c>
      <c r="AP440" s="59">
        <f>SUM(J440+T440+AD440+AN440)</f>
        <v>225</v>
      </c>
    </row>
    <row r="441" spans="1:42" ht="15.75" customHeight="1">
      <c r="A441" s="58">
        <v>0.64583333333333337</v>
      </c>
      <c r="B441" s="36">
        <f t="shared" si="416"/>
        <v>11</v>
      </c>
      <c r="C441" s="37">
        <f t="shared" si="416"/>
        <v>1</v>
      </c>
      <c r="D441" s="37">
        <f t="shared" si="416"/>
        <v>0</v>
      </c>
      <c r="E441" s="37">
        <f t="shared" si="416"/>
        <v>0</v>
      </c>
      <c r="F441" s="37">
        <f t="shared" si="416"/>
        <v>0</v>
      </c>
      <c r="G441" s="37">
        <f t="shared" si="416"/>
        <v>0</v>
      </c>
      <c r="H441" s="37">
        <f t="shared" si="416"/>
        <v>10</v>
      </c>
      <c r="I441" s="40">
        <f t="shared" si="416"/>
        <v>0</v>
      </c>
      <c r="J441" s="59">
        <f>SUM(B441:I441)</f>
        <v>22</v>
      </c>
      <c r="L441" s="36">
        <f t="shared" si="417"/>
        <v>0</v>
      </c>
      <c r="M441" s="37">
        <f t="shared" si="417"/>
        <v>0</v>
      </c>
      <c r="N441" s="37">
        <f t="shared" si="417"/>
        <v>0</v>
      </c>
      <c r="O441" s="37">
        <f t="shared" si="417"/>
        <v>0</v>
      </c>
      <c r="P441" s="37">
        <f t="shared" si="417"/>
        <v>0</v>
      </c>
      <c r="Q441" s="37">
        <f t="shared" si="417"/>
        <v>0</v>
      </c>
      <c r="R441" s="37">
        <f t="shared" si="417"/>
        <v>0</v>
      </c>
      <c r="S441" s="40">
        <f t="shared" si="417"/>
        <v>0</v>
      </c>
      <c r="T441" s="59">
        <f>SUM(L441:S441)</f>
        <v>0</v>
      </c>
      <c r="V441" s="36">
        <f t="shared" si="418"/>
        <v>77</v>
      </c>
      <c r="W441" s="37">
        <f t="shared" si="418"/>
        <v>25</v>
      </c>
      <c r="X441" s="37">
        <f t="shared" si="418"/>
        <v>1</v>
      </c>
      <c r="Y441" s="37">
        <f t="shared" si="418"/>
        <v>0</v>
      </c>
      <c r="Z441" s="37">
        <f t="shared" si="418"/>
        <v>0</v>
      </c>
      <c r="AA441" s="37">
        <f t="shared" si="418"/>
        <v>2</v>
      </c>
      <c r="AB441" s="37">
        <f t="shared" si="418"/>
        <v>4</v>
      </c>
      <c r="AC441" s="40">
        <f t="shared" si="418"/>
        <v>0</v>
      </c>
      <c r="AD441" s="59">
        <f>SUM(V441:AC441)</f>
        <v>109</v>
      </c>
      <c r="AF441" s="36">
        <f t="shared" si="419"/>
        <v>63</v>
      </c>
      <c r="AG441" s="37">
        <f t="shared" si="419"/>
        <v>12</v>
      </c>
      <c r="AH441" s="37">
        <f t="shared" si="419"/>
        <v>1</v>
      </c>
      <c r="AI441" s="37">
        <f t="shared" si="419"/>
        <v>0</v>
      </c>
      <c r="AJ441" s="37">
        <f t="shared" si="419"/>
        <v>2</v>
      </c>
      <c r="AK441" s="37">
        <f t="shared" si="419"/>
        <v>1</v>
      </c>
      <c r="AL441" s="37">
        <f t="shared" si="419"/>
        <v>15</v>
      </c>
      <c r="AM441" s="40">
        <f t="shared" si="419"/>
        <v>0</v>
      </c>
      <c r="AN441" s="59">
        <f>SUM(AF441:AM441)</f>
        <v>94</v>
      </c>
      <c r="AP441" s="59">
        <f>SUM(J441+T441+AD441+AN441)</f>
        <v>225</v>
      </c>
    </row>
    <row r="442" spans="1:42" ht="15.75" customHeight="1">
      <c r="A442" s="60">
        <v>0.65625</v>
      </c>
      <c r="B442" s="41">
        <f t="shared" si="416"/>
        <v>10</v>
      </c>
      <c r="C442" s="42">
        <f t="shared" si="416"/>
        <v>0</v>
      </c>
      <c r="D442" s="42">
        <f t="shared" si="416"/>
        <v>0</v>
      </c>
      <c r="E442" s="42">
        <f t="shared" si="416"/>
        <v>0</v>
      </c>
      <c r="F442" s="42">
        <f t="shared" si="416"/>
        <v>0</v>
      </c>
      <c r="G442" s="42">
        <f t="shared" si="416"/>
        <v>0</v>
      </c>
      <c r="H442" s="42">
        <f t="shared" si="416"/>
        <v>5</v>
      </c>
      <c r="I442" s="43">
        <f t="shared" si="416"/>
        <v>0</v>
      </c>
      <c r="J442" s="61">
        <f>SUM(B442:I442)</f>
        <v>15</v>
      </c>
      <c r="L442" s="41">
        <f t="shared" si="417"/>
        <v>0</v>
      </c>
      <c r="M442" s="42">
        <f t="shared" si="417"/>
        <v>0</v>
      </c>
      <c r="N442" s="42">
        <f t="shared" si="417"/>
        <v>0</v>
      </c>
      <c r="O442" s="42">
        <f t="shared" si="417"/>
        <v>0</v>
      </c>
      <c r="P442" s="42">
        <f t="shared" si="417"/>
        <v>0</v>
      </c>
      <c r="Q442" s="42">
        <f t="shared" si="417"/>
        <v>0</v>
      </c>
      <c r="R442" s="42">
        <f t="shared" si="417"/>
        <v>0</v>
      </c>
      <c r="S442" s="43">
        <f t="shared" si="417"/>
        <v>0</v>
      </c>
      <c r="T442" s="61">
        <f>SUM(L442:S442)</f>
        <v>0</v>
      </c>
      <c r="V442" s="41">
        <f t="shared" si="418"/>
        <v>91</v>
      </c>
      <c r="W442" s="42">
        <f t="shared" si="418"/>
        <v>23</v>
      </c>
      <c r="X442" s="42">
        <f t="shared" si="418"/>
        <v>2</v>
      </c>
      <c r="Y442" s="42">
        <f t="shared" si="418"/>
        <v>1</v>
      </c>
      <c r="Z442" s="42">
        <f t="shared" si="418"/>
        <v>2</v>
      </c>
      <c r="AA442" s="42">
        <f t="shared" si="418"/>
        <v>2</v>
      </c>
      <c r="AB442" s="42">
        <f t="shared" si="418"/>
        <v>6</v>
      </c>
      <c r="AC442" s="43">
        <f t="shared" si="418"/>
        <v>0</v>
      </c>
      <c r="AD442" s="61">
        <f>SUM(V442:AC442)</f>
        <v>127</v>
      </c>
      <c r="AF442" s="41">
        <f t="shared" si="419"/>
        <v>63</v>
      </c>
      <c r="AG442" s="42">
        <f t="shared" si="419"/>
        <v>5</v>
      </c>
      <c r="AH442" s="42">
        <f t="shared" si="419"/>
        <v>2</v>
      </c>
      <c r="AI442" s="42">
        <f t="shared" si="419"/>
        <v>0</v>
      </c>
      <c r="AJ442" s="42">
        <f t="shared" si="419"/>
        <v>0</v>
      </c>
      <c r="AK442" s="42">
        <f t="shared" si="419"/>
        <v>0</v>
      </c>
      <c r="AL442" s="42">
        <f t="shared" si="419"/>
        <v>25</v>
      </c>
      <c r="AM442" s="43">
        <f t="shared" si="419"/>
        <v>0</v>
      </c>
      <c r="AN442" s="61">
        <f>SUM(AF442:AM442)</f>
        <v>95</v>
      </c>
      <c r="AP442" s="61">
        <f>SUM(J442+T442+AD442+AN442)</f>
        <v>237</v>
      </c>
    </row>
    <row r="443" spans="1:42" ht="15.75" customHeight="1">
      <c r="A443" s="48" t="s">
        <v>29</v>
      </c>
      <c r="B443" s="45">
        <f t="shared" ref="B443:J443" si="420">SUM(B439:B442)</f>
        <v>31</v>
      </c>
      <c r="C443" s="46">
        <f t="shared" si="420"/>
        <v>2</v>
      </c>
      <c r="D443" s="46">
        <f t="shared" si="420"/>
        <v>2</v>
      </c>
      <c r="E443" s="46">
        <f t="shared" si="420"/>
        <v>0</v>
      </c>
      <c r="F443" s="46">
        <f t="shared" si="420"/>
        <v>0</v>
      </c>
      <c r="G443" s="46">
        <f t="shared" si="420"/>
        <v>0</v>
      </c>
      <c r="H443" s="46">
        <f t="shared" si="420"/>
        <v>35</v>
      </c>
      <c r="I443" s="47">
        <f t="shared" si="420"/>
        <v>0</v>
      </c>
      <c r="J443" s="48">
        <f t="shared" si="420"/>
        <v>70</v>
      </c>
      <c r="L443" s="45">
        <f t="shared" ref="L443:T443" si="421">SUM(L439:L442)</f>
        <v>0</v>
      </c>
      <c r="M443" s="46">
        <f t="shared" si="421"/>
        <v>0</v>
      </c>
      <c r="N443" s="46">
        <f t="shared" si="421"/>
        <v>0</v>
      </c>
      <c r="O443" s="46">
        <f t="shared" si="421"/>
        <v>0</v>
      </c>
      <c r="P443" s="46">
        <f t="shared" si="421"/>
        <v>0</v>
      </c>
      <c r="Q443" s="46">
        <f t="shared" si="421"/>
        <v>0</v>
      </c>
      <c r="R443" s="46">
        <f t="shared" si="421"/>
        <v>0</v>
      </c>
      <c r="S443" s="47">
        <f t="shared" si="421"/>
        <v>0</v>
      </c>
      <c r="T443" s="48">
        <f t="shared" si="421"/>
        <v>0</v>
      </c>
      <c r="V443" s="45">
        <f t="shared" ref="V443:AD443" si="422">SUM(V439:V442)</f>
        <v>327</v>
      </c>
      <c r="W443" s="46">
        <f t="shared" si="422"/>
        <v>75</v>
      </c>
      <c r="X443" s="46">
        <f t="shared" si="422"/>
        <v>5</v>
      </c>
      <c r="Y443" s="46">
        <f t="shared" si="422"/>
        <v>1</v>
      </c>
      <c r="Z443" s="46">
        <f t="shared" si="422"/>
        <v>3</v>
      </c>
      <c r="AA443" s="46">
        <f t="shared" si="422"/>
        <v>7</v>
      </c>
      <c r="AB443" s="46">
        <f t="shared" si="422"/>
        <v>20</v>
      </c>
      <c r="AC443" s="47">
        <f t="shared" si="422"/>
        <v>0</v>
      </c>
      <c r="AD443" s="48">
        <f t="shared" si="422"/>
        <v>438</v>
      </c>
      <c r="AF443" s="45">
        <f t="shared" ref="AF443:AN443" si="423">SUM(AF439:AF442)</f>
        <v>242</v>
      </c>
      <c r="AG443" s="46">
        <f t="shared" si="423"/>
        <v>32</v>
      </c>
      <c r="AH443" s="46">
        <f t="shared" si="423"/>
        <v>7</v>
      </c>
      <c r="AI443" s="46">
        <f t="shared" si="423"/>
        <v>0</v>
      </c>
      <c r="AJ443" s="46">
        <f t="shared" si="423"/>
        <v>5</v>
      </c>
      <c r="AK443" s="46">
        <f t="shared" si="423"/>
        <v>2</v>
      </c>
      <c r="AL443" s="46">
        <f t="shared" si="423"/>
        <v>96</v>
      </c>
      <c r="AM443" s="47">
        <f t="shared" si="423"/>
        <v>0</v>
      </c>
      <c r="AN443" s="48">
        <f t="shared" si="423"/>
        <v>384</v>
      </c>
      <c r="AP443" s="48">
        <f>SUM(AP439:AP442)</f>
        <v>892</v>
      </c>
    </row>
    <row r="444" spans="1:42" ht="15.75" customHeight="1">
      <c r="A444" s="56">
        <v>0.66666666666666663</v>
      </c>
      <c r="B444" s="32">
        <f t="shared" ref="B444:I447" si="424">SUM(B64+B140+B216+B292)</f>
        <v>9</v>
      </c>
      <c r="C444" s="33">
        <f t="shared" si="424"/>
        <v>2</v>
      </c>
      <c r="D444" s="33">
        <f t="shared" si="424"/>
        <v>0</v>
      </c>
      <c r="E444" s="33">
        <f t="shared" si="424"/>
        <v>0</v>
      </c>
      <c r="F444" s="33">
        <f t="shared" si="424"/>
        <v>0</v>
      </c>
      <c r="G444" s="33">
        <f t="shared" si="424"/>
        <v>0</v>
      </c>
      <c r="H444" s="33">
        <f t="shared" si="424"/>
        <v>15</v>
      </c>
      <c r="I444" s="34">
        <f t="shared" si="424"/>
        <v>0</v>
      </c>
      <c r="J444" s="57">
        <f>SUM(B444:I444)</f>
        <v>26</v>
      </c>
      <c r="L444" s="32">
        <f t="shared" ref="L444:S447" si="425">SUM(L64+L140+L216+L292)</f>
        <v>0</v>
      </c>
      <c r="M444" s="33">
        <f t="shared" si="425"/>
        <v>0</v>
      </c>
      <c r="N444" s="33">
        <f t="shared" si="425"/>
        <v>0</v>
      </c>
      <c r="O444" s="33">
        <f t="shared" si="425"/>
        <v>0</v>
      </c>
      <c r="P444" s="33">
        <f t="shared" si="425"/>
        <v>0</v>
      </c>
      <c r="Q444" s="33">
        <f t="shared" si="425"/>
        <v>0</v>
      </c>
      <c r="R444" s="33">
        <f t="shared" si="425"/>
        <v>0</v>
      </c>
      <c r="S444" s="34">
        <f t="shared" si="425"/>
        <v>0</v>
      </c>
      <c r="T444" s="57">
        <f>SUM(L444:S444)</f>
        <v>0</v>
      </c>
      <c r="V444" s="32">
        <f t="shared" ref="V444:AC447" si="426">SUM(V64+V140+V216+V292)</f>
        <v>116</v>
      </c>
      <c r="W444" s="33">
        <f t="shared" si="426"/>
        <v>17</v>
      </c>
      <c r="X444" s="33">
        <f t="shared" si="426"/>
        <v>1</v>
      </c>
      <c r="Y444" s="33">
        <f t="shared" si="426"/>
        <v>0</v>
      </c>
      <c r="Z444" s="33">
        <f t="shared" si="426"/>
        <v>1</v>
      </c>
      <c r="AA444" s="33">
        <f t="shared" si="426"/>
        <v>6</v>
      </c>
      <c r="AB444" s="33">
        <f t="shared" si="426"/>
        <v>6</v>
      </c>
      <c r="AC444" s="34">
        <f t="shared" si="426"/>
        <v>0</v>
      </c>
      <c r="AD444" s="57">
        <f>SUM(V444:AC444)</f>
        <v>147</v>
      </c>
      <c r="AF444" s="32">
        <f t="shared" ref="AF444:AM447" si="427">SUM(AF64+AF140+AF216+AF292)</f>
        <v>72</v>
      </c>
      <c r="AG444" s="33">
        <f t="shared" si="427"/>
        <v>3</v>
      </c>
      <c r="AH444" s="33">
        <f t="shared" si="427"/>
        <v>4</v>
      </c>
      <c r="AI444" s="33">
        <f t="shared" si="427"/>
        <v>0</v>
      </c>
      <c r="AJ444" s="33">
        <f t="shared" si="427"/>
        <v>0</v>
      </c>
      <c r="AK444" s="33">
        <f t="shared" si="427"/>
        <v>1</v>
      </c>
      <c r="AL444" s="33">
        <f t="shared" si="427"/>
        <v>26</v>
      </c>
      <c r="AM444" s="34">
        <f t="shared" si="427"/>
        <v>0</v>
      </c>
      <c r="AN444" s="57">
        <f>SUM(AF444:AM444)</f>
        <v>106</v>
      </c>
      <c r="AP444" s="57">
        <f>SUM(J444+T444+AD444+AN444)</f>
        <v>279</v>
      </c>
    </row>
    <row r="445" spans="1:42" ht="15.75" customHeight="1">
      <c r="A445" s="58">
        <v>0.67708333333333337</v>
      </c>
      <c r="B445" s="36">
        <f t="shared" si="424"/>
        <v>14</v>
      </c>
      <c r="C445" s="37">
        <f t="shared" si="424"/>
        <v>0</v>
      </c>
      <c r="D445" s="37">
        <f t="shared" si="424"/>
        <v>0</v>
      </c>
      <c r="E445" s="37">
        <f t="shared" si="424"/>
        <v>0</v>
      </c>
      <c r="F445" s="37">
        <f t="shared" si="424"/>
        <v>0</v>
      </c>
      <c r="G445" s="37">
        <f t="shared" si="424"/>
        <v>0</v>
      </c>
      <c r="H445" s="37">
        <f t="shared" si="424"/>
        <v>18</v>
      </c>
      <c r="I445" s="40">
        <f t="shared" si="424"/>
        <v>0</v>
      </c>
      <c r="J445" s="59">
        <f>SUM(B445:I445)</f>
        <v>32</v>
      </c>
      <c r="L445" s="36">
        <f t="shared" si="425"/>
        <v>0</v>
      </c>
      <c r="M445" s="37">
        <f t="shared" si="425"/>
        <v>0</v>
      </c>
      <c r="N445" s="37">
        <f t="shared" si="425"/>
        <v>0</v>
      </c>
      <c r="O445" s="37">
        <f t="shared" si="425"/>
        <v>0</v>
      </c>
      <c r="P445" s="37">
        <f t="shared" si="425"/>
        <v>0</v>
      </c>
      <c r="Q445" s="37">
        <f t="shared" si="425"/>
        <v>0</v>
      </c>
      <c r="R445" s="37">
        <f t="shared" si="425"/>
        <v>0</v>
      </c>
      <c r="S445" s="40">
        <f t="shared" si="425"/>
        <v>0</v>
      </c>
      <c r="T445" s="59">
        <f>SUM(L445:S445)</f>
        <v>0</v>
      </c>
      <c r="V445" s="36">
        <f t="shared" si="426"/>
        <v>101</v>
      </c>
      <c r="W445" s="37">
        <f t="shared" si="426"/>
        <v>19</v>
      </c>
      <c r="X445" s="37">
        <f t="shared" si="426"/>
        <v>2</v>
      </c>
      <c r="Y445" s="37">
        <f t="shared" si="426"/>
        <v>0</v>
      </c>
      <c r="Z445" s="37">
        <f t="shared" si="426"/>
        <v>0</v>
      </c>
      <c r="AA445" s="37">
        <f t="shared" si="426"/>
        <v>2</v>
      </c>
      <c r="AB445" s="37">
        <f t="shared" si="426"/>
        <v>11</v>
      </c>
      <c r="AC445" s="40">
        <f t="shared" si="426"/>
        <v>0</v>
      </c>
      <c r="AD445" s="59">
        <f>SUM(V445:AC445)</f>
        <v>135</v>
      </c>
      <c r="AF445" s="36">
        <f t="shared" si="427"/>
        <v>84</v>
      </c>
      <c r="AG445" s="37">
        <f t="shared" si="427"/>
        <v>14</v>
      </c>
      <c r="AH445" s="37">
        <f t="shared" si="427"/>
        <v>0</v>
      </c>
      <c r="AI445" s="37">
        <f t="shared" si="427"/>
        <v>0</v>
      </c>
      <c r="AJ445" s="37">
        <f t="shared" si="427"/>
        <v>0</v>
      </c>
      <c r="AK445" s="37">
        <f t="shared" si="427"/>
        <v>2</v>
      </c>
      <c r="AL445" s="37">
        <f t="shared" si="427"/>
        <v>32</v>
      </c>
      <c r="AM445" s="40">
        <f t="shared" si="427"/>
        <v>0</v>
      </c>
      <c r="AN445" s="59">
        <f>SUM(AF445:AM445)</f>
        <v>132</v>
      </c>
      <c r="AP445" s="59">
        <f>SUM(J445+T445+AD445+AN445)</f>
        <v>299</v>
      </c>
    </row>
    <row r="446" spans="1:42" ht="15.75" customHeight="1">
      <c r="A446" s="58">
        <v>0.6875</v>
      </c>
      <c r="B446" s="36">
        <f t="shared" si="424"/>
        <v>11</v>
      </c>
      <c r="C446" s="37">
        <f t="shared" si="424"/>
        <v>2</v>
      </c>
      <c r="D446" s="37">
        <f t="shared" si="424"/>
        <v>0</v>
      </c>
      <c r="E446" s="37">
        <f t="shared" si="424"/>
        <v>0</v>
      </c>
      <c r="F446" s="37">
        <f t="shared" si="424"/>
        <v>0</v>
      </c>
      <c r="G446" s="37">
        <f t="shared" si="424"/>
        <v>0</v>
      </c>
      <c r="H446" s="37">
        <f t="shared" si="424"/>
        <v>14</v>
      </c>
      <c r="I446" s="40">
        <f t="shared" si="424"/>
        <v>0</v>
      </c>
      <c r="J446" s="59">
        <f>SUM(B446:I446)</f>
        <v>27</v>
      </c>
      <c r="L446" s="36">
        <f t="shared" si="425"/>
        <v>0</v>
      </c>
      <c r="M446" s="37">
        <f t="shared" si="425"/>
        <v>0</v>
      </c>
      <c r="N446" s="37">
        <f t="shared" si="425"/>
        <v>0</v>
      </c>
      <c r="O446" s="37">
        <f t="shared" si="425"/>
        <v>0</v>
      </c>
      <c r="P446" s="37">
        <f t="shared" si="425"/>
        <v>0</v>
      </c>
      <c r="Q446" s="37">
        <f t="shared" si="425"/>
        <v>0</v>
      </c>
      <c r="R446" s="37">
        <f t="shared" si="425"/>
        <v>0</v>
      </c>
      <c r="S446" s="40">
        <f t="shared" si="425"/>
        <v>0</v>
      </c>
      <c r="T446" s="59">
        <f>SUM(L446:S446)</f>
        <v>0</v>
      </c>
      <c r="V446" s="36">
        <f t="shared" si="426"/>
        <v>122</v>
      </c>
      <c r="W446" s="37">
        <f t="shared" si="426"/>
        <v>26</v>
      </c>
      <c r="X446" s="37">
        <f t="shared" si="426"/>
        <v>0</v>
      </c>
      <c r="Y446" s="37">
        <f t="shared" si="426"/>
        <v>0</v>
      </c>
      <c r="Z446" s="37">
        <f t="shared" si="426"/>
        <v>0</v>
      </c>
      <c r="AA446" s="37">
        <f t="shared" si="426"/>
        <v>4</v>
      </c>
      <c r="AB446" s="37">
        <f t="shared" si="426"/>
        <v>11</v>
      </c>
      <c r="AC446" s="40">
        <f t="shared" si="426"/>
        <v>0</v>
      </c>
      <c r="AD446" s="59">
        <f>SUM(V446:AC446)</f>
        <v>163</v>
      </c>
      <c r="AF446" s="36">
        <f t="shared" si="427"/>
        <v>97</v>
      </c>
      <c r="AG446" s="37">
        <f t="shared" si="427"/>
        <v>9</v>
      </c>
      <c r="AH446" s="37">
        <f t="shared" si="427"/>
        <v>0</v>
      </c>
      <c r="AI446" s="37">
        <f t="shared" si="427"/>
        <v>0</v>
      </c>
      <c r="AJ446" s="37">
        <f t="shared" si="427"/>
        <v>1</v>
      </c>
      <c r="AK446" s="37">
        <f t="shared" si="427"/>
        <v>2</v>
      </c>
      <c r="AL446" s="37">
        <f t="shared" si="427"/>
        <v>41</v>
      </c>
      <c r="AM446" s="40">
        <f t="shared" si="427"/>
        <v>0</v>
      </c>
      <c r="AN446" s="59">
        <f>SUM(AF446:AM446)</f>
        <v>150</v>
      </c>
      <c r="AP446" s="59">
        <f>SUM(J446+T446+AD446+AN446)</f>
        <v>340</v>
      </c>
    </row>
    <row r="447" spans="1:42" ht="15.75" customHeight="1">
      <c r="A447" s="60">
        <v>0.69791666666666663</v>
      </c>
      <c r="B447" s="41">
        <f t="shared" si="424"/>
        <v>30</v>
      </c>
      <c r="C447" s="42">
        <f t="shared" si="424"/>
        <v>1</v>
      </c>
      <c r="D447" s="42">
        <f t="shared" si="424"/>
        <v>0</v>
      </c>
      <c r="E447" s="42">
        <f t="shared" si="424"/>
        <v>0</v>
      </c>
      <c r="F447" s="42">
        <f t="shared" si="424"/>
        <v>0</v>
      </c>
      <c r="G447" s="42">
        <f t="shared" si="424"/>
        <v>0</v>
      </c>
      <c r="H447" s="42">
        <f t="shared" si="424"/>
        <v>10</v>
      </c>
      <c r="I447" s="43">
        <f t="shared" si="424"/>
        <v>0</v>
      </c>
      <c r="J447" s="61">
        <f>SUM(B447:I447)</f>
        <v>41</v>
      </c>
      <c r="L447" s="41">
        <f t="shared" si="425"/>
        <v>0</v>
      </c>
      <c r="M447" s="42">
        <f t="shared" si="425"/>
        <v>0</v>
      </c>
      <c r="N447" s="42">
        <f t="shared" si="425"/>
        <v>0</v>
      </c>
      <c r="O447" s="42">
        <f t="shared" si="425"/>
        <v>0</v>
      </c>
      <c r="P447" s="42">
        <f t="shared" si="425"/>
        <v>0</v>
      </c>
      <c r="Q447" s="42">
        <f t="shared" si="425"/>
        <v>0</v>
      </c>
      <c r="R447" s="42">
        <f t="shared" si="425"/>
        <v>0</v>
      </c>
      <c r="S447" s="43">
        <f t="shared" si="425"/>
        <v>0</v>
      </c>
      <c r="T447" s="61">
        <f>SUM(L447:S447)</f>
        <v>0</v>
      </c>
      <c r="V447" s="41">
        <f t="shared" si="426"/>
        <v>145</v>
      </c>
      <c r="W447" s="42">
        <f t="shared" si="426"/>
        <v>19</v>
      </c>
      <c r="X447" s="42">
        <f t="shared" si="426"/>
        <v>0</v>
      </c>
      <c r="Y447" s="42">
        <f t="shared" si="426"/>
        <v>0</v>
      </c>
      <c r="Z447" s="42">
        <f t="shared" si="426"/>
        <v>1</v>
      </c>
      <c r="AA447" s="42">
        <f t="shared" si="426"/>
        <v>3</v>
      </c>
      <c r="AB447" s="42">
        <f t="shared" si="426"/>
        <v>13</v>
      </c>
      <c r="AC447" s="43">
        <f t="shared" si="426"/>
        <v>1</v>
      </c>
      <c r="AD447" s="61">
        <f>SUM(V447:AC447)</f>
        <v>182</v>
      </c>
      <c r="AF447" s="41">
        <f t="shared" si="427"/>
        <v>76</v>
      </c>
      <c r="AG447" s="42">
        <f t="shared" si="427"/>
        <v>6</v>
      </c>
      <c r="AH447" s="42">
        <f t="shared" si="427"/>
        <v>2</v>
      </c>
      <c r="AI447" s="42">
        <f t="shared" si="427"/>
        <v>2</v>
      </c>
      <c r="AJ447" s="42">
        <f t="shared" si="427"/>
        <v>2</v>
      </c>
      <c r="AK447" s="42">
        <f t="shared" si="427"/>
        <v>3</v>
      </c>
      <c r="AL447" s="42">
        <f t="shared" si="427"/>
        <v>3</v>
      </c>
      <c r="AM447" s="43">
        <f t="shared" si="427"/>
        <v>0</v>
      </c>
      <c r="AN447" s="61">
        <f>SUM(AF447:AM447)</f>
        <v>94</v>
      </c>
      <c r="AP447" s="61">
        <f>SUM(J447+T447+AD447+AN447)</f>
        <v>317</v>
      </c>
    </row>
    <row r="448" spans="1:42" ht="15.75" customHeight="1">
      <c r="A448" s="48" t="s">
        <v>29</v>
      </c>
      <c r="B448" s="45">
        <f t="shared" ref="B448:J448" si="428">SUM(B444:B447)</f>
        <v>64</v>
      </c>
      <c r="C448" s="46">
        <f t="shared" si="428"/>
        <v>5</v>
      </c>
      <c r="D448" s="46">
        <f t="shared" si="428"/>
        <v>0</v>
      </c>
      <c r="E448" s="46">
        <f t="shared" si="428"/>
        <v>0</v>
      </c>
      <c r="F448" s="46">
        <f t="shared" si="428"/>
        <v>0</v>
      </c>
      <c r="G448" s="46">
        <f t="shared" si="428"/>
        <v>0</v>
      </c>
      <c r="H448" s="46">
        <f t="shared" si="428"/>
        <v>57</v>
      </c>
      <c r="I448" s="47">
        <f t="shared" si="428"/>
        <v>0</v>
      </c>
      <c r="J448" s="48">
        <f t="shared" si="428"/>
        <v>126</v>
      </c>
      <c r="L448" s="45">
        <f t="shared" ref="L448:T448" si="429">SUM(L444:L447)</f>
        <v>0</v>
      </c>
      <c r="M448" s="46">
        <f t="shared" si="429"/>
        <v>0</v>
      </c>
      <c r="N448" s="46">
        <f t="shared" si="429"/>
        <v>0</v>
      </c>
      <c r="O448" s="46">
        <f t="shared" si="429"/>
        <v>0</v>
      </c>
      <c r="P448" s="46">
        <f t="shared" si="429"/>
        <v>0</v>
      </c>
      <c r="Q448" s="46">
        <f t="shared" si="429"/>
        <v>0</v>
      </c>
      <c r="R448" s="46">
        <f t="shared" si="429"/>
        <v>0</v>
      </c>
      <c r="S448" s="47">
        <f t="shared" si="429"/>
        <v>0</v>
      </c>
      <c r="T448" s="48">
        <f t="shared" si="429"/>
        <v>0</v>
      </c>
      <c r="V448" s="45">
        <f t="shared" ref="V448:AD448" si="430">SUM(V444:V447)</f>
        <v>484</v>
      </c>
      <c r="W448" s="46">
        <f t="shared" si="430"/>
        <v>81</v>
      </c>
      <c r="X448" s="46">
        <f t="shared" si="430"/>
        <v>3</v>
      </c>
      <c r="Y448" s="46">
        <f t="shared" si="430"/>
        <v>0</v>
      </c>
      <c r="Z448" s="46">
        <f t="shared" si="430"/>
        <v>2</v>
      </c>
      <c r="AA448" s="46">
        <f t="shared" si="430"/>
        <v>15</v>
      </c>
      <c r="AB448" s="46">
        <f t="shared" si="430"/>
        <v>41</v>
      </c>
      <c r="AC448" s="47">
        <f t="shared" si="430"/>
        <v>1</v>
      </c>
      <c r="AD448" s="48">
        <f t="shared" si="430"/>
        <v>627</v>
      </c>
      <c r="AF448" s="45">
        <f t="shared" ref="AF448:AN448" si="431">SUM(AF444:AF447)</f>
        <v>329</v>
      </c>
      <c r="AG448" s="46">
        <f t="shared" si="431"/>
        <v>32</v>
      </c>
      <c r="AH448" s="46">
        <f t="shared" si="431"/>
        <v>6</v>
      </c>
      <c r="AI448" s="46">
        <f t="shared" si="431"/>
        <v>2</v>
      </c>
      <c r="AJ448" s="46">
        <f t="shared" si="431"/>
        <v>3</v>
      </c>
      <c r="AK448" s="46">
        <f t="shared" si="431"/>
        <v>8</v>
      </c>
      <c r="AL448" s="46">
        <f t="shared" si="431"/>
        <v>102</v>
      </c>
      <c r="AM448" s="47">
        <f t="shared" si="431"/>
        <v>0</v>
      </c>
      <c r="AN448" s="48">
        <f t="shared" si="431"/>
        <v>482</v>
      </c>
      <c r="AP448" s="48">
        <f>SUM(AP444:AP447)</f>
        <v>1235</v>
      </c>
    </row>
    <row r="449" spans="1:42" ht="15.75" customHeight="1">
      <c r="A449" s="56">
        <v>0.70833333333333337</v>
      </c>
      <c r="B449" s="32">
        <f t="shared" ref="B449:I452" si="432">SUM(B69+B145+B221+B297)</f>
        <v>12</v>
      </c>
      <c r="C449" s="33">
        <f t="shared" si="432"/>
        <v>5</v>
      </c>
      <c r="D449" s="33">
        <f t="shared" si="432"/>
        <v>0</v>
      </c>
      <c r="E449" s="33">
        <f t="shared" si="432"/>
        <v>0</v>
      </c>
      <c r="F449" s="33">
        <f t="shared" si="432"/>
        <v>0</v>
      </c>
      <c r="G449" s="33">
        <f t="shared" si="432"/>
        <v>0</v>
      </c>
      <c r="H449" s="33">
        <f t="shared" si="432"/>
        <v>11</v>
      </c>
      <c r="I449" s="34">
        <f t="shared" si="432"/>
        <v>0</v>
      </c>
      <c r="J449" s="57">
        <f>SUM(B449:I449)</f>
        <v>28</v>
      </c>
      <c r="L449" s="32">
        <f t="shared" ref="L449:S452" si="433">SUM(L69+L145+L221+L297)</f>
        <v>0</v>
      </c>
      <c r="M449" s="33">
        <f t="shared" si="433"/>
        <v>0</v>
      </c>
      <c r="N449" s="33">
        <f t="shared" si="433"/>
        <v>0</v>
      </c>
      <c r="O449" s="33">
        <f t="shared" si="433"/>
        <v>0</v>
      </c>
      <c r="P449" s="33">
        <f t="shared" si="433"/>
        <v>0</v>
      </c>
      <c r="Q449" s="33">
        <f t="shared" si="433"/>
        <v>0</v>
      </c>
      <c r="R449" s="33">
        <f t="shared" si="433"/>
        <v>0</v>
      </c>
      <c r="S449" s="34">
        <f t="shared" si="433"/>
        <v>0</v>
      </c>
      <c r="T449" s="57">
        <f>SUM(L449:S449)</f>
        <v>0</v>
      </c>
      <c r="V449" s="32">
        <f t="shared" ref="V449:AC452" si="434">SUM(V69+V145+V221+V297)</f>
        <v>121</v>
      </c>
      <c r="W449" s="33">
        <f t="shared" si="434"/>
        <v>11</v>
      </c>
      <c r="X449" s="33">
        <f t="shared" si="434"/>
        <v>1</v>
      </c>
      <c r="Y449" s="33">
        <f t="shared" si="434"/>
        <v>0</v>
      </c>
      <c r="Z449" s="33">
        <f t="shared" si="434"/>
        <v>1</v>
      </c>
      <c r="AA449" s="33">
        <f t="shared" si="434"/>
        <v>5</v>
      </c>
      <c r="AB449" s="33">
        <f t="shared" si="434"/>
        <v>11</v>
      </c>
      <c r="AC449" s="34">
        <f t="shared" si="434"/>
        <v>0</v>
      </c>
      <c r="AD449" s="57">
        <f>SUM(V449:AC449)</f>
        <v>150</v>
      </c>
      <c r="AF449" s="32">
        <f t="shared" ref="AF449:AM452" si="435">SUM(AF69+AF145+AF221+AF297)</f>
        <v>120</v>
      </c>
      <c r="AG449" s="33">
        <f t="shared" si="435"/>
        <v>9</v>
      </c>
      <c r="AH449" s="33">
        <f t="shared" si="435"/>
        <v>1</v>
      </c>
      <c r="AI449" s="33">
        <f t="shared" si="435"/>
        <v>2</v>
      </c>
      <c r="AJ449" s="33">
        <f t="shared" si="435"/>
        <v>0</v>
      </c>
      <c r="AK449" s="33">
        <f t="shared" si="435"/>
        <v>10</v>
      </c>
      <c r="AL449" s="33">
        <f t="shared" si="435"/>
        <v>50</v>
      </c>
      <c r="AM449" s="34">
        <f t="shared" si="435"/>
        <v>1</v>
      </c>
      <c r="AN449" s="57">
        <f>SUM(AF449:AM449)</f>
        <v>193</v>
      </c>
      <c r="AP449" s="57">
        <f>SUM(J449+T449+AD449+AN449)</f>
        <v>371</v>
      </c>
    </row>
    <row r="450" spans="1:42" ht="15.75" customHeight="1">
      <c r="A450" s="58">
        <v>0.71875</v>
      </c>
      <c r="B450" s="36">
        <f t="shared" si="432"/>
        <v>7</v>
      </c>
      <c r="C450" s="37">
        <f t="shared" si="432"/>
        <v>1</v>
      </c>
      <c r="D450" s="37">
        <f t="shared" si="432"/>
        <v>0</v>
      </c>
      <c r="E450" s="37">
        <f t="shared" si="432"/>
        <v>0</v>
      </c>
      <c r="F450" s="37">
        <f t="shared" si="432"/>
        <v>0</v>
      </c>
      <c r="G450" s="37">
        <f t="shared" si="432"/>
        <v>1</v>
      </c>
      <c r="H450" s="37">
        <f t="shared" si="432"/>
        <v>29</v>
      </c>
      <c r="I450" s="40">
        <f t="shared" si="432"/>
        <v>0</v>
      </c>
      <c r="J450" s="59">
        <f>SUM(B450:I450)</f>
        <v>38</v>
      </c>
      <c r="L450" s="36">
        <f t="shared" si="433"/>
        <v>0</v>
      </c>
      <c r="M450" s="37">
        <f t="shared" si="433"/>
        <v>0</v>
      </c>
      <c r="N450" s="37">
        <f t="shared" si="433"/>
        <v>0</v>
      </c>
      <c r="O450" s="37">
        <f t="shared" si="433"/>
        <v>0</v>
      </c>
      <c r="P450" s="37">
        <f t="shared" si="433"/>
        <v>0</v>
      </c>
      <c r="Q450" s="37">
        <f t="shared" si="433"/>
        <v>0</v>
      </c>
      <c r="R450" s="37">
        <f t="shared" si="433"/>
        <v>0</v>
      </c>
      <c r="S450" s="40">
        <f t="shared" si="433"/>
        <v>0</v>
      </c>
      <c r="T450" s="59">
        <f>SUM(L450:S450)</f>
        <v>0</v>
      </c>
      <c r="V450" s="36">
        <f t="shared" si="434"/>
        <v>127</v>
      </c>
      <c r="W450" s="37">
        <f t="shared" si="434"/>
        <v>8</v>
      </c>
      <c r="X450" s="37">
        <f t="shared" si="434"/>
        <v>2</v>
      </c>
      <c r="Y450" s="37">
        <f t="shared" si="434"/>
        <v>0</v>
      </c>
      <c r="Z450" s="37">
        <f t="shared" si="434"/>
        <v>1</v>
      </c>
      <c r="AA450" s="37">
        <f t="shared" si="434"/>
        <v>0</v>
      </c>
      <c r="AB450" s="37">
        <f t="shared" si="434"/>
        <v>17</v>
      </c>
      <c r="AC450" s="40">
        <f t="shared" si="434"/>
        <v>0</v>
      </c>
      <c r="AD450" s="59">
        <f>SUM(V450:AC450)</f>
        <v>155</v>
      </c>
      <c r="AF450" s="36">
        <f t="shared" si="435"/>
        <v>129</v>
      </c>
      <c r="AG450" s="37">
        <f t="shared" si="435"/>
        <v>6</v>
      </c>
      <c r="AH450" s="37">
        <f t="shared" si="435"/>
        <v>1</v>
      </c>
      <c r="AI450" s="37">
        <f t="shared" si="435"/>
        <v>0</v>
      </c>
      <c r="AJ450" s="37">
        <f t="shared" si="435"/>
        <v>0</v>
      </c>
      <c r="AK450" s="37">
        <f t="shared" si="435"/>
        <v>3</v>
      </c>
      <c r="AL450" s="37">
        <f t="shared" si="435"/>
        <v>88</v>
      </c>
      <c r="AM450" s="40">
        <f t="shared" si="435"/>
        <v>1</v>
      </c>
      <c r="AN450" s="59">
        <f>SUM(AF450:AM450)</f>
        <v>228</v>
      </c>
      <c r="AP450" s="59">
        <f>SUM(J450+T450+AD450+AN450)</f>
        <v>421</v>
      </c>
    </row>
    <row r="451" spans="1:42" ht="15.75" customHeight="1">
      <c r="A451" s="58">
        <v>0.72916666666666663</v>
      </c>
      <c r="B451" s="36">
        <f t="shared" si="432"/>
        <v>7</v>
      </c>
      <c r="C451" s="37">
        <f t="shared" si="432"/>
        <v>1</v>
      </c>
      <c r="D451" s="37">
        <f t="shared" si="432"/>
        <v>0</v>
      </c>
      <c r="E451" s="37">
        <f t="shared" si="432"/>
        <v>0</v>
      </c>
      <c r="F451" s="37">
        <f t="shared" si="432"/>
        <v>0</v>
      </c>
      <c r="G451" s="37">
        <f t="shared" si="432"/>
        <v>1</v>
      </c>
      <c r="H451" s="37">
        <f t="shared" si="432"/>
        <v>19</v>
      </c>
      <c r="I451" s="40">
        <f t="shared" si="432"/>
        <v>0</v>
      </c>
      <c r="J451" s="59">
        <f>SUM(B451:I451)</f>
        <v>28</v>
      </c>
      <c r="L451" s="36">
        <f t="shared" si="433"/>
        <v>0</v>
      </c>
      <c r="M451" s="37">
        <f t="shared" si="433"/>
        <v>0</v>
      </c>
      <c r="N451" s="37">
        <f t="shared" si="433"/>
        <v>0</v>
      </c>
      <c r="O451" s="37">
        <f t="shared" si="433"/>
        <v>0</v>
      </c>
      <c r="P451" s="37">
        <f t="shared" si="433"/>
        <v>0</v>
      </c>
      <c r="Q451" s="37">
        <f t="shared" si="433"/>
        <v>0</v>
      </c>
      <c r="R451" s="37">
        <f t="shared" si="433"/>
        <v>0</v>
      </c>
      <c r="S451" s="40">
        <f t="shared" si="433"/>
        <v>0</v>
      </c>
      <c r="T451" s="59">
        <f>SUM(L451:S451)</f>
        <v>0</v>
      </c>
      <c r="V451" s="36">
        <f t="shared" si="434"/>
        <v>120</v>
      </c>
      <c r="W451" s="37">
        <f t="shared" si="434"/>
        <v>9</v>
      </c>
      <c r="X451" s="37">
        <f t="shared" si="434"/>
        <v>1</v>
      </c>
      <c r="Y451" s="37">
        <f t="shared" si="434"/>
        <v>0</v>
      </c>
      <c r="Z451" s="37">
        <f t="shared" si="434"/>
        <v>2</v>
      </c>
      <c r="AA451" s="37">
        <f t="shared" si="434"/>
        <v>6</v>
      </c>
      <c r="AB451" s="37">
        <f t="shared" si="434"/>
        <v>24</v>
      </c>
      <c r="AC451" s="40">
        <f t="shared" si="434"/>
        <v>0</v>
      </c>
      <c r="AD451" s="59">
        <f>SUM(V451:AC451)</f>
        <v>162</v>
      </c>
      <c r="AF451" s="36">
        <f t="shared" si="435"/>
        <v>107</v>
      </c>
      <c r="AG451" s="37">
        <f t="shared" si="435"/>
        <v>7</v>
      </c>
      <c r="AH451" s="37">
        <f t="shared" si="435"/>
        <v>0</v>
      </c>
      <c r="AI451" s="37">
        <f t="shared" si="435"/>
        <v>0</v>
      </c>
      <c r="AJ451" s="37">
        <f t="shared" si="435"/>
        <v>1</v>
      </c>
      <c r="AK451" s="37">
        <f t="shared" si="435"/>
        <v>4</v>
      </c>
      <c r="AL451" s="37">
        <f t="shared" si="435"/>
        <v>72</v>
      </c>
      <c r="AM451" s="40">
        <f t="shared" si="435"/>
        <v>1</v>
      </c>
      <c r="AN451" s="59">
        <f>SUM(AF451:AM451)</f>
        <v>192</v>
      </c>
      <c r="AP451" s="59">
        <f>SUM(J451+T451+AD451+AN451)</f>
        <v>382</v>
      </c>
    </row>
    <row r="452" spans="1:42" ht="15.75" customHeight="1">
      <c r="A452" s="60">
        <v>0.73958333333333337</v>
      </c>
      <c r="B452" s="41">
        <f t="shared" si="432"/>
        <v>11</v>
      </c>
      <c r="C452" s="42">
        <f t="shared" si="432"/>
        <v>2</v>
      </c>
      <c r="D452" s="42">
        <f t="shared" si="432"/>
        <v>0</v>
      </c>
      <c r="E452" s="42">
        <f t="shared" si="432"/>
        <v>0</v>
      </c>
      <c r="F452" s="42">
        <f t="shared" si="432"/>
        <v>0</v>
      </c>
      <c r="G452" s="42">
        <f t="shared" si="432"/>
        <v>0</v>
      </c>
      <c r="H452" s="42">
        <f t="shared" si="432"/>
        <v>25</v>
      </c>
      <c r="I452" s="43">
        <f t="shared" si="432"/>
        <v>0</v>
      </c>
      <c r="J452" s="61">
        <f>SUM(B452:I452)</f>
        <v>38</v>
      </c>
      <c r="L452" s="41">
        <f t="shared" si="433"/>
        <v>0</v>
      </c>
      <c r="M452" s="42">
        <f t="shared" si="433"/>
        <v>0</v>
      </c>
      <c r="N452" s="42">
        <f t="shared" si="433"/>
        <v>0</v>
      </c>
      <c r="O452" s="42">
        <f t="shared" si="433"/>
        <v>0</v>
      </c>
      <c r="P452" s="42">
        <f t="shared" si="433"/>
        <v>0</v>
      </c>
      <c r="Q452" s="42">
        <f t="shared" si="433"/>
        <v>0</v>
      </c>
      <c r="R452" s="42">
        <f t="shared" si="433"/>
        <v>0</v>
      </c>
      <c r="S452" s="43">
        <f t="shared" si="433"/>
        <v>0</v>
      </c>
      <c r="T452" s="61">
        <f>SUM(L452:S452)</f>
        <v>0</v>
      </c>
      <c r="V452" s="41">
        <f t="shared" si="434"/>
        <v>122</v>
      </c>
      <c r="W452" s="42">
        <f t="shared" si="434"/>
        <v>8</v>
      </c>
      <c r="X452" s="42">
        <f t="shared" si="434"/>
        <v>0</v>
      </c>
      <c r="Y452" s="42">
        <f t="shared" si="434"/>
        <v>0</v>
      </c>
      <c r="Z452" s="42">
        <f t="shared" si="434"/>
        <v>0</v>
      </c>
      <c r="AA452" s="42">
        <f t="shared" si="434"/>
        <v>3</v>
      </c>
      <c r="AB452" s="42">
        <f t="shared" si="434"/>
        <v>22</v>
      </c>
      <c r="AC452" s="43">
        <f t="shared" si="434"/>
        <v>0</v>
      </c>
      <c r="AD452" s="61">
        <f>SUM(V452:AC452)</f>
        <v>155</v>
      </c>
      <c r="AF452" s="41">
        <f t="shared" si="435"/>
        <v>130</v>
      </c>
      <c r="AG452" s="42">
        <f t="shared" si="435"/>
        <v>8</v>
      </c>
      <c r="AH452" s="42">
        <f t="shared" si="435"/>
        <v>0</v>
      </c>
      <c r="AI452" s="42">
        <f t="shared" si="435"/>
        <v>0</v>
      </c>
      <c r="AJ452" s="42">
        <f t="shared" si="435"/>
        <v>0</v>
      </c>
      <c r="AK452" s="42">
        <f t="shared" si="435"/>
        <v>5</v>
      </c>
      <c r="AL452" s="42">
        <f t="shared" si="435"/>
        <v>71</v>
      </c>
      <c r="AM452" s="43">
        <f t="shared" si="435"/>
        <v>1</v>
      </c>
      <c r="AN452" s="61">
        <f>SUM(AF452:AM452)</f>
        <v>215</v>
      </c>
      <c r="AP452" s="61">
        <f>SUM(J452+T452+AD452+AN452)</f>
        <v>408</v>
      </c>
    </row>
    <row r="453" spans="1:42" ht="15.75" customHeight="1">
      <c r="A453" s="48" t="s">
        <v>29</v>
      </c>
      <c r="B453" s="45">
        <f t="shared" ref="B453:J453" si="436">SUM(B449:B452)</f>
        <v>37</v>
      </c>
      <c r="C453" s="46">
        <f t="shared" si="436"/>
        <v>9</v>
      </c>
      <c r="D453" s="46">
        <f t="shared" si="436"/>
        <v>0</v>
      </c>
      <c r="E453" s="46">
        <f t="shared" si="436"/>
        <v>0</v>
      </c>
      <c r="F453" s="46">
        <f t="shared" si="436"/>
        <v>0</v>
      </c>
      <c r="G453" s="46">
        <f t="shared" si="436"/>
        <v>2</v>
      </c>
      <c r="H453" s="46">
        <f t="shared" si="436"/>
        <v>84</v>
      </c>
      <c r="I453" s="47">
        <f t="shared" si="436"/>
        <v>0</v>
      </c>
      <c r="J453" s="48">
        <f t="shared" si="436"/>
        <v>132</v>
      </c>
      <c r="L453" s="45">
        <f t="shared" ref="L453:T453" si="437">SUM(L449:L452)</f>
        <v>0</v>
      </c>
      <c r="M453" s="46">
        <f t="shared" si="437"/>
        <v>0</v>
      </c>
      <c r="N453" s="46">
        <f t="shared" si="437"/>
        <v>0</v>
      </c>
      <c r="O453" s="46">
        <f t="shared" si="437"/>
        <v>0</v>
      </c>
      <c r="P453" s="46">
        <f t="shared" si="437"/>
        <v>0</v>
      </c>
      <c r="Q453" s="46">
        <f t="shared" si="437"/>
        <v>0</v>
      </c>
      <c r="R453" s="46">
        <f t="shared" si="437"/>
        <v>0</v>
      </c>
      <c r="S453" s="47">
        <f t="shared" si="437"/>
        <v>0</v>
      </c>
      <c r="T453" s="48">
        <f t="shared" si="437"/>
        <v>0</v>
      </c>
      <c r="V453" s="45">
        <f t="shared" ref="V453:AD453" si="438">SUM(V449:V452)</f>
        <v>490</v>
      </c>
      <c r="W453" s="46">
        <f t="shared" si="438"/>
        <v>36</v>
      </c>
      <c r="X453" s="46">
        <f t="shared" si="438"/>
        <v>4</v>
      </c>
      <c r="Y453" s="46">
        <f t="shared" si="438"/>
        <v>0</v>
      </c>
      <c r="Z453" s="46">
        <f t="shared" si="438"/>
        <v>4</v>
      </c>
      <c r="AA453" s="46">
        <f t="shared" si="438"/>
        <v>14</v>
      </c>
      <c r="AB453" s="46">
        <f t="shared" si="438"/>
        <v>74</v>
      </c>
      <c r="AC453" s="47">
        <f t="shared" si="438"/>
        <v>0</v>
      </c>
      <c r="AD453" s="48">
        <f t="shared" si="438"/>
        <v>622</v>
      </c>
      <c r="AF453" s="45">
        <f t="shared" ref="AF453:AN453" si="439">SUM(AF449:AF452)</f>
        <v>486</v>
      </c>
      <c r="AG453" s="46">
        <f t="shared" si="439"/>
        <v>30</v>
      </c>
      <c r="AH453" s="46">
        <f t="shared" si="439"/>
        <v>2</v>
      </c>
      <c r="AI453" s="46">
        <f t="shared" si="439"/>
        <v>2</v>
      </c>
      <c r="AJ453" s="46">
        <f t="shared" si="439"/>
        <v>1</v>
      </c>
      <c r="AK453" s="46">
        <f t="shared" si="439"/>
        <v>22</v>
      </c>
      <c r="AL453" s="46">
        <f t="shared" si="439"/>
        <v>281</v>
      </c>
      <c r="AM453" s="47">
        <f t="shared" si="439"/>
        <v>4</v>
      </c>
      <c r="AN453" s="48">
        <f t="shared" si="439"/>
        <v>828</v>
      </c>
      <c r="AP453" s="48">
        <f>SUM(AP449:AP452)</f>
        <v>1582</v>
      </c>
    </row>
    <row r="454" spans="1:42" ht="15.75" customHeight="1">
      <c r="A454" s="56">
        <v>0.75</v>
      </c>
      <c r="B454" s="32">
        <f t="shared" ref="B454:I457" si="440">SUM(B74+B150+B226+B302)</f>
        <v>12</v>
      </c>
      <c r="C454" s="33">
        <f t="shared" si="440"/>
        <v>1</v>
      </c>
      <c r="D454" s="33">
        <f t="shared" si="440"/>
        <v>0</v>
      </c>
      <c r="E454" s="33">
        <f t="shared" si="440"/>
        <v>0</v>
      </c>
      <c r="F454" s="33">
        <f t="shared" si="440"/>
        <v>0</v>
      </c>
      <c r="G454" s="33">
        <f t="shared" si="440"/>
        <v>2</v>
      </c>
      <c r="H454" s="33">
        <f t="shared" si="440"/>
        <v>19</v>
      </c>
      <c r="I454" s="34">
        <f t="shared" si="440"/>
        <v>0</v>
      </c>
      <c r="J454" s="57">
        <f>SUM(B454:I454)</f>
        <v>34</v>
      </c>
      <c r="L454" s="32">
        <f t="shared" ref="L454:S457" si="441">SUM(L74+L150+L226+L302)</f>
        <v>0</v>
      </c>
      <c r="M454" s="33">
        <f t="shared" si="441"/>
        <v>0</v>
      </c>
      <c r="N454" s="33">
        <f t="shared" si="441"/>
        <v>0</v>
      </c>
      <c r="O454" s="33">
        <f t="shared" si="441"/>
        <v>0</v>
      </c>
      <c r="P454" s="33">
        <f t="shared" si="441"/>
        <v>0</v>
      </c>
      <c r="Q454" s="33">
        <f t="shared" si="441"/>
        <v>0</v>
      </c>
      <c r="R454" s="33">
        <f t="shared" si="441"/>
        <v>0</v>
      </c>
      <c r="S454" s="34">
        <f t="shared" si="441"/>
        <v>0</v>
      </c>
      <c r="T454" s="57">
        <f>SUM(L454:S454)</f>
        <v>0</v>
      </c>
      <c r="V454" s="32">
        <f t="shared" ref="V454:AC457" si="442">SUM(V74+V150+V226+V302)</f>
        <v>115</v>
      </c>
      <c r="W454" s="33">
        <f t="shared" si="442"/>
        <v>7</v>
      </c>
      <c r="X454" s="33">
        <f t="shared" si="442"/>
        <v>0</v>
      </c>
      <c r="Y454" s="33">
        <f t="shared" si="442"/>
        <v>0</v>
      </c>
      <c r="Z454" s="33">
        <f t="shared" si="442"/>
        <v>1</v>
      </c>
      <c r="AA454" s="33">
        <f t="shared" si="442"/>
        <v>3</v>
      </c>
      <c r="AB454" s="33">
        <f t="shared" si="442"/>
        <v>14</v>
      </c>
      <c r="AC454" s="34">
        <f t="shared" si="442"/>
        <v>0</v>
      </c>
      <c r="AD454" s="57">
        <f>SUM(V454:AC454)</f>
        <v>140</v>
      </c>
      <c r="AF454" s="32">
        <f t="shared" ref="AF454:AM457" si="443">SUM(AF74+AF150+AF226+AF302)</f>
        <v>97</v>
      </c>
      <c r="AG454" s="33">
        <f t="shared" si="443"/>
        <v>6</v>
      </c>
      <c r="AH454" s="33">
        <f t="shared" si="443"/>
        <v>0</v>
      </c>
      <c r="AI454" s="33">
        <f t="shared" si="443"/>
        <v>0</v>
      </c>
      <c r="AJ454" s="33">
        <f t="shared" si="443"/>
        <v>1</v>
      </c>
      <c r="AK454" s="33">
        <f t="shared" si="443"/>
        <v>5</v>
      </c>
      <c r="AL454" s="33">
        <f t="shared" si="443"/>
        <v>86</v>
      </c>
      <c r="AM454" s="34">
        <f t="shared" si="443"/>
        <v>0</v>
      </c>
      <c r="AN454" s="57">
        <f>SUM(AF454:AM454)</f>
        <v>195</v>
      </c>
      <c r="AP454" s="57">
        <f>SUM(J454+T454+AD454+AN454)</f>
        <v>369</v>
      </c>
    </row>
    <row r="455" spans="1:42" ht="15.75" customHeight="1">
      <c r="A455" s="58">
        <v>0.76041666666666663</v>
      </c>
      <c r="B455" s="36">
        <f t="shared" si="440"/>
        <v>8</v>
      </c>
      <c r="C455" s="37">
        <f t="shared" si="440"/>
        <v>0</v>
      </c>
      <c r="D455" s="37">
        <f t="shared" si="440"/>
        <v>0</v>
      </c>
      <c r="E455" s="37">
        <f t="shared" si="440"/>
        <v>0</v>
      </c>
      <c r="F455" s="37">
        <f t="shared" si="440"/>
        <v>0</v>
      </c>
      <c r="G455" s="37">
        <f t="shared" si="440"/>
        <v>0</v>
      </c>
      <c r="H455" s="37">
        <f t="shared" si="440"/>
        <v>16</v>
      </c>
      <c r="I455" s="40">
        <f t="shared" si="440"/>
        <v>0</v>
      </c>
      <c r="J455" s="59">
        <f>SUM(B455:I455)</f>
        <v>24</v>
      </c>
      <c r="L455" s="36">
        <f t="shared" si="441"/>
        <v>0</v>
      </c>
      <c r="M455" s="37">
        <f t="shared" si="441"/>
        <v>0</v>
      </c>
      <c r="N455" s="37">
        <f t="shared" si="441"/>
        <v>0</v>
      </c>
      <c r="O455" s="37">
        <f t="shared" si="441"/>
        <v>0</v>
      </c>
      <c r="P455" s="37">
        <f t="shared" si="441"/>
        <v>0</v>
      </c>
      <c r="Q455" s="37">
        <f t="shared" si="441"/>
        <v>0</v>
      </c>
      <c r="R455" s="37">
        <f t="shared" si="441"/>
        <v>0</v>
      </c>
      <c r="S455" s="40">
        <f t="shared" si="441"/>
        <v>0</v>
      </c>
      <c r="T455" s="59">
        <f>SUM(L455:S455)</f>
        <v>0</v>
      </c>
      <c r="V455" s="36">
        <f t="shared" si="442"/>
        <v>100</v>
      </c>
      <c r="W455" s="37">
        <f t="shared" si="442"/>
        <v>7</v>
      </c>
      <c r="X455" s="37">
        <f t="shared" si="442"/>
        <v>0</v>
      </c>
      <c r="Y455" s="37">
        <f t="shared" si="442"/>
        <v>0</v>
      </c>
      <c r="Z455" s="37">
        <f t="shared" si="442"/>
        <v>1</v>
      </c>
      <c r="AA455" s="37">
        <f t="shared" si="442"/>
        <v>3</v>
      </c>
      <c r="AB455" s="37">
        <f t="shared" si="442"/>
        <v>13</v>
      </c>
      <c r="AC455" s="40">
        <f t="shared" si="442"/>
        <v>0</v>
      </c>
      <c r="AD455" s="59">
        <f>SUM(V455:AC455)</f>
        <v>124</v>
      </c>
      <c r="AF455" s="36">
        <f t="shared" si="443"/>
        <v>125</v>
      </c>
      <c r="AG455" s="37">
        <f t="shared" si="443"/>
        <v>3</v>
      </c>
      <c r="AH455" s="37">
        <f t="shared" si="443"/>
        <v>0</v>
      </c>
      <c r="AI455" s="37">
        <f t="shared" si="443"/>
        <v>0</v>
      </c>
      <c r="AJ455" s="37">
        <f t="shared" si="443"/>
        <v>1</v>
      </c>
      <c r="AK455" s="37">
        <f t="shared" si="443"/>
        <v>3</v>
      </c>
      <c r="AL455" s="37">
        <f t="shared" si="443"/>
        <v>78</v>
      </c>
      <c r="AM455" s="40">
        <f t="shared" si="443"/>
        <v>0</v>
      </c>
      <c r="AN455" s="59">
        <f>SUM(AF455:AM455)</f>
        <v>210</v>
      </c>
      <c r="AP455" s="59">
        <f>SUM(J455+T455+AD455+AN455)</f>
        <v>358</v>
      </c>
    </row>
    <row r="456" spans="1:42" ht="15.75" customHeight="1">
      <c r="A456" s="58">
        <v>0.77083333333333337</v>
      </c>
      <c r="B456" s="36">
        <f t="shared" si="440"/>
        <v>14</v>
      </c>
      <c r="C456" s="37">
        <f t="shared" si="440"/>
        <v>0</v>
      </c>
      <c r="D456" s="37">
        <f t="shared" si="440"/>
        <v>0</v>
      </c>
      <c r="E456" s="37">
        <f t="shared" si="440"/>
        <v>0</v>
      </c>
      <c r="F456" s="37">
        <f t="shared" si="440"/>
        <v>0</v>
      </c>
      <c r="G456" s="37">
        <f t="shared" si="440"/>
        <v>0</v>
      </c>
      <c r="H456" s="37">
        <f t="shared" si="440"/>
        <v>22</v>
      </c>
      <c r="I456" s="40">
        <f t="shared" si="440"/>
        <v>0</v>
      </c>
      <c r="J456" s="59">
        <f>SUM(B456:I456)</f>
        <v>36</v>
      </c>
      <c r="L456" s="36">
        <f t="shared" si="441"/>
        <v>0</v>
      </c>
      <c r="M456" s="37">
        <f t="shared" si="441"/>
        <v>0</v>
      </c>
      <c r="N456" s="37">
        <f t="shared" si="441"/>
        <v>0</v>
      </c>
      <c r="O456" s="37">
        <f t="shared" si="441"/>
        <v>0</v>
      </c>
      <c r="P456" s="37">
        <f t="shared" si="441"/>
        <v>0</v>
      </c>
      <c r="Q456" s="37">
        <f t="shared" si="441"/>
        <v>0</v>
      </c>
      <c r="R456" s="37">
        <f t="shared" si="441"/>
        <v>0</v>
      </c>
      <c r="S456" s="40">
        <f t="shared" si="441"/>
        <v>0</v>
      </c>
      <c r="T456" s="59">
        <f>SUM(L456:S456)</f>
        <v>0</v>
      </c>
      <c r="V456" s="36">
        <f t="shared" si="442"/>
        <v>93</v>
      </c>
      <c r="W456" s="37">
        <f t="shared" si="442"/>
        <v>13</v>
      </c>
      <c r="X456" s="37">
        <f t="shared" si="442"/>
        <v>0</v>
      </c>
      <c r="Y456" s="37">
        <f t="shared" si="442"/>
        <v>0</v>
      </c>
      <c r="Z456" s="37">
        <f t="shared" si="442"/>
        <v>0</v>
      </c>
      <c r="AA456" s="37">
        <f t="shared" si="442"/>
        <v>3</v>
      </c>
      <c r="AB456" s="37">
        <f t="shared" si="442"/>
        <v>10</v>
      </c>
      <c r="AC456" s="40">
        <f t="shared" si="442"/>
        <v>0</v>
      </c>
      <c r="AD456" s="59">
        <f>SUM(V456:AC456)</f>
        <v>119</v>
      </c>
      <c r="AF456" s="36">
        <f t="shared" si="443"/>
        <v>78</v>
      </c>
      <c r="AG456" s="37">
        <f t="shared" si="443"/>
        <v>2</v>
      </c>
      <c r="AH456" s="37">
        <f t="shared" si="443"/>
        <v>0</v>
      </c>
      <c r="AI456" s="37">
        <f t="shared" si="443"/>
        <v>0</v>
      </c>
      <c r="AJ456" s="37">
        <f t="shared" si="443"/>
        <v>1</v>
      </c>
      <c r="AK456" s="37">
        <f t="shared" si="443"/>
        <v>0</v>
      </c>
      <c r="AL456" s="37">
        <f t="shared" si="443"/>
        <v>38</v>
      </c>
      <c r="AM456" s="40">
        <f t="shared" si="443"/>
        <v>0</v>
      </c>
      <c r="AN456" s="59">
        <f>SUM(AF456:AM456)</f>
        <v>119</v>
      </c>
      <c r="AP456" s="59">
        <f>SUM(J456+T456+AD456+AN456)</f>
        <v>274</v>
      </c>
    </row>
    <row r="457" spans="1:42" ht="15.75" customHeight="1">
      <c r="A457" s="60">
        <v>0.78125</v>
      </c>
      <c r="B457" s="41">
        <f t="shared" si="440"/>
        <v>14</v>
      </c>
      <c r="C457" s="42">
        <f t="shared" si="440"/>
        <v>0</v>
      </c>
      <c r="D457" s="42">
        <f t="shared" si="440"/>
        <v>0</v>
      </c>
      <c r="E457" s="42">
        <f t="shared" si="440"/>
        <v>0</v>
      </c>
      <c r="F457" s="42">
        <f t="shared" si="440"/>
        <v>0</v>
      </c>
      <c r="G457" s="42">
        <f t="shared" si="440"/>
        <v>0</v>
      </c>
      <c r="H457" s="42">
        <f t="shared" si="440"/>
        <v>13</v>
      </c>
      <c r="I457" s="43">
        <f t="shared" si="440"/>
        <v>0</v>
      </c>
      <c r="J457" s="61">
        <f>SUM(B457:I457)</f>
        <v>27</v>
      </c>
      <c r="L457" s="41">
        <f t="shared" si="441"/>
        <v>0</v>
      </c>
      <c r="M457" s="42">
        <f t="shared" si="441"/>
        <v>0</v>
      </c>
      <c r="N457" s="42">
        <f t="shared" si="441"/>
        <v>0</v>
      </c>
      <c r="O457" s="42">
        <f t="shared" si="441"/>
        <v>0</v>
      </c>
      <c r="P457" s="42">
        <f t="shared" si="441"/>
        <v>0</v>
      </c>
      <c r="Q457" s="42">
        <f t="shared" si="441"/>
        <v>0</v>
      </c>
      <c r="R457" s="42">
        <f t="shared" si="441"/>
        <v>0</v>
      </c>
      <c r="S457" s="43">
        <f t="shared" si="441"/>
        <v>0</v>
      </c>
      <c r="T457" s="61">
        <f>SUM(L457:S457)</f>
        <v>0</v>
      </c>
      <c r="V457" s="41">
        <f t="shared" si="442"/>
        <v>70</v>
      </c>
      <c r="W457" s="42">
        <f t="shared" si="442"/>
        <v>3</v>
      </c>
      <c r="X457" s="42">
        <f t="shared" si="442"/>
        <v>1</v>
      </c>
      <c r="Y457" s="42">
        <f t="shared" si="442"/>
        <v>0</v>
      </c>
      <c r="Z457" s="42">
        <f t="shared" si="442"/>
        <v>1</v>
      </c>
      <c r="AA457" s="42">
        <f t="shared" si="442"/>
        <v>3</v>
      </c>
      <c r="AB457" s="42">
        <f t="shared" si="442"/>
        <v>11</v>
      </c>
      <c r="AC457" s="43">
        <f t="shared" si="442"/>
        <v>0</v>
      </c>
      <c r="AD457" s="61">
        <f>SUM(V457:AC457)</f>
        <v>89</v>
      </c>
      <c r="AF457" s="41">
        <f t="shared" si="443"/>
        <v>57</v>
      </c>
      <c r="AG457" s="42">
        <f t="shared" si="443"/>
        <v>2</v>
      </c>
      <c r="AH457" s="42">
        <f t="shared" si="443"/>
        <v>1</v>
      </c>
      <c r="AI457" s="42">
        <f t="shared" si="443"/>
        <v>0</v>
      </c>
      <c r="AJ457" s="42">
        <f t="shared" si="443"/>
        <v>1</v>
      </c>
      <c r="AK457" s="42">
        <f t="shared" si="443"/>
        <v>0</v>
      </c>
      <c r="AL457" s="42">
        <f t="shared" si="443"/>
        <v>42</v>
      </c>
      <c r="AM457" s="43">
        <f t="shared" si="443"/>
        <v>0</v>
      </c>
      <c r="AN457" s="61">
        <f>SUM(AF457:AM457)</f>
        <v>103</v>
      </c>
      <c r="AP457" s="61">
        <f>SUM(J457+T457+AD457+AN457)</f>
        <v>219</v>
      </c>
    </row>
    <row r="458" spans="1:42" ht="15.75" customHeight="1">
      <c r="A458" s="48" t="s">
        <v>29</v>
      </c>
      <c r="B458" s="45">
        <f t="shared" ref="B458:J458" si="444">SUM(B454:B457)</f>
        <v>48</v>
      </c>
      <c r="C458" s="46">
        <f t="shared" si="444"/>
        <v>1</v>
      </c>
      <c r="D458" s="46">
        <f t="shared" si="444"/>
        <v>0</v>
      </c>
      <c r="E458" s="46">
        <f t="shared" si="444"/>
        <v>0</v>
      </c>
      <c r="F458" s="46">
        <f t="shared" si="444"/>
        <v>0</v>
      </c>
      <c r="G458" s="46">
        <f t="shared" si="444"/>
        <v>2</v>
      </c>
      <c r="H458" s="46">
        <f t="shared" si="444"/>
        <v>70</v>
      </c>
      <c r="I458" s="47">
        <f t="shared" si="444"/>
        <v>0</v>
      </c>
      <c r="J458" s="48">
        <f t="shared" si="444"/>
        <v>121</v>
      </c>
      <c r="L458" s="45">
        <f t="shared" ref="L458:T458" si="445">SUM(L454:L457)</f>
        <v>0</v>
      </c>
      <c r="M458" s="46">
        <f t="shared" si="445"/>
        <v>0</v>
      </c>
      <c r="N458" s="46">
        <f t="shared" si="445"/>
        <v>0</v>
      </c>
      <c r="O458" s="46">
        <f t="shared" si="445"/>
        <v>0</v>
      </c>
      <c r="P458" s="46">
        <f t="shared" si="445"/>
        <v>0</v>
      </c>
      <c r="Q458" s="46">
        <f t="shared" si="445"/>
        <v>0</v>
      </c>
      <c r="R458" s="46">
        <f t="shared" si="445"/>
        <v>0</v>
      </c>
      <c r="S458" s="47">
        <f t="shared" si="445"/>
        <v>0</v>
      </c>
      <c r="T458" s="48">
        <f t="shared" si="445"/>
        <v>0</v>
      </c>
      <c r="V458" s="45">
        <f t="shared" ref="V458:AD458" si="446">SUM(V454:V457)</f>
        <v>378</v>
      </c>
      <c r="W458" s="46">
        <f t="shared" si="446"/>
        <v>30</v>
      </c>
      <c r="X458" s="46">
        <f t="shared" si="446"/>
        <v>1</v>
      </c>
      <c r="Y458" s="46">
        <f t="shared" si="446"/>
        <v>0</v>
      </c>
      <c r="Z458" s="46">
        <f t="shared" si="446"/>
        <v>3</v>
      </c>
      <c r="AA458" s="46">
        <f t="shared" si="446"/>
        <v>12</v>
      </c>
      <c r="AB458" s="46">
        <f t="shared" si="446"/>
        <v>48</v>
      </c>
      <c r="AC458" s="47">
        <f t="shared" si="446"/>
        <v>0</v>
      </c>
      <c r="AD458" s="48">
        <f t="shared" si="446"/>
        <v>472</v>
      </c>
      <c r="AF458" s="45">
        <f t="shared" ref="AF458:AN458" si="447">SUM(AF454:AF457)</f>
        <v>357</v>
      </c>
      <c r="AG458" s="46">
        <f t="shared" si="447"/>
        <v>13</v>
      </c>
      <c r="AH458" s="46">
        <f t="shared" si="447"/>
        <v>1</v>
      </c>
      <c r="AI458" s="46">
        <f t="shared" si="447"/>
        <v>0</v>
      </c>
      <c r="AJ458" s="46">
        <f t="shared" si="447"/>
        <v>4</v>
      </c>
      <c r="AK458" s="46">
        <f t="shared" si="447"/>
        <v>8</v>
      </c>
      <c r="AL458" s="46">
        <f t="shared" si="447"/>
        <v>244</v>
      </c>
      <c r="AM458" s="47">
        <f t="shared" si="447"/>
        <v>0</v>
      </c>
      <c r="AN458" s="48">
        <f t="shared" si="447"/>
        <v>627</v>
      </c>
      <c r="AP458" s="48">
        <f>SUM(AP454:AP457)</f>
        <v>1220</v>
      </c>
    </row>
    <row r="460" spans="1:42" ht="15.75" customHeight="1">
      <c r="A460" s="48" t="s">
        <v>30</v>
      </c>
      <c r="B460" s="45">
        <f t="shared" ref="B460:J460" si="448">SUM(B458+B453+B448+B443+B438+B433)</f>
        <v>249</v>
      </c>
      <c r="C460" s="46">
        <f t="shared" si="448"/>
        <v>31</v>
      </c>
      <c r="D460" s="46">
        <f t="shared" si="448"/>
        <v>2</v>
      </c>
      <c r="E460" s="46">
        <f t="shared" si="448"/>
        <v>0</v>
      </c>
      <c r="F460" s="46">
        <f t="shared" si="448"/>
        <v>0</v>
      </c>
      <c r="G460" s="46">
        <f t="shared" si="448"/>
        <v>7</v>
      </c>
      <c r="H460" s="46">
        <f t="shared" si="448"/>
        <v>334</v>
      </c>
      <c r="I460" s="47">
        <f t="shared" si="448"/>
        <v>0</v>
      </c>
      <c r="J460" s="48">
        <f t="shared" si="448"/>
        <v>623</v>
      </c>
      <c r="L460" s="45">
        <f t="shared" ref="L460:T460" si="449">SUM(L458+L453+L448+L443+L438+L433)</f>
        <v>0</v>
      </c>
      <c r="M460" s="46">
        <f t="shared" si="449"/>
        <v>0</v>
      </c>
      <c r="N460" s="46">
        <f t="shared" si="449"/>
        <v>0</v>
      </c>
      <c r="O460" s="46">
        <f t="shared" si="449"/>
        <v>0</v>
      </c>
      <c r="P460" s="46">
        <f t="shared" si="449"/>
        <v>0</v>
      </c>
      <c r="Q460" s="46">
        <f t="shared" si="449"/>
        <v>0</v>
      </c>
      <c r="R460" s="46">
        <f t="shared" si="449"/>
        <v>12</v>
      </c>
      <c r="S460" s="47">
        <f t="shared" si="449"/>
        <v>1</v>
      </c>
      <c r="T460" s="48">
        <f t="shared" si="449"/>
        <v>13</v>
      </c>
      <c r="V460" s="45">
        <f t="shared" ref="V460:AD460" si="450">SUM(V458+V453+V448+V443+V438+V433)</f>
        <v>2271</v>
      </c>
      <c r="W460" s="46">
        <f t="shared" si="450"/>
        <v>328</v>
      </c>
      <c r="X460" s="46">
        <f t="shared" si="450"/>
        <v>36</v>
      </c>
      <c r="Y460" s="46">
        <f t="shared" si="450"/>
        <v>2</v>
      </c>
      <c r="Z460" s="46">
        <f t="shared" si="450"/>
        <v>20</v>
      </c>
      <c r="AA460" s="46">
        <f t="shared" si="450"/>
        <v>59</v>
      </c>
      <c r="AB460" s="46">
        <f t="shared" si="450"/>
        <v>215</v>
      </c>
      <c r="AC460" s="47">
        <f t="shared" si="450"/>
        <v>2</v>
      </c>
      <c r="AD460" s="48">
        <f t="shared" si="450"/>
        <v>2933</v>
      </c>
      <c r="AF460" s="45">
        <f t="shared" ref="AF460:AN460" si="451">SUM(AF458+AF453+AF448+AF443+AF438+AF433)</f>
        <v>1908</v>
      </c>
      <c r="AG460" s="46">
        <f t="shared" si="451"/>
        <v>212</v>
      </c>
      <c r="AH460" s="46">
        <f t="shared" si="451"/>
        <v>34</v>
      </c>
      <c r="AI460" s="46">
        <f t="shared" si="451"/>
        <v>11</v>
      </c>
      <c r="AJ460" s="46">
        <f t="shared" si="451"/>
        <v>25</v>
      </c>
      <c r="AK460" s="46">
        <f t="shared" si="451"/>
        <v>47</v>
      </c>
      <c r="AL460" s="46">
        <f t="shared" si="451"/>
        <v>810</v>
      </c>
      <c r="AM460" s="47">
        <f t="shared" si="451"/>
        <v>7</v>
      </c>
      <c r="AN460" s="48">
        <f t="shared" si="451"/>
        <v>3054</v>
      </c>
      <c r="AP460" s="48">
        <f>SUM(AP458+AP453+AP448+AP443+AP438+AP433)</f>
        <v>6623</v>
      </c>
    </row>
    <row r="462" spans="1:42" ht="15.75" customHeight="1">
      <c r="A462" s="48" t="s">
        <v>24</v>
      </c>
      <c r="B462" s="45">
        <f t="shared" ref="B462:J462" si="452">SUM(B423+B460)</f>
        <v>810</v>
      </c>
      <c r="C462" s="46">
        <f t="shared" si="452"/>
        <v>110</v>
      </c>
      <c r="D462" s="46">
        <f t="shared" si="452"/>
        <v>13</v>
      </c>
      <c r="E462" s="46">
        <f t="shared" si="452"/>
        <v>2</v>
      </c>
      <c r="F462" s="46">
        <f t="shared" si="452"/>
        <v>0</v>
      </c>
      <c r="G462" s="46">
        <f t="shared" si="452"/>
        <v>15</v>
      </c>
      <c r="H462" s="46">
        <f t="shared" si="452"/>
        <v>1247</v>
      </c>
      <c r="I462" s="47">
        <f t="shared" si="452"/>
        <v>0</v>
      </c>
      <c r="J462" s="48">
        <f t="shared" si="452"/>
        <v>2197</v>
      </c>
      <c r="L462" s="45">
        <f t="shared" ref="L462:T462" si="453">SUM(L423+L460)</f>
        <v>0</v>
      </c>
      <c r="M462" s="46">
        <f t="shared" si="453"/>
        <v>1</v>
      </c>
      <c r="N462" s="46">
        <f t="shared" si="453"/>
        <v>0</v>
      </c>
      <c r="O462" s="46">
        <f t="shared" si="453"/>
        <v>0</v>
      </c>
      <c r="P462" s="46">
        <f t="shared" si="453"/>
        <v>0</v>
      </c>
      <c r="Q462" s="46">
        <f t="shared" si="453"/>
        <v>1</v>
      </c>
      <c r="R462" s="46">
        <f t="shared" si="453"/>
        <v>71</v>
      </c>
      <c r="S462" s="47">
        <f t="shared" si="453"/>
        <v>2</v>
      </c>
      <c r="T462" s="48">
        <f t="shared" si="453"/>
        <v>75</v>
      </c>
      <c r="V462" s="45">
        <f t="shared" ref="V462:AD462" si="454">SUM(V423+V460)</f>
        <v>4093</v>
      </c>
      <c r="W462" s="46">
        <f t="shared" si="454"/>
        <v>646</v>
      </c>
      <c r="X462" s="46">
        <f t="shared" si="454"/>
        <v>67</v>
      </c>
      <c r="Y462" s="46">
        <f t="shared" si="454"/>
        <v>11</v>
      </c>
      <c r="Z462" s="46">
        <f t="shared" si="454"/>
        <v>49</v>
      </c>
      <c r="AA462" s="46">
        <f t="shared" si="454"/>
        <v>124</v>
      </c>
      <c r="AB462" s="46">
        <f t="shared" si="454"/>
        <v>337</v>
      </c>
      <c r="AC462" s="47">
        <f t="shared" si="454"/>
        <v>3</v>
      </c>
      <c r="AD462" s="48">
        <f t="shared" si="454"/>
        <v>5330</v>
      </c>
      <c r="AF462" s="45">
        <f t="shared" ref="AF462:AN462" si="455">SUM(AF423+AF460)</f>
        <v>3558</v>
      </c>
      <c r="AG462" s="46">
        <f t="shared" si="455"/>
        <v>509</v>
      </c>
      <c r="AH462" s="46">
        <f t="shared" si="455"/>
        <v>81</v>
      </c>
      <c r="AI462" s="46">
        <f t="shared" si="455"/>
        <v>25</v>
      </c>
      <c r="AJ462" s="46">
        <f t="shared" si="455"/>
        <v>49</v>
      </c>
      <c r="AK462" s="46">
        <f t="shared" si="455"/>
        <v>82</v>
      </c>
      <c r="AL462" s="46">
        <f t="shared" si="455"/>
        <v>1026</v>
      </c>
      <c r="AM462" s="47">
        <f t="shared" si="455"/>
        <v>8</v>
      </c>
      <c r="AN462" s="48">
        <f t="shared" si="455"/>
        <v>5338</v>
      </c>
      <c r="AP462" s="48">
        <f>SUM(AP423+AP460)</f>
        <v>12940</v>
      </c>
    </row>
  </sheetData>
  <mergeCells count="13">
    <mergeCell ref="AP161:AP162"/>
    <mergeCell ref="N5:R5"/>
    <mergeCell ref="AP9:AP10"/>
    <mergeCell ref="AP46:AP47"/>
    <mergeCell ref="AP85:AP86"/>
    <mergeCell ref="AP122:AP123"/>
    <mergeCell ref="AP426:AP427"/>
    <mergeCell ref="AP198:AP199"/>
    <mergeCell ref="AP237:AP238"/>
    <mergeCell ref="AP274:AP275"/>
    <mergeCell ref="AP313:AP314"/>
    <mergeCell ref="AP350:AP351"/>
    <mergeCell ref="AP389:AP390"/>
  </mergeCells>
  <pageMargins left="0.7" right="0.7" top="0.75" bottom="0.75" header="0.3" footer="0.3"/>
  <pageSetup scale="44" orientation="landscape" r:id="rId1"/>
  <rowBreaks count="12" manualBreakCount="12">
    <brk id="43" max="16383" man="1"/>
    <brk id="82" max="16383" man="1"/>
    <brk id="119" max="16383" man="1"/>
    <brk id="158" max="16383" man="1"/>
    <brk id="195" max="16383" man="1"/>
    <brk id="234" max="16383" man="1"/>
    <brk id="271" max="16383" man="1"/>
    <brk id="310" max="16383" man="1"/>
    <brk id="347" max="16383" man="1"/>
    <brk id="386" max="16383" man="1"/>
    <brk id="423" max="16383" man="1"/>
    <brk id="462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Z474"/>
  <sheetViews>
    <sheetView zoomScale="75" zoomScaleNormal="75" workbookViewId="0"/>
  </sheetViews>
  <sheetFormatPr defaultRowHeight="15.75" customHeight="1"/>
  <cols>
    <col min="1" max="1" width="8.28515625" style="66" customWidth="1"/>
    <col min="2" max="3" width="7.28515625" style="66" customWidth="1"/>
    <col min="4" max="4" width="1.28515625" style="66" customWidth="1"/>
    <col min="5" max="6" width="7.28515625" style="66" customWidth="1"/>
    <col min="7" max="7" width="1.28515625" style="66" customWidth="1"/>
    <col min="8" max="9" width="7.28515625" style="66" customWidth="1"/>
    <col min="10" max="10" width="1.28515625" style="66" customWidth="1"/>
    <col min="11" max="12" width="7.28515625" style="66" customWidth="1"/>
    <col min="13" max="13" width="1.28515625" style="66" customWidth="1"/>
    <col min="14" max="14" width="8.28515625" style="66" customWidth="1"/>
    <col min="15" max="16384" width="9.140625" style="66"/>
  </cols>
  <sheetData>
    <row r="1" spans="1:26" ht="15.75" customHeight="1">
      <c r="A1" s="63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1:26" ht="15.75" customHeight="1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9" t="s">
        <v>0</v>
      </c>
      <c r="M2" s="70"/>
      <c r="N2" s="70" t="str">
        <f>'Job Details'!$C$6</f>
        <v>Bristol City Council</v>
      </c>
      <c r="O2" s="70"/>
      <c r="P2" s="70"/>
      <c r="Q2" s="70"/>
      <c r="R2" s="71"/>
      <c r="S2" s="72"/>
      <c r="T2" s="72"/>
      <c r="U2" s="72"/>
      <c r="V2" s="72"/>
      <c r="W2" s="72"/>
      <c r="X2" s="72"/>
      <c r="Y2" s="72"/>
      <c r="Z2" s="72"/>
    </row>
    <row r="3" spans="1:26" ht="15.75" customHeight="1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9" t="s">
        <v>1</v>
      </c>
      <c r="M3" s="70"/>
      <c r="N3" s="70" t="str">
        <f>'Job Details'!$C$7</f>
        <v>WAL-2526 Prince Street, Bristol</v>
      </c>
      <c r="O3" s="70"/>
      <c r="P3" s="70"/>
      <c r="Q3" s="70"/>
      <c r="R3" s="71"/>
      <c r="S3" s="72"/>
      <c r="T3" s="72"/>
      <c r="U3" s="72"/>
      <c r="V3" s="72"/>
      <c r="W3" s="72"/>
      <c r="X3" s="72"/>
      <c r="Y3" s="72"/>
      <c r="Z3" s="72"/>
    </row>
    <row r="4" spans="1:26" ht="15.75" customHeight="1">
      <c r="A4" s="67"/>
      <c r="B4" s="68"/>
      <c r="C4" s="68"/>
      <c r="D4" s="68"/>
      <c r="E4" s="68"/>
      <c r="F4" s="68"/>
      <c r="G4" s="68"/>
      <c r="H4" s="68"/>
      <c r="I4" s="68"/>
      <c r="J4" s="68"/>
      <c r="K4" s="68"/>
      <c r="L4" s="69" t="s">
        <v>2</v>
      </c>
      <c r="M4" s="70"/>
      <c r="N4" s="70" t="str">
        <f>'Job Details'!$C$8</f>
        <v>14 Wapping Road Roundabout</v>
      </c>
      <c r="O4" s="70"/>
      <c r="P4" s="70"/>
      <c r="Q4" s="70"/>
      <c r="R4" s="71"/>
      <c r="S4" s="72"/>
      <c r="T4" s="72"/>
      <c r="U4" s="72"/>
      <c r="V4" s="72"/>
      <c r="W4" s="73"/>
      <c r="X4" s="72"/>
      <c r="Y4" s="72"/>
      <c r="Z4" s="72"/>
    </row>
    <row r="5" spans="1:26" ht="15.75" customHeight="1">
      <c r="A5" s="67"/>
      <c r="B5" s="68"/>
      <c r="C5" s="68"/>
      <c r="D5" s="68"/>
      <c r="E5" s="68"/>
      <c r="F5" s="68"/>
      <c r="G5" s="68"/>
      <c r="H5" s="68"/>
      <c r="I5" s="68"/>
      <c r="J5" s="68"/>
      <c r="K5" s="68"/>
      <c r="L5" s="69" t="s">
        <v>13</v>
      </c>
      <c r="M5" s="70"/>
      <c r="N5" s="74">
        <f>'Job Details'!$C$9</f>
        <v>42312</v>
      </c>
      <c r="O5" s="74"/>
      <c r="P5" s="74"/>
      <c r="Q5" s="74"/>
      <c r="R5" s="75"/>
      <c r="S5" s="72"/>
      <c r="T5" s="72"/>
      <c r="U5" s="72"/>
      <c r="V5" s="72"/>
      <c r="W5" s="73"/>
      <c r="X5" s="72"/>
      <c r="Y5" s="72"/>
      <c r="Z5" s="72"/>
    </row>
    <row r="6" spans="1:26" ht="21.75" customHeight="1">
      <c r="A6" s="76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8"/>
    </row>
    <row r="8" spans="1:26" ht="15.75" customHeight="1">
      <c r="A8" s="72" t="s">
        <v>14</v>
      </c>
      <c r="B8" s="72" t="str">
        <f>$B$10</f>
        <v>Arm A - Wapping Road</v>
      </c>
    </row>
    <row r="9" spans="1:26" ht="15.75" customHeight="1">
      <c r="A9" s="72"/>
      <c r="B9" s="79" t="s">
        <v>16</v>
      </c>
      <c r="C9" s="80"/>
      <c r="E9" s="79" t="s">
        <v>16</v>
      </c>
      <c r="F9" s="80"/>
      <c r="H9" s="79" t="s">
        <v>16</v>
      </c>
      <c r="I9" s="80"/>
      <c r="K9" s="79" t="s">
        <v>16</v>
      </c>
      <c r="L9" s="80"/>
    </row>
    <row r="10" spans="1:26" ht="42.75">
      <c r="B10" s="81" t="s">
        <v>42</v>
      </c>
      <c r="C10" s="82"/>
      <c r="D10" s="83"/>
      <c r="E10" s="81" t="s">
        <v>43</v>
      </c>
      <c r="F10" s="82"/>
      <c r="G10" s="83"/>
      <c r="H10" s="81" t="s">
        <v>44</v>
      </c>
      <c r="I10" s="82"/>
      <c r="J10" s="83"/>
      <c r="K10" s="81" t="s">
        <v>45</v>
      </c>
      <c r="L10" s="82"/>
      <c r="N10" s="84" t="s">
        <v>28</v>
      </c>
    </row>
    <row r="11" spans="1:26" s="85" customFormat="1" ht="15.75" customHeight="1">
      <c r="B11" s="86" t="s">
        <v>36</v>
      </c>
      <c r="C11" s="87" t="s">
        <v>24</v>
      </c>
      <c r="E11" s="86" t="str">
        <f>$B$11</f>
        <v>PEDS</v>
      </c>
      <c r="F11" s="87" t="s">
        <v>24</v>
      </c>
      <c r="H11" s="86" t="str">
        <f>$B$11</f>
        <v>PEDS</v>
      </c>
      <c r="I11" s="87" t="s">
        <v>24</v>
      </c>
      <c r="K11" s="86" t="str">
        <f>$B$11</f>
        <v>PEDS</v>
      </c>
      <c r="L11" s="87" t="s">
        <v>24</v>
      </c>
      <c r="N11" s="88"/>
    </row>
    <row r="13" spans="1:26" ht="15.75" customHeight="1">
      <c r="A13" s="89">
        <v>0.29166666666666669</v>
      </c>
      <c r="B13" s="90">
        <v>0</v>
      </c>
      <c r="C13" s="90">
        <f>SUM(B13:B13)</f>
        <v>0</v>
      </c>
      <c r="E13" s="90">
        <v>1</v>
      </c>
      <c r="F13" s="90">
        <f>SUM(E13:E13)</f>
        <v>1</v>
      </c>
      <c r="H13" s="90">
        <v>2</v>
      </c>
      <c r="I13" s="90">
        <f>SUM(H13:H13)</f>
        <v>2</v>
      </c>
      <c r="K13" s="90">
        <v>0</v>
      </c>
      <c r="L13" s="90">
        <f>SUM(K13:K13)</f>
        <v>0</v>
      </c>
      <c r="N13" s="90">
        <f>SUM(C13+F13+I13+L13)</f>
        <v>3</v>
      </c>
    </row>
    <row r="14" spans="1:26" ht="15.75" customHeight="1">
      <c r="A14" s="91">
        <v>0.30208333333333331</v>
      </c>
      <c r="B14" s="92">
        <v>0</v>
      </c>
      <c r="C14" s="92">
        <f>SUM(B14:B14)</f>
        <v>0</v>
      </c>
      <c r="E14" s="92">
        <v>0</v>
      </c>
      <c r="F14" s="92">
        <f>SUM(E14:E14)</f>
        <v>0</v>
      </c>
      <c r="H14" s="92">
        <v>6</v>
      </c>
      <c r="I14" s="92">
        <f>SUM(H14:H14)</f>
        <v>6</v>
      </c>
      <c r="K14" s="92">
        <v>0</v>
      </c>
      <c r="L14" s="92">
        <f>SUM(K14:K14)</f>
        <v>0</v>
      </c>
      <c r="N14" s="92">
        <f>SUM(C14+F14+I14+L14)</f>
        <v>6</v>
      </c>
    </row>
    <row r="15" spans="1:26" ht="15.75" customHeight="1">
      <c r="A15" s="91">
        <v>0.3125</v>
      </c>
      <c r="B15" s="92">
        <v>0</v>
      </c>
      <c r="C15" s="92">
        <f>SUM(B15:B15)</f>
        <v>0</v>
      </c>
      <c r="E15" s="92">
        <v>0</v>
      </c>
      <c r="F15" s="92">
        <f>SUM(E15:E15)</f>
        <v>0</v>
      </c>
      <c r="H15" s="92">
        <v>0</v>
      </c>
      <c r="I15" s="92">
        <f>SUM(H15:H15)</f>
        <v>0</v>
      </c>
      <c r="K15" s="92">
        <v>1</v>
      </c>
      <c r="L15" s="92">
        <f>SUM(K15:K15)</f>
        <v>1</v>
      </c>
      <c r="N15" s="92">
        <f>SUM(C15+F15+I15+L15)</f>
        <v>1</v>
      </c>
    </row>
    <row r="16" spans="1:26" ht="15.75" customHeight="1">
      <c r="A16" s="93">
        <v>0.32291666666666669</v>
      </c>
      <c r="B16" s="94">
        <v>0</v>
      </c>
      <c r="C16" s="94">
        <f>SUM(B16:B16)</f>
        <v>0</v>
      </c>
      <c r="E16" s="94">
        <v>2</v>
      </c>
      <c r="F16" s="94">
        <f>SUM(E16:E16)</f>
        <v>2</v>
      </c>
      <c r="H16" s="94">
        <v>1</v>
      </c>
      <c r="I16" s="94">
        <f>SUM(H16:H16)</f>
        <v>1</v>
      </c>
      <c r="K16" s="94">
        <v>14</v>
      </c>
      <c r="L16" s="94">
        <f>SUM(K16:K16)</f>
        <v>14</v>
      </c>
      <c r="N16" s="94">
        <f>SUM(C16+F16+I16+L16)</f>
        <v>17</v>
      </c>
    </row>
    <row r="17" spans="1:14" ht="15.75" customHeight="1">
      <c r="A17" s="95" t="s">
        <v>29</v>
      </c>
      <c r="B17" s="95">
        <f>SUM(B13:B16)</f>
        <v>0</v>
      </c>
      <c r="C17" s="95">
        <f>SUM(C13:C16)</f>
        <v>0</v>
      </c>
      <c r="E17" s="95">
        <f>SUM(E13:E16)</f>
        <v>3</v>
      </c>
      <c r="F17" s="95">
        <f>SUM(F13:F16)</f>
        <v>3</v>
      </c>
      <c r="H17" s="95">
        <f>SUM(H13:H16)</f>
        <v>9</v>
      </c>
      <c r="I17" s="95">
        <f>SUM(I13:I16)</f>
        <v>9</v>
      </c>
      <c r="K17" s="95">
        <f>SUM(K13:K16)</f>
        <v>15</v>
      </c>
      <c r="L17" s="95">
        <f>SUM(L13:L16)</f>
        <v>15</v>
      </c>
      <c r="N17" s="95">
        <f>SUM(N13:N16)</f>
        <v>27</v>
      </c>
    </row>
    <row r="18" spans="1:14" ht="15.75" customHeight="1">
      <c r="A18" s="89">
        <v>0.33333333333333331</v>
      </c>
      <c r="B18" s="90">
        <v>0</v>
      </c>
      <c r="C18" s="90">
        <f>SUM(B18:B18)</f>
        <v>0</v>
      </c>
      <c r="E18" s="90">
        <v>1</v>
      </c>
      <c r="F18" s="90">
        <f>SUM(E18:E18)</f>
        <v>1</v>
      </c>
      <c r="H18" s="90">
        <v>1</v>
      </c>
      <c r="I18" s="90">
        <f>SUM(H18:H18)</f>
        <v>1</v>
      </c>
      <c r="K18" s="90">
        <v>8</v>
      </c>
      <c r="L18" s="90">
        <f>SUM(K18:K18)</f>
        <v>8</v>
      </c>
      <c r="N18" s="90">
        <f>SUM(C18+F18+I18+L18)</f>
        <v>10</v>
      </c>
    </row>
    <row r="19" spans="1:14" ht="15.75" customHeight="1">
      <c r="A19" s="91">
        <v>0.34375</v>
      </c>
      <c r="B19" s="92">
        <v>0</v>
      </c>
      <c r="C19" s="92">
        <f>SUM(B19:B19)</f>
        <v>0</v>
      </c>
      <c r="E19" s="92">
        <v>0</v>
      </c>
      <c r="F19" s="92">
        <f>SUM(E19:E19)</f>
        <v>0</v>
      </c>
      <c r="H19" s="92">
        <v>1</v>
      </c>
      <c r="I19" s="92">
        <f>SUM(H19:H19)</f>
        <v>1</v>
      </c>
      <c r="K19" s="92">
        <v>9</v>
      </c>
      <c r="L19" s="92">
        <f>SUM(K19:K19)</f>
        <v>9</v>
      </c>
      <c r="N19" s="92">
        <f>SUM(C19+F19+I19+L19)</f>
        <v>10</v>
      </c>
    </row>
    <row r="20" spans="1:14" ht="15.75" customHeight="1">
      <c r="A20" s="91">
        <v>0.35416666666666669</v>
      </c>
      <c r="B20" s="92">
        <v>0</v>
      </c>
      <c r="C20" s="92">
        <f>SUM(B20:B20)</f>
        <v>0</v>
      </c>
      <c r="E20" s="92">
        <v>0</v>
      </c>
      <c r="F20" s="92">
        <f>SUM(E20:E20)</f>
        <v>0</v>
      </c>
      <c r="H20" s="92">
        <v>3</v>
      </c>
      <c r="I20" s="92">
        <f>SUM(H20:H20)</f>
        <v>3</v>
      </c>
      <c r="K20" s="92">
        <v>18</v>
      </c>
      <c r="L20" s="92">
        <f>SUM(K20:K20)</f>
        <v>18</v>
      </c>
      <c r="N20" s="92">
        <f>SUM(C20+F20+I20+L20)</f>
        <v>21</v>
      </c>
    </row>
    <row r="21" spans="1:14" ht="15.75" customHeight="1">
      <c r="A21" s="93">
        <v>0.36458333333333331</v>
      </c>
      <c r="B21" s="94">
        <v>0</v>
      </c>
      <c r="C21" s="94">
        <f>SUM(B21:B21)</f>
        <v>0</v>
      </c>
      <c r="E21" s="94">
        <v>0</v>
      </c>
      <c r="F21" s="94">
        <f>SUM(E21:E21)</f>
        <v>0</v>
      </c>
      <c r="H21" s="94">
        <v>1</v>
      </c>
      <c r="I21" s="94">
        <f>SUM(H21:H21)</f>
        <v>1</v>
      </c>
      <c r="K21" s="94">
        <v>5</v>
      </c>
      <c r="L21" s="94">
        <f>SUM(K21:K21)</f>
        <v>5</v>
      </c>
      <c r="N21" s="94">
        <f>SUM(C21+F21+I21+L21)</f>
        <v>6</v>
      </c>
    </row>
    <row r="22" spans="1:14" ht="15.75" customHeight="1">
      <c r="A22" s="95" t="s">
        <v>29</v>
      </c>
      <c r="B22" s="95">
        <f>SUM(B18:B21)</f>
        <v>0</v>
      </c>
      <c r="C22" s="95">
        <f>SUM(C18:C21)</f>
        <v>0</v>
      </c>
      <c r="E22" s="95">
        <f>SUM(E18:E21)</f>
        <v>1</v>
      </c>
      <c r="F22" s="95">
        <f>SUM(F18:F21)</f>
        <v>1</v>
      </c>
      <c r="H22" s="95">
        <f>SUM(H18:H21)</f>
        <v>6</v>
      </c>
      <c r="I22" s="95">
        <f>SUM(I18:I21)</f>
        <v>6</v>
      </c>
      <c r="K22" s="95">
        <f>SUM(K18:K21)</f>
        <v>40</v>
      </c>
      <c r="L22" s="95">
        <f>SUM(L18:L21)</f>
        <v>40</v>
      </c>
      <c r="N22" s="95">
        <f>SUM(N18:N21)</f>
        <v>47</v>
      </c>
    </row>
    <row r="23" spans="1:14" ht="15.75" customHeight="1">
      <c r="A23" s="89">
        <v>0.375</v>
      </c>
      <c r="B23" s="90">
        <v>0</v>
      </c>
      <c r="C23" s="90">
        <f>SUM(B23:B23)</f>
        <v>0</v>
      </c>
      <c r="E23" s="90">
        <v>0</v>
      </c>
      <c r="F23" s="90">
        <f>SUM(E23:E23)</f>
        <v>0</v>
      </c>
      <c r="H23" s="90">
        <v>4</v>
      </c>
      <c r="I23" s="90">
        <f>SUM(H23:H23)</f>
        <v>4</v>
      </c>
      <c r="K23" s="90">
        <v>10</v>
      </c>
      <c r="L23" s="90">
        <f>SUM(K23:K23)</f>
        <v>10</v>
      </c>
      <c r="N23" s="90">
        <f>SUM(C23+F23+I23+L23)</f>
        <v>14</v>
      </c>
    </row>
    <row r="24" spans="1:14" ht="15.75" customHeight="1">
      <c r="A24" s="91">
        <v>0.38541666666666669</v>
      </c>
      <c r="B24" s="92">
        <v>0</v>
      </c>
      <c r="C24" s="92">
        <f>SUM(B24:B24)</f>
        <v>0</v>
      </c>
      <c r="E24" s="92">
        <v>0</v>
      </c>
      <c r="F24" s="92">
        <f>SUM(E24:E24)</f>
        <v>0</v>
      </c>
      <c r="H24" s="92">
        <v>2</v>
      </c>
      <c r="I24" s="92">
        <f>SUM(H24:H24)</f>
        <v>2</v>
      </c>
      <c r="K24" s="92">
        <v>8</v>
      </c>
      <c r="L24" s="92">
        <f>SUM(K24:K24)</f>
        <v>8</v>
      </c>
      <c r="N24" s="92">
        <f>SUM(C24+F24+I24+L24)</f>
        <v>10</v>
      </c>
    </row>
    <row r="25" spans="1:14" ht="15.75" customHeight="1">
      <c r="A25" s="91">
        <v>0.39583333333333331</v>
      </c>
      <c r="B25" s="92">
        <v>0</v>
      </c>
      <c r="C25" s="92">
        <f>SUM(B25:B25)</f>
        <v>0</v>
      </c>
      <c r="E25" s="92">
        <v>0</v>
      </c>
      <c r="F25" s="92">
        <f>SUM(E25:E25)</f>
        <v>0</v>
      </c>
      <c r="H25" s="92">
        <v>1</v>
      </c>
      <c r="I25" s="92">
        <f>SUM(H25:H25)</f>
        <v>1</v>
      </c>
      <c r="K25" s="92">
        <v>7</v>
      </c>
      <c r="L25" s="92">
        <f>SUM(K25:K25)</f>
        <v>7</v>
      </c>
      <c r="N25" s="92">
        <f>SUM(C25+F25+I25+L25)</f>
        <v>8</v>
      </c>
    </row>
    <row r="26" spans="1:14" ht="15.75" customHeight="1">
      <c r="A26" s="93">
        <v>0.40625</v>
      </c>
      <c r="B26" s="94">
        <v>0</v>
      </c>
      <c r="C26" s="94">
        <f>SUM(B26:B26)</f>
        <v>0</v>
      </c>
      <c r="E26" s="94">
        <v>0</v>
      </c>
      <c r="F26" s="94">
        <f>SUM(E26:E26)</f>
        <v>0</v>
      </c>
      <c r="H26" s="94">
        <v>7</v>
      </c>
      <c r="I26" s="94">
        <f>SUM(H26:H26)</f>
        <v>7</v>
      </c>
      <c r="K26" s="94">
        <v>4</v>
      </c>
      <c r="L26" s="94">
        <f>SUM(K26:K26)</f>
        <v>4</v>
      </c>
      <c r="N26" s="94">
        <f>SUM(C26+F26+I26+L26)</f>
        <v>11</v>
      </c>
    </row>
    <row r="27" spans="1:14" ht="15.75" customHeight="1">
      <c r="A27" s="95" t="s">
        <v>29</v>
      </c>
      <c r="B27" s="95">
        <f>SUM(B23:B26)</f>
        <v>0</v>
      </c>
      <c r="C27" s="95">
        <f>SUM(C23:C26)</f>
        <v>0</v>
      </c>
      <c r="E27" s="95">
        <f>SUM(E23:E26)</f>
        <v>0</v>
      </c>
      <c r="F27" s="95">
        <f>SUM(F23:F26)</f>
        <v>0</v>
      </c>
      <c r="H27" s="95">
        <f>SUM(H23:H26)</f>
        <v>14</v>
      </c>
      <c r="I27" s="95">
        <f>SUM(I23:I26)</f>
        <v>14</v>
      </c>
      <c r="K27" s="95">
        <f>SUM(K23:K26)</f>
        <v>29</v>
      </c>
      <c r="L27" s="95">
        <f>SUM(L23:L26)</f>
        <v>29</v>
      </c>
      <c r="N27" s="95">
        <f>SUM(N23:N26)</f>
        <v>43</v>
      </c>
    </row>
    <row r="28" spans="1:14" ht="15.75" customHeight="1">
      <c r="A28" s="89">
        <v>0.41666666666666669</v>
      </c>
      <c r="B28" s="90">
        <v>0</v>
      </c>
      <c r="C28" s="90">
        <f>SUM(B28:B28)</f>
        <v>0</v>
      </c>
      <c r="E28" s="90">
        <v>0</v>
      </c>
      <c r="F28" s="90">
        <f>SUM(E28:E28)</f>
        <v>0</v>
      </c>
      <c r="H28" s="90">
        <v>1</v>
      </c>
      <c r="I28" s="90">
        <f>SUM(H28:H28)</f>
        <v>1</v>
      </c>
      <c r="K28" s="90">
        <v>6</v>
      </c>
      <c r="L28" s="90">
        <f>SUM(K28:K28)</f>
        <v>6</v>
      </c>
      <c r="N28" s="90">
        <f>SUM(C28+F28+I28+L28)</f>
        <v>7</v>
      </c>
    </row>
    <row r="29" spans="1:14" ht="15.75" customHeight="1">
      <c r="A29" s="91">
        <v>0.42708333333333331</v>
      </c>
      <c r="B29" s="92">
        <v>0</v>
      </c>
      <c r="C29" s="92">
        <f>SUM(B29:B29)</f>
        <v>0</v>
      </c>
      <c r="E29" s="92">
        <v>0</v>
      </c>
      <c r="F29" s="92">
        <f>SUM(E29:E29)</f>
        <v>0</v>
      </c>
      <c r="H29" s="92">
        <v>1</v>
      </c>
      <c r="I29" s="92">
        <f>SUM(H29:H29)</f>
        <v>1</v>
      </c>
      <c r="K29" s="92">
        <v>6</v>
      </c>
      <c r="L29" s="92">
        <f>SUM(K29:K29)</f>
        <v>6</v>
      </c>
      <c r="N29" s="92">
        <f>SUM(C29+F29+I29+L29)</f>
        <v>7</v>
      </c>
    </row>
    <row r="30" spans="1:14" ht="15.75" customHeight="1">
      <c r="A30" s="91">
        <v>0.4375</v>
      </c>
      <c r="B30" s="92">
        <v>0</v>
      </c>
      <c r="C30" s="92">
        <f>SUM(B30:B30)</f>
        <v>0</v>
      </c>
      <c r="E30" s="92">
        <v>0</v>
      </c>
      <c r="F30" s="92">
        <f>SUM(E30:E30)</f>
        <v>0</v>
      </c>
      <c r="H30" s="92">
        <v>6</v>
      </c>
      <c r="I30" s="92">
        <f>SUM(H30:H30)</f>
        <v>6</v>
      </c>
      <c r="K30" s="92">
        <v>5</v>
      </c>
      <c r="L30" s="92">
        <f>SUM(K30:K30)</f>
        <v>5</v>
      </c>
      <c r="N30" s="92">
        <f>SUM(C30+F30+I30+L30)</f>
        <v>11</v>
      </c>
    </row>
    <row r="31" spans="1:14" ht="15.75" customHeight="1">
      <c r="A31" s="93">
        <v>0.44791666666666669</v>
      </c>
      <c r="B31" s="94">
        <v>0</v>
      </c>
      <c r="C31" s="94">
        <f>SUM(B31:B31)</f>
        <v>0</v>
      </c>
      <c r="E31" s="94">
        <v>1</v>
      </c>
      <c r="F31" s="94">
        <f>SUM(E31:E31)</f>
        <v>1</v>
      </c>
      <c r="H31" s="94">
        <v>3</v>
      </c>
      <c r="I31" s="94">
        <f>SUM(H31:H31)</f>
        <v>3</v>
      </c>
      <c r="K31" s="94">
        <v>8</v>
      </c>
      <c r="L31" s="94">
        <f>SUM(K31:K31)</f>
        <v>8</v>
      </c>
      <c r="N31" s="94">
        <f>SUM(C31+F31+I31+L31)</f>
        <v>12</v>
      </c>
    </row>
    <row r="32" spans="1:14" ht="15.75" customHeight="1">
      <c r="A32" s="95" t="s">
        <v>29</v>
      </c>
      <c r="B32" s="95">
        <f>SUM(B28:B31)</f>
        <v>0</v>
      </c>
      <c r="C32" s="95">
        <f>SUM(C28:C31)</f>
        <v>0</v>
      </c>
      <c r="E32" s="95">
        <f>SUM(E28:E31)</f>
        <v>1</v>
      </c>
      <c r="F32" s="95">
        <f>SUM(F28:F31)</f>
        <v>1</v>
      </c>
      <c r="H32" s="95">
        <f>SUM(H28:H31)</f>
        <v>11</v>
      </c>
      <c r="I32" s="95">
        <f>SUM(I28:I31)</f>
        <v>11</v>
      </c>
      <c r="K32" s="95">
        <f>SUM(K28:K31)</f>
        <v>25</v>
      </c>
      <c r="L32" s="95">
        <f>SUM(L28:L31)</f>
        <v>25</v>
      </c>
      <c r="N32" s="95">
        <f>SUM(N28:N31)</f>
        <v>37</v>
      </c>
    </row>
    <row r="33" spans="1:14" ht="15.75" customHeight="1">
      <c r="A33" s="89">
        <v>0.45833333333333331</v>
      </c>
      <c r="B33" s="90">
        <v>0</v>
      </c>
      <c r="C33" s="90">
        <f>SUM(B33:B33)</f>
        <v>0</v>
      </c>
      <c r="E33" s="90">
        <v>1</v>
      </c>
      <c r="F33" s="90">
        <f>SUM(E33:E33)</f>
        <v>1</v>
      </c>
      <c r="H33" s="90">
        <v>3</v>
      </c>
      <c r="I33" s="90">
        <f>SUM(H33:H33)</f>
        <v>3</v>
      </c>
      <c r="K33" s="90">
        <v>9</v>
      </c>
      <c r="L33" s="90">
        <f>SUM(K33:K33)</f>
        <v>9</v>
      </c>
      <c r="N33" s="90">
        <f>SUM(C33+F33+I33+L33)</f>
        <v>13</v>
      </c>
    </row>
    <row r="34" spans="1:14" ht="15.75" customHeight="1">
      <c r="A34" s="91">
        <v>0.46875</v>
      </c>
      <c r="B34" s="92">
        <v>0</v>
      </c>
      <c r="C34" s="92">
        <f>SUM(B34:B34)</f>
        <v>0</v>
      </c>
      <c r="E34" s="92">
        <v>0</v>
      </c>
      <c r="F34" s="92">
        <f>SUM(E34:E34)</f>
        <v>0</v>
      </c>
      <c r="H34" s="92">
        <v>3</v>
      </c>
      <c r="I34" s="92">
        <f>SUM(H34:H34)</f>
        <v>3</v>
      </c>
      <c r="K34" s="92">
        <v>9</v>
      </c>
      <c r="L34" s="92">
        <f>SUM(K34:K34)</f>
        <v>9</v>
      </c>
      <c r="N34" s="92">
        <f>SUM(C34+F34+I34+L34)</f>
        <v>12</v>
      </c>
    </row>
    <row r="35" spans="1:14" ht="15.75" customHeight="1">
      <c r="A35" s="91">
        <v>0.47916666666666669</v>
      </c>
      <c r="B35" s="92">
        <v>0</v>
      </c>
      <c r="C35" s="92">
        <f>SUM(B35:B35)</f>
        <v>0</v>
      </c>
      <c r="E35" s="92">
        <v>0</v>
      </c>
      <c r="F35" s="92">
        <f>SUM(E35:E35)</f>
        <v>0</v>
      </c>
      <c r="H35" s="92">
        <v>5</v>
      </c>
      <c r="I35" s="92">
        <f>SUM(H35:H35)</f>
        <v>5</v>
      </c>
      <c r="K35" s="92">
        <v>10</v>
      </c>
      <c r="L35" s="92">
        <f>SUM(K35:K35)</f>
        <v>10</v>
      </c>
      <c r="N35" s="92">
        <f>SUM(C35+F35+I35+L35)</f>
        <v>15</v>
      </c>
    </row>
    <row r="36" spans="1:14" ht="15.75" customHeight="1">
      <c r="A36" s="93">
        <v>0.48958333333333331</v>
      </c>
      <c r="B36" s="94">
        <v>0</v>
      </c>
      <c r="C36" s="94">
        <f>SUM(B36:B36)</f>
        <v>0</v>
      </c>
      <c r="E36" s="94">
        <v>0</v>
      </c>
      <c r="F36" s="94">
        <f>SUM(E36:E36)</f>
        <v>0</v>
      </c>
      <c r="H36" s="94">
        <v>6</v>
      </c>
      <c r="I36" s="94">
        <f>SUM(H36:H36)</f>
        <v>6</v>
      </c>
      <c r="K36" s="94">
        <v>12</v>
      </c>
      <c r="L36" s="94">
        <f>SUM(K36:K36)</f>
        <v>12</v>
      </c>
      <c r="N36" s="94">
        <f>SUM(C36+F36+I36+L36)</f>
        <v>18</v>
      </c>
    </row>
    <row r="37" spans="1:14" ht="15.75" customHeight="1">
      <c r="A37" s="95" t="s">
        <v>29</v>
      </c>
      <c r="B37" s="95">
        <f>SUM(B33:B36)</f>
        <v>0</v>
      </c>
      <c r="C37" s="95">
        <f>SUM(C33:C36)</f>
        <v>0</v>
      </c>
      <c r="E37" s="95">
        <f>SUM(E33:E36)</f>
        <v>1</v>
      </c>
      <c r="F37" s="95">
        <f>SUM(F33:F36)</f>
        <v>1</v>
      </c>
      <c r="H37" s="95">
        <f>SUM(H33:H36)</f>
        <v>17</v>
      </c>
      <c r="I37" s="95">
        <f>SUM(I33:I36)</f>
        <v>17</v>
      </c>
      <c r="K37" s="95">
        <f>SUM(K33:K36)</f>
        <v>40</v>
      </c>
      <c r="L37" s="95">
        <f>SUM(L33:L36)</f>
        <v>40</v>
      </c>
      <c r="N37" s="95">
        <f>SUM(N33:N36)</f>
        <v>58</v>
      </c>
    </row>
    <row r="38" spans="1:14" ht="15.75" customHeight="1">
      <c r="A38" s="89">
        <v>0.5</v>
      </c>
      <c r="B38" s="90">
        <v>0</v>
      </c>
      <c r="C38" s="90">
        <f>SUM(B38:B38)</f>
        <v>0</v>
      </c>
      <c r="E38" s="90">
        <v>0</v>
      </c>
      <c r="F38" s="90">
        <f>SUM(E38:E38)</f>
        <v>0</v>
      </c>
      <c r="H38" s="90">
        <v>5</v>
      </c>
      <c r="I38" s="90">
        <f>SUM(H38:H38)</f>
        <v>5</v>
      </c>
      <c r="K38" s="90">
        <v>15</v>
      </c>
      <c r="L38" s="90">
        <f>SUM(K38:K38)</f>
        <v>15</v>
      </c>
      <c r="N38" s="90">
        <f>SUM(C38+F38+I38+L38)</f>
        <v>20</v>
      </c>
    </row>
    <row r="39" spans="1:14" ht="15.75" customHeight="1">
      <c r="A39" s="91">
        <v>0.51041666666666663</v>
      </c>
      <c r="B39" s="92">
        <v>0</v>
      </c>
      <c r="C39" s="92">
        <f>SUM(B39:B39)</f>
        <v>0</v>
      </c>
      <c r="E39" s="92">
        <v>0</v>
      </c>
      <c r="F39" s="92">
        <f>SUM(E39:E39)</f>
        <v>0</v>
      </c>
      <c r="H39" s="92">
        <v>10</v>
      </c>
      <c r="I39" s="92">
        <f>SUM(H39:H39)</f>
        <v>10</v>
      </c>
      <c r="K39" s="92">
        <v>12</v>
      </c>
      <c r="L39" s="92">
        <f>SUM(K39:K39)</f>
        <v>12</v>
      </c>
      <c r="N39" s="92">
        <f>SUM(C39+F39+I39+L39)</f>
        <v>22</v>
      </c>
    </row>
    <row r="40" spans="1:14" ht="15.75" customHeight="1">
      <c r="A40" s="91">
        <v>0.52083333333333337</v>
      </c>
      <c r="B40" s="92">
        <v>0</v>
      </c>
      <c r="C40" s="92">
        <f>SUM(B40:B40)</f>
        <v>0</v>
      </c>
      <c r="E40" s="92">
        <v>0</v>
      </c>
      <c r="F40" s="92">
        <f>SUM(E40:E40)</f>
        <v>0</v>
      </c>
      <c r="H40" s="92">
        <v>7</v>
      </c>
      <c r="I40" s="92">
        <f>SUM(H40:H40)</f>
        <v>7</v>
      </c>
      <c r="K40" s="92">
        <v>22</v>
      </c>
      <c r="L40" s="92">
        <f>SUM(K40:K40)</f>
        <v>22</v>
      </c>
      <c r="N40" s="92">
        <f>SUM(C40+F40+I40+L40)</f>
        <v>29</v>
      </c>
    </row>
    <row r="41" spans="1:14" ht="15.75" customHeight="1">
      <c r="A41" s="93">
        <v>0.53125</v>
      </c>
      <c r="B41" s="94">
        <v>0</v>
      </c>
      <c r="C41" s="94">
        <f>SUM(B41:B41)</f>
        <v>0</v>
      </c>
      <c r="E41" s="94">
        <v>1</v>
      </c>
      <c r="F41" s="94">
        <f>SUM(E41:E41)</f>
        <v>1</v>
      </c>
      <c r="H41" s="94">
        <v>8</v>
      </c>
      <c r="I41" s="94">
        <f>SUM(H41:H41)</f>
        <v>8</v>
      </c>
      <c r="K41" s="94">
        <v>21</v>
      </c>
      <c r="L41" s="94">
        <f>SUM(K41:K41)</f>
        <v>21</v>
      </c>
      <c r="N41" s="94">
        <f>SUM(C41+F41+I41+L41)</f>
        <v>30</v>
      </c>
    </row>
    <row r="42" spans="1:14" ht="15.75" customHeight="1">
      <c r="A42" s="95" t="s">
        <v>29</v>
      </c>
      <c r="B42" s="95">
        <f>SUM(B38:B41)</f>
        <v>0</v>
      </c>
      <c r="C42" s="95">
        <f>SUM(C38:C41)</f>
        <v>0</v>
      </c>
      <c r="E42" s="95">
        <f>SUM(E38:E41)</f>
        <v>1</v>
      </c>
      <c r="F42" s="95">
        <f>SUM(F38:F41)</f>
        <v>1</v>
      </c>
      <c r="H42" s="95">
        <f>SUM(H38:H41)</f>
        <v>30</v>
      </c>
      <c r="I42" s="95">
        <f>SUM(I38:I41)</f>
        <v>30</v>
      </c>
      <c r="K42" s="95">
        <f>SUM(K38:K41)</f>
        <v>70</v>
      </c>
      <c r="L42" s="95">
        <f>SUM(L38:L41)</f>
        <v>70</v>
      </c>
      <c r="N42" s="95">
        <f>SUM(N38:N41)</f>
        <v>101</v>
      </c>
    </row>
    <row r="44" spans="1:14" ht="15.75" customHeight="1">
      <c r="A44" s="95" t="s">
        <v>30</v>
      </c>
      <c r="B44" s="95">
        <f>SUM(B42+B37+B32+B27+B22+B17)</f>
        <v>0</v>
      </c>
      <c r="C44" s="95">
        <f>SUM(C42+C37+C32+C27+C22+C17)</f>
        <v>0</v>
      </c>
      <c r="E44" s="95">
        <f>SUM(E42+E37+E32+E27+E22+E17)</f>
        <v>7</v>
      </c>
      <c r="F44" s="95">
        <f>SUM(F42+F37+F32+F27+F22+F17)</f>
        <v>7</v>
      </c>
      <c r="H44" s="95">
        <f>SUM(H42+H37+H32+H27+H22+H17)</f>
        <v>87</v>
      </c>
      <c r="I44" s="95">
        <f>SUM(I42+I37+I32+I27+I22+I17)</f>
        <v>87</v>
      </c>
      <c r="K44" s="95">
        <f>SUM(K42+K37+K32+K27+K22+K17)</f>
        <v>219</v>
      </c>
      <c r="L44" s="95">
        <f>SUM(L42+L37+L32+L27+L22+L17)</f>
        <v>219</v>
      </c>
      <c r="N44" s="95">
        <f>SUM(N42+N37+N32+N27+N22+N17)</f>
        <v>313</v>
      </c>
    </row>
    <row r="46" spans="1:14" ht="15.75" customHeight="1">
      <c r="A46" s="72" t="s">
        <v>14</v>
      </c>
      <c r="B46" s="72" t="str">
        <f>$B$10</f>
        <v>Arm A - Wapping Road</v>
      </c>
    </row>
    <row r="47" spans="1:14" ht="15.75" customHeight="1">
      <c r="A47" s="72"/>
      <c r="B47" s="79" t="s">
        <v>16</v>
      </c>
      <c r="C47" s="80"/>
      <c r="E47" s="79" t="s">
        <v>16</v>
      </c>
      <c r="F47" s="80"/>
      <c r="H47" s="79" t="s">
        <v>16</v>
      </c>
      <c r="I47" s="80"/>
      <c r="K47" s="79" t="s">
        <v>16</v>
      </c>
      <c r="L47" s="80"/>
    </row>
    <row r="48" spans="1:14" ht="42.75">
      <c r="B48" s="81" t="s">
        <v>42</v>
      </c>
      <c r="C48" s="82"/>
      <c r="D48" s="83"/>
      <c r="E48" s="81" t="s">
        <v>43</v>
      </c>
      <c r="F48" s="82"/>
      <c r="G48" s="83"/>
      <c r="H48" s="81" t="s">
        <v>44</v>
      </c>
      <c r="I48" s="82"/>
      <c r="J48" s="83"/>
      <c r="K48" s="81" t="s">
        <v>45</v>
      </c>
      <c r="L48" s="82"/>
      <c r="N48" s="84" t="s">
        <v>28</v>
      </c>
    </row>
    <row r="49" spans="1:14" s="85" customFormat="1" ht="15.75" customHeight="1">
      <c r="B49" s="86" t="s">
        <v>36</v>
      </c>
      <c r="C49" s="87" t="s">
        <v>24</v>
      </c>
      <c r="E49" s="86" t="str">
        <f>$B$11</f>
        <v>PEDS</v>
      </c>
      <c r="F49" s="87" t="s">
        <v>24</v>
      </c>
      <c r="H49" s="86" t="str">
        <f>$B$11</f>
        <v>PEDS</v>
      </c>
      <c r="I49" s="87" t="s">
        <v>24</v>
      </c>
      <c r="K49" s="86" t="str">
        <f>$B$11</f>
        <v>PEDS</v>
      </c>
      <c r="L49" s="87" t="s">
        <v>24</v>
      </c>
      <c r="N49" s="88"/>
    </row>
    <row r="51" spans="1:14" ht="15.75" customHeight="1">
      <c r="A51" s="89">
        <v>0.54166666666666663</v>
      </c>
      <c r="B51" s="90">
        <v>1</v>
      </c>
      <c r="C51" s="90">
        <f>SUM(B51:B51)</f>
        <v>1</v>
      </c>
      <c r="E51" s="90">
        <v>2</v>
      </c>
      <c r="F51" s="90">
        <f>SUM(E51:E51)</f>
        <v>2</v>
      </c>
      <c r="H51" s="90">
        <v>7</v>
      </c>
      <c r="I51" s="90">
        <f>SUM(H51:H51)</f>
        <v>7</v>
      </c>
      <c r="K51" s="90">
        <v>19</v>
      </c>
      <c r="L51" s="90">
        <f>SUM(K51:K51)</f>
        <v>19</v>
      </c>
      <c r="N51" s="90">
        <f>SUM(C51+F51+I51+L51)</f>
        <v>29</v>
      </c>
    </row>
    <row r="52" spans="1:14" ht="15.75" customHeight="1">
      <c r="A52" s="91">
        <v>0.55208333333333337</v>
      </c>
      <c r="B52" s="92">
        <v>0</v>
      </c>
      <c r="C52" s="92">
        <f>SUM(B52:B52)</f>
        <v>0</v>
      </c>
      <c r="E52" s="92">
        <v>1</v>
      </c>
      <c r="F52" s="92">
        <f>SUM(E52:E52)</f>
        <v>1</v>
      </c>
      <c r="H52" s="92">
        <v>5</v>
      </c>
      <c r="I52" s="92">
        <f>SUM(H52:H52)</f>
        <v>5</v>
      </c>
      <c r="K52" s="92">
        <v>13</v>
      </c>
      <c r="L52" s="92">
        <f>SUM(K52:K52)</f>
        <v>13</v>
      </c>
      <c r="N52" s="92">
        <f>SUM(C52+F52+I52+L52)</f>
        <v>19</v>
      </c>
    </row>
    <row r="53" spans="1:14" ht="15.75" customHeight="1">
      <c r="A53" s="91">
        <v>0.5625</v>
      </c>
      <c r="B53" s="92">
        <v>0</v>
      </c>
      <c r="C53" s="92">
        <f>SUM(B53:B53)</f>
        <v>0</v>
      </c>
      <c r="E53" s="92">
        <v>0</v>
      </c>
      <c r="F53" s="92">
        <f>SUM(E53:E53)</f>
        <v>0</v>
      </c>
      <c r="H53" s="92">
        <v>6</v>
      </c>
      <c r="I53" s="92">
        <f>SUM(H53:H53)</f>
        <v>6</v>
      </c>
      <c r="K53" s="92">
        <v>19</v>
      </c>
      <c r="L53" s="92">
        <f>SUM(K53:K53)</f>
        <v>19</v>
      </c>
      <c r="N53" s="92">
        <f>SUM(C53+F53+I53+L53)</f>
        <v>25</v>
      </c>
    </row>
    <row r="54" spans="1:14" ht="15.75" customHeight="1">
      <c r="A54" s="93">
        <v>0.57291666666666663</v>
      </c>
      <c r="B54" s="94">
        <v>0</v>
      </c>
      <c r="C54" s="94">
        <f>SUM(B54:B54)</f>
        <v>0</v>
      </c>
      <c r="E54" s="94">
        <v>0</v>
      </c>
      <c r="F54" s="94">
        <f>SUM(E54:E54)</f>
        <v>0</v>
      </c>
      <c r="H54" s="94">
        <v>1</v>
      </c>
      <c r="I54" s="94">
        <f>SUM(H54:H54)</f>
        <v>1</v>
      </c>
      <c r="K54" s="94">
        <v>17</v>
      </c>
      <c r="L54" s="94">
        <f>SUM(K54:K54)</f>
        <v>17</v>
      </c>
      <c r="N54" s="94">
        <f>SUM(C54+F54+I54+L54)</f>
        <v>18</v>
      </c>
    </row>
    <row r="55" spans="1:14" ht="15.75" customHeight="1">
      <c r="A55" s="95" t="s">
        <v>29</v>
      </c>
      <c r="B55" s="95">
        <f>SUM(B51:B54)</f>
        <v>1</v>
      </c>
      <c r="C55" s="95">
        <f>SUM(C51:C54)</f>
        <v>1</v>
      </c>
      <c r="E55" s="95">
        <f>SUM(E51:E54)</f>
        <v>3</v>
      </c>
      <c r="F55" s="95">
        <f>SUM(F51:F54)</f>
        <v>3</v>
      </c>
      <c r="H55" s="95">
        <f>SUM(H51:H54)</f>
        <v>19</v>
      </c>
      <c r="I55" s="95">
        <f>SUM(I51:I54)</f>
        <v>19</v>
      </c>
      <c r="K55" s="95">
        <f>SUM(K51:K54)</f>
        <v>68</v>
      </c>
      <c r="L55" s="95">
        <f>SUM(L51:L54)</f>
        <v>68</v>
      </c>
      <c r="N55" s="95">
        <f>SUM(N51:N54)</f>
        <v>91</v>
      </c>
    </row>
    <row r="56" spans="1:14" ht="15.75" customHeight="1">
      <c r="A56" s="89">
        <v>0.58333333333333337</v>
      </c>
      <c r="B56" s="90">
        <v>0</v>
      </c>
      <c r="C56" s="90">
        <f>SUM(B56:B56)</f>
        <v>0</v>
      </c>
      <c r="E56" s="90">
        <v>0</v>
      </c>
      <c r="F56" s="90">
        <f>SUM(E56:E56)</f>
        <v>0</v>
      </c>
      <c r="H56" s="90">
        <v>7</v>
      </c>
      <c r="I56" s="90">
        <f>SUM(H56:H56)</f>
        <v>7</v>
      </c>
      <c r="K56" s="90">
        <v>16</v>
      </c>
      <c r="L56" s="90">
        <f>SUM(K56:K56)</f>
        <v>16</v>
      </c>
      <c r="N56" s="90">
        <f>SUM(C56+F56+I56+L56)</f>
        <v>23</v>
      </c>
    </row>
    <row r="57" spans="1:14" ht="15.75" customHeight="1">
      <c r="A57" s="91">
        <v>0.59375</v>
      </c>
      <c r="B57" s="92">
        <v>0</v>
      </c>
      <c r="C57" s="92">
        <f>SUM(B57:B57)</f>
        <v>0</v>
      </c>
      <c r="E57" s="92">
        <v>1</v>
      </c>
      <c r="F57" s="92">
        <f>SUM(E57:E57)</f>
        <v>1</v>
      </c>
      <c r="H57" s="92">
        <v>13</v>
      </c>
      <c r="I57" s="92">
        <f>SUM(H57:H57)</f>
        <v>13</v>
      </c>
      <c r="K57" s="92">
        <v>22</v>
      </c>
      <c r="L57" s="92">
        <f>SUM(K57:K57)</f>
        <v>22</v>
      </c>
      <c r="N57" s="92">
        <f>SUM(C57+F57+I57+L57)</f>
        <v>36</v>
      </c>
    </row>
    <row r="58" spans="1:14" ht="15.75" customHeight="1">
      <c r="A58" s="91">
        <v>0.60416666666666663</v>
      </c>
      <c r="B58" s="92">
        <v>0</v>
      </c>
      <c r="C58" s="92">
        <f>SUM(B58:B58)</f>
        <v>0</v>
      </c>
      <c r="E58" s="92">
        <v>0</v>
      </c>
      <c r="F58" s="92">
        <f>SUM(E58:E58)</f>
        <v>0</v>
      </c>
      <c r="H58" s="92">
        <v>2</v>
      </c>
      <c r="I58" s="92">
        <f>SUM(H58:H58)</f>
        <v>2</v>
      </c>
      <c r="K58" s="92">
        <v>15</v>
      </c>
      <c r="L58" s="92">
        <f>SUM(K58:K58)</f>
        <v>15</v>
      </c>
      <c r="N58" s="92">
        <f>SUM(C58+F58+I58+L58)</f>
        <v>17</v>
      </c>
    </row>
    <row r="59" spans="1:14" ht="15.75" customHeight="1">
      <c r="A59" s="93">
        <v>0.61458333333333337</v>
      </c>
      <c r="B59" s="94">
        <v>0</v>
      </c>
      <c r="C59" s="94">
        <f>SUM(B59:B59)</f>
        <v>0</v>
      </c>
      <c r="E59" s="94">
        <v>0</v>
      </c>
      <c r="F59" s="94">
        <f>SUM(E59:E59)</f>
        <v>0</v>
      </c>
      <c r="H59" s="94">
        <v>6</v>
      </c>
      <c r="I59" s="94">
        <f>SUM(H59:H59)</f>
        <v>6</v>
      </c>
      <c r="K59" s="94">
        <v>25</v>
      </c>
      <c r="L59" s="94">
        <f>SUM(K59:K59)</f>
        <v>25</v>
      </c>
      <c r="N59" s="94">
        <f>SUM(C59+F59+I59+L59)</f>
        <v>31</v>
      </c>
    </row>
    <row r="60" spans="1:14" ht="15.75" customHeight="1">
      <c r="A60" s="95" t="s">
        <v>29</v>
      </c>
      <c r="B60" s="95">
        <f>SUM(B56:B59)</f>
        <v>0</v>
      </c>
      <c r="C60" s="95">
        <f>SUM(C56:C59)</f>
        <v>0</v>
      </c>
      <c r="E60" s="95">
        <f>SUM(E56:E59)</f>
        <v>1</v>
      </c>
      <c r="F60" s="95">
        <f>SUM(F56:F59)</f>
        <v>1</v>
      </c>
      <c r="H60" s="95">
        <f>SUM(H56:H59)</f>
        <v>28</v>
      </c>
      <c r="I60" s="95">
        <f>SUM(I56:I59)</f>
        <v>28</v>
      </c>
      <c r="K60" s="95">
        <f>SUM(K56:K59)</f>
        <v>78</v>
      </c>
      <c r="L60" s="95">
        <f>SUM(L56:L59)</f>
        <v>78</v>
      </c>
      <c r="N60" s="95">
        <f>SUM(N56:N59)</f>
        <v>107</v>
      </c>
    </row>
    <row r="61" spans="1:14" ht="15.75" customHeight="1">
      <c r="A61" s="89">
        <v>0.625</v>
      </c>
      <c r="B61" s="90">
        <v>0</v>
      </c>
      <c r="C61" s="90">
        <f>SUM(B61:B61)</f>
        <v>0</v>
      </c>
      <c r="E61" s="90">
        <v>2</v>
      </c>
      <c r="F61" s="90">
        <f>SUM(E61:E61)</f>
        <v>2</v>
      </c>
      <c r="H61" s="90">
        <v>15</v>
      </c>
      <c r="I61" s="90">
        <f>SUM(H61:H61)</f>
        <v>15</v>
      </c>
      <c r="K61" s="90">
        <v>23</v>
      </c>
      <c r="L61" s="90">
        <f>SUM(K61:K61)</f>
        <v>23</v>
      </c>
      <c r="N61" s="90">
        <f>SUM(C61+F61+I61+L61)</f>
        <v>40</v>
      </c>
    </row>
    <row r="62" spans="1:14" ht="15.75" customHeight="1">
      <c r="A62" s="91">
        <v>0.63541666666666663</v>
      </c>
      <c r="B62" s="92">
        <v>0</v>
      </c>
      <c r="C62" s="92">
        <f>SUM(B62:B62)</f>
        <v>0</v>
      </c>
      <c r="E62" s="92">
        <v>2</v>
      </c>
      <c r="F62" s="92">
        <f>SUM(E62:E62)</f>
        <v>2</v>
      </c>
      <c r="H62" s="92">
        <v>9</v>
      </c>
      <c r="I62" s="92">
        <f>SUM(H62:H62)</f>
        <v>9</v>
      </c>
      <c r="K62" s="92">
        <v>40</v>
      </c>
      <c r="L62" s="92">
        <f>SUM(K62:K62)</f>
        <v>40</v>
      </c>
      <c r="N62" s="92">
        <f>SUM(C62+F62+I62+L62)</f>
        <v>51</v>
      </c>
    </row>
    <row r="63" spans="1:14" ht="15.75" customHeight="1">
      <c r="A63" s="91">
        <v>0.64583333333333337</v>
      </c>
      <c r="B63" s="92">
        <v>0</v>
      </c>
      <c r="C63" s="92">
        <f>SUM(B63:B63)</f>
        <v>0</v>
      </c>
      <c r="E63" s="92">
        <v>1</v>
      </c>
      <c r="F63" s="92">
        <f>SUM(E63:E63)</f>
        <v>1</v>
      </c>
      <c r="H63" s="92">
        <v>16</v>
      </c>
      <c r="I63" s="92">
        <f>SUM(H63:H63)</f>
        <v>16</v>
      </c>
      <c r="K63" s="92">
        <v>34</v>
      </c>
      <c r="L63" s="92">
        <f>SUM(K63:K63)</f>
        <v>34</v>
      </c>
      <c r="N63" s="92">
        <f>SUM(C63+F63+I63+L63)</f>
        <v>51</v>
      </c>
    </row>
    <row r="64" spans="1:14" ht="15.75" customHeight="1">
      <c r="A64" s="93">
        <v>0.65625</v>
      </c>
      <c r="B64" s="94">
        <v>0</v>
      </c>
      <c r="C64" s="94">
        <f>SUM(B64:B64)</f>
        <v>0</v>
      </c>
      <c r="E64" s="94">
        <v>0</v>
      </c>
      <c r="F64" s="94">
        <f>SUM(E64:E64)</f>
        <v>0</v>
      </c>
      <c r="H64" s="94">
        <v>7</v>
      </c>
      <c r="I64" s="94">
        <f>SUM(H64:H64)</f>
        <v>7</v>
      </c>
      <c r="K64" s="94">
        <v>48</v>
      </c>
      <c r="L64" s="94">
        <f>SUM(K64:K64)</f>
        <v>48</v>
      </c>
      <c r="N64" s="94">
        <f>SUM(C64+F64+I64+L64)</f>
        <v>55</v>
      </c>
    </row>
    <row r="65" spans="1:14" ht="15.75" customHeight="1">
      <c r="A65" s="95" t="s">
        <v>29</v>
      </c>
      <c r="B65" s="95">
        <f>SUM(B61:B64)</f>
        <v>0</v>
      </c>
      <c r="C65" s="95">
        <f>SUM(C61:C64)</f>
        <v>0</v>
      </c>
      <c r="E65" s="95">
        <f>SUM(E61:E64)</f>
        <v>5</v>
      </c>
      <c r="F65" s="95">
        <f>SUM(F61:F64)</f>
        <v>5</v>
      </c>
      <c r="H65" s="95">
        <f>SUM(H61:H64)</f>
        <v>47</v>
      </c>
      <c r="I65" s="95">
        <f>SUM(I61:I64)</f>
        <v>47</v>
      </c>
      <c r="K65" s="95">
        <f>SUM(K61:K64)</f>
        <v>145</v>
      </c>
      <c r="L65" s="95">
        <f>SUM(L61:L64)</f>
        <v>145</v>
      </c>
      <c r="N65" s="95">
        <f>SUM(N61:N64)</f>
        <v>197</v>
      </c>
    </row>
    <row r="66" spans="1:14" ht="15.75" customHeight="1">
      <c r="A66" s="89">
        <v>0.66666666666666663</v>
      </c>
      <c r="B66" s="90">
        <v>0</v>
      </c>
      <c r="C66" s="90">
        <f>SUM(B66:B66)</f>
        <v>0</v>
      </c>
      <c r="E66" s="90">
        <v>2</v>
      </c>
      <c r="F66" s="90">
        <f>SUM(E66:E66)</f>
        <v>2</v>
      </c>
      <c r="H66" s="90">
        <v>10</v>
      </c>
      <c r="I66" s="90">
        <f>SUM(H66:H66)</f>
        <v>10</v>
      </c>
      <c r="K66" s="90">
        <v>42</v>
      </c>
      <c r="L66" s="90">
        <f>SUM(K66:K66)</f>
        <v>42</v>
      </c>
      <c r="N66" s="90">
        <f>SUM(C66+F66+I66+L66)</f>
        <v>54</v>
      </c>
    </row>
    <row r="67" spans="1:14" ht="15.75" customHeight="1">
      <c r="A67" s="91">
        <v>0.67708333333333337</v>
      </c>
      <c r="B67" s="92">
        <v>0</v>
      </c>
      <c r="C67" s="92">
        <f>SUM(B67:B67)</f>
        <v>0</v>
      </c>
      <c r="E67" s="92">
        <v>1</v>
      </c>
      <c r="F67" s="92">
        <f>SUM(E67:E67)</f>
        <v>1</v>
      </c>
      <c r="H67" s="92">
        <v>9</v>
      </c>
      <c r="I67" s="92">
        <f>SUM(H67:H67)</f>
        <v>9</v>
      </c>
      <c r="K67" s="92">
        <v>69</v>
      </c>
      <c r="L67" s="92">
        <f>SUM(K67:K67)</f>
        <v>69</v>
      </c>
      <c r="N67" s="92">
        <f>SUM(C67+F67+I67+L67)</f>
        <v>79</v>
      </c>
    </row>
    <row r="68" spans="1:14" ht="15.75" customHeight="1">
      <c r="A68" s="91">
        <v>0.6875</v>
      </c>
      <c r="B68" s="92">
        <v>1</v>
      </c>
      <c r="C68" s="92">
        <f>SUM(B68:B68)</f>
        <v>1</v>
      </c>
      <c r="E68" s="92">
        <v>0</v>
      </c>
      <c r="F68" s="92">
        <f>SUM(E68:E68)</f>
        <v>0</v>
      </c>
      <c r="H68" s="92">
        <v>24</v>
      </c>
      <c r="I68" s="92">
        <f>SUM(H68:H68)</f>
        <v>24</v>
      </c>
      <c r="K68" s="92">
        <v>78</v>
      </c>
      <c r="L68" s="92">
        <f>SUM(K68:K68)</f>
        <v>78</v>
      </c>
      <c r="N68" s="92">
        <f>SUM(C68+F68+I68+L68)</f>
        <v>103</v>
      </c>
    </row>
    <row r="69" spans="1:14" ht="15.75" customHeight="1">
      <c r="A69" s="93">
        <v>0.69791666666666663</v>
      </c>
      <c r="B69" s="94">
        <v>0</v>
      </c>
      <c r="C69" s="94">
        <f>SUM(B69:B69)</f>
        <v>0</v>
      </c>
      <c r="E69" s="94">
        <v>0</v>
      </c>
      <c r="F69" s="94">
        <f>SUM(E69:E69)</f>
        <v>0</v>
      </c>
      <c r="H69" s="94">
        <v>15</v>
      </c>
      <c r="I69" s="94">
        <f>SUM(H69:H69)</f>
        <v>15</v>
      </c>
      <c r="K69" s="94">
        <v>83</v>
      </c>
      <c r="L69" s="94">
        <f>SUM(K69:K69)</f>
        <v>83</v>
      </c>
      <c r="N69" s="94">
        <f>SUM(C69+F69+I69+L69)</f>
        <v>98</v>
      </c>
    </row>
    <row r="70" spans="1:14" ht="15.75" customHeight="1">
      <c r="A70" s="95" t="s">
        <v>29</v>
      </c>
      <c r="B70" s="95">
        <f>SUM(B66:B69)</f>
        <v>1</v>
      </c>
      <c r="C70" s="95">
        <f>SUM(C66:C69)</f>
        <v>1</v>
      </c>
      <c r="E70" s="95">
        <f>SUM(E66:E69)</f>
        <v>3</v>
      </c>
      <c r="F70" s="95">
        <f>SUM(F66:F69)</f>
        <v>3</v>
      </c>
      <c r="H70" s="95">
        <f>SUM(H66:H69)</f>
        <v>58</v>
      </c>
      <c r="I70" s="95">
        <f>SUM(I66:I69)</f>
        <v>58</v>
      </c>
      <c r="K70" s="95">
        <f>SUM(K66:K69)</f>
        <v>272</v>
      </c>
      <c r="L70" s="95">
        <f>SUM(L66:L69)</f>
        <v>272</v>
      </c>
      <c r="N70" s="95">
        <f>SUM(N66:N69)</f>
        <v>334</v>
      </c>
    </row>
    <row r="71" spans="1:14" ht="15.75" customHeight="1">
      <c r="A71" s="89">
        <v>0.70833333333333337</v>
      </c>
      <c r="B71" s="90">
        <v>0</v>
      </c>
      <c r="C71" s="90">
        <f>SUM(B71:B71)</f>
        <v>0</v>
      </c>
      <c r="E71" s="90">
        <v>1</v>
      </c>
      <c r="F71" s="90">
        <f>SUM(E71:E71)</f>
        <v>1</v>
      </c>
      <c r="H71" s="90">
        <v>21</v>
      </c>
      <c r="I71" s="90">
        <f>SUM(H71:H71)</f>
        <v>21</v>
      </c>
      <c r="K71" s="90">
        <v>110</v>
      </c>
      <c r="L71" s="90">
        <f>SUM(K71:K71)</f>
        <v>110</v>
      </c>
      <c r="N71" s="90">
        <f>SUM(C71+F71+I71+L71)</f>
        <v>132</v>
      </c>
    </row>
    <row r="72" spans="1:14" ht="15.75" customHeight="1">
      <c r="A72" s="91">
        <v>0.71875</v>
      </c>
      <c r="B72" s="92">
        <v>0</v>
      </c>
      <c r="C72" s="92">
        <f>SUM(B72:B72)</f>
        <v>0</v>
      </c>
      <c r="E72" s="92">
        <v>0</v>
      </c>
      <c r="F72" s="92">
        <f>SUM(E72:E72)</f>
        <v>0</v>
      </c>
      <c r="H72" s="92">
        <v>24</v>
      </c>
      <c r="I72" s="92">
        <f>SUM(H72:H72)</f>
        <v>24</v>
      </c>
      <c r="K72" s="92">
        <v>141</v>
      </c>
      <c r="L72" s="92">
        <f>SUM(K72:K72)</f>
        <v>141</v>
      </c>
      <c r="N72" s="92">
        <f>SUM(C72+F72+I72+L72)</f>
        <v>165</v>
      </c>
    </row>
    <row r="73" spans="1:14" ht="15.75" customHeight="1">
      <c r="A73" s="91">
        <v>0.72916666666666663</v>
      </c>
      <c r="B73" s="92">
        <v>0</v>
      </c>
      <c r="C73" s="92">
        <f>SUM(B73:B73)</f>
        <v>0</v>
      </c>
      <c r="E73" s="92">
        <v>0</v>
      </c>
      <c r="F73" s="92">
        <f>SUM(E73:E73)</f>
        <v>0</v>
      </c>
      <c r="H73" s="92">
        <v>36</v>
      </c>
      <c r="I73" s="92">
        <f>SUM(H73:H73)</f>
        <v>36</v>
      </c>
      <c r="K73" s="92">
        <v>135</v>
      </c>
      <c r="L73" s="92">
        <f>SUM(K73:K73)</f>
        <v>135</v>
      </c>
      <c r="N73" s="92">
        <f>SUM(C73+F73+I73+L73)</f>
        <v>171</v>
      </c>
    </row>
    <row r="74" spans="1:14" ht="15.75" customHeight="1">
      <c r="A74" s="93">
        <v>0.73958333333333337</v>
      </c>
      <c r="B74" s="94">
        <v>0</v>
      </c>
      <c r="C74" s="94">
        <f>SUM(B74:B74)</f>
        <v>0</v>
      </c>
      <c r="E74" s="94">
        <v>0</v>
      </c>
      <c r="F74" s="94">
        <f>SUM(E74:E74)</f>
        <v>0</v>
      </c>
      <c r="H74" s="94">
        <v>23</v>
      </c>
      <c r="I74" s="94">
        <f>SUM(H74:H74)</f>
        <v>23</v>
      </c>
      <c r="K74" s="94">
        <v>145</v>
      </c>
      <c r="L74" s="94">
        <f>SUM(K74:K74)</f>
        <v>145</v>
      </c>
      <c r="N74" s="94">
        <f>SUM(C74+F74+I74+L74)</f>
        <v>168</v>
      </c>
    </row>
    <row r="75" spans="1:14" ht="15.75" customHeight="1">
      <c r="A75" s="95" t="s">
        <v>29</v>
      </c>
      <c r="B75" s="95">
        <f>SUM(B71:B74)</f>
        <v>0</v>
      </c>
      <c r="C75" s="95">
        <f>SUM(C71:C74)</f>
        <v>0</v>
      </c>
      <c r="E75" s="95">
        <f>SUM(E71:E74)</f>
        <v>1</v>
      </c>
      <c r="F75" s="95">
        <f>SUM(F71:F74)</f>
        <v>1</v>
      </c>
      <c r="H75" s="95">
        <f>SUM(H71:H74)</f>
        <v>104</v>
      </c>
      <c r="I75" s="95">
        <f>SUM(I71:I74)</f>
        <v>104</v>
      </c>
      <c r="K75" s="95">
        <f>SUM(K71:K74)</f>
        <v>531</v>
      </c>
      <c r="L75" s="95">
        <f>SUM(L71:L74)</f>
        <v>531</v>
      </c>
      <c r="N75" s="95">
        <f>SUM(N71:N74)</f>
        <v>636</v>
      </c>
    </row>
    <row r="76" spans="1:14" ht="15.75" customHeight="1">
      <c r="A76" s="89">
        <v>0.75</v>
      </c>
      <c r="B76" s="90">
        <v>0</v>
      </c>
      <c r="C76" s="90">
        <f>SUM(B76:B76)</f>
        <v>0</v>
      </c>
      <c r="E76" s="90">
        <v>0</v>
      </c>
      <c r="F76" s="90">
        <f>SUM(E76:E76)</f>
        <v>0</v>
      </c>
      <c r="H76" s="90">
        <v>24</v>
      </c>
      <c r="I76" s="90">
        <f>SUM(H76:H76)</f>
        <v>24</v>
      </c>
      <c r="K76" s="90">
        <v>118</v>
      </c>
      <c r="L76" s="90">
        <f>SUM(K76:K76)</f>
        <v>118</v>
      </c>
      <c r="N76" s="90">
        <f>SUM(C76+F76+I76+L76)</f>
        <v>142</v>
      </c>
    </row>
    <row r="77" spans="1:14" ht="15.75" customHeight="1">
      <c r="A77" s="91">
        <v>0.76041666666666663</v>
      </c>
      <c r="B77" s="92">
        <v>0</v>
      </c>
      <c r="C77" s="92">
        <f>SUM(B77:B77)</f>
        <v>0</v>
      </c>
      <c r="E77" s="92">
        <v>0</v>
      </c>
      <c r="F77" s="92">
        <f>SUM(E77:E77)</f>
        <v>0</v>
      </c>
      <c r="H77" s="92">
        <v>17</v>
      </c>
      <c r="I77" s="92">
        <f>SUM(H77:H77)</f>
        <v>17</v>
      </c>
      <c r="K77" s="92">
        <v>98</v>
      </c>
      <c r="L77" s="92">
        <f>SUM(K77:K77)</f>
        <v>98</v>
      </c>
      <c r="N77" s="92">
        <f>SUM(C77+F77+I77+L77)</f>
        <v>115</v>
      </c>
    </row>
    <row r="78" spans="1:14" ht="15.75" customHeight="1">
      <c r="A78" s="91">
        <v>0.77083333333333337</v>
      </c>
      <c r="B78" s="92">
        <v>0</v>
      </c>
      <c r="C78" s="92">
        <f>SUM(B78:B78)</f>
        <v>0</v>
      </c>
      <c r="E78" s="92">
        <v>0</v>
      </c>
      <c r="F78" s="92">
        <f>SUM(E78:E78)</f>
        <v>0</v>
      </c>
      <c r="H78" s="92">
        <v>20</v>
      </c>
      <c r="I78" s="92">
        <f>SUM(H78:H78)</f>
        <v>20</v>
      </c>
      <c r="K78" s="92">
        <v>90</v>
      </c>
      <c r="L78" s="92">
        <f>SUM(K78:K78)</f>
        <v>90</v>
      </c>
      <c r="N78" s="92">
        <f>SUM(C78+F78+I78+L78)</f>
        <v>110</v>
      </c>
    </row>
    <row r="79" spans="1:14" ht="15.75" customHeight="1">
      <c r="A79" s="93">
        <v>0.78125</v>
      </c>
      <c r="B79" s="94">
        <v>0</v>
      </c>
      <c r="C79" s="94">
        <f>SUM(B79:B79)</f>
        <v>0</v>
      </c>
      <c r="E79" s="94">
        <v>0</v>
      </c>
      <c r="F79" s="94">
        <f>SUM(E79:E79)</f>
        <v>0</v>
      </c>
      <c r="H79" s="94">
        <v>9</v>
      </c>
      <c r="I79" s="94">
        <f>SUM(H79:H79)</f>
        <v>9</v>
      </c>
      <c r="K79" s="94">
        <v>66</v>
      </c>
      <c r="L79" s="94">
        <f>SUM(K79:K79)</f>
        <v>66</v>
      </c>
      <c r="N79" s="94">
        <f>SUM(C79+F79+I79+L79)</f>
        <v>75</v>
      </c>
    </row>
    <row r="80" spans="1:14" ht="15.75" customHeight="1">
      <c r="A80" s="95" t="s">
        <v>29</v>
      </c>
      <c r="B80" s="95">
        <f>SUM(B76:B79)</f>
        <v>0</v>
      </c>
      <c r="C80" s="95">
        <f>SUM(C76:C79)</f>
        <v>0</v>
      </c>
      <c r="E80" s="95">
        <f>SUM(E76:E79)</f>
        <v>0</v>
      </c>
      <c r="F80" s="95">
        <f>SUM(F76:F79)</f>
        <v>0</v>
      </c>
      <c r="H80" s="95">
        <f>SUM(H76:H79)</f>
        <v>70</v>
      </c>
      <c r="I80" s="95">
        <f>SUM(I76:I79)</f>
        <v>70</v>
      </c>
      <c r="K80" s="95">
        <f>SUM(K76:K79)</f>
        <v>372</v>
      </c>
      <c r="L80" s="95">
        <f>SUM(L76:L79)</f>
        <v>372</v>
      </c>
      <c r="N80" s="95">
        <f>SUM(N76:N79)</f>
        <v>442</v>
      </c>
    </row>
    <row r="82" spans="1:14" ht="15.75" customHeight="1">
      <c r="A82" s="95" t="s">
        <v>30</v>
      </c>
      <c r="B82" s="95">
        <f>SUM(B80+B75+B70+B65+B60+B55)</f>
        <v>2</v>
      </c>
      <c r="C82" s="95">
        <f>SUM(C80+C75+C70+C65+C60+C55)</f>
        <v>2</v>
      </c>
      <c r="E82" s="95">
        <f>SUM(E80+E75+E70+E65+E60+E55)</f>
        <v>13</v>
      </c>
      <c r="F82" s="95">
        <f>SUM(F80+F75+F70+F65+F60+F55)</f>
        <v>13</v>
      </c>
      <c r="H82" s="95">
        <f>SUM(H80+H75+H70+H65+H60+H55)</f>
        <v>326</v>
      </c>
      <c r="I82" s="95">
        <f>SUM(I80+I75+I70+I65+I60+I55)</f>
        <v>326</v>
      </c>
      <c r="K82" s="95">
        <f>SUM(K80+K75+K70+K65+K60+K55)</f>
        <v>1466</v>
      </c>
      <c r="L82" s="95">
        <f>SUM(L80+L75+L70+L65+L60+L55)</f>
        <v>1466</v>
      </c>
      <c r="N82" s="95">
        <f>SUM(N80+N75+N70+N65+N60+N55)</f>
        <v>1807</v>
      </c>
    </row>
    <row r="84" spans="1:14" ht="15.75" customHeight="1">
      <c r="A84" s="95" t="s">
        <v>24</v>
      </c>
      <c r="B84" s="95">
        <f>SUM(B44+B82)</f>
        <v>2</v>
      </c>
      <c r="C84" s="95">
        <f>SUM(C44+C82)</f>
        <v>2</v>
      </c>
      <c r="E84" s="95">
        <f>SUM(E44+E82)</f>
        <v>20</v>
      </c>
      <c r="F84" s="95">
        <f>SUM(F44+F82)</f>
        <v>20</v>
      </c>
      <c r="H84" s="95">
        <f>SUM(H44+H82)</f>
        <v>413</v>
      </c>
      <c r="I84" s="95">
        <f>SUM(I44+I82)</f>
        <v>413</v>
      </c>
      <c r="K84" s="95">
        <f>SUM(K44+K82)</f>
        <v>1685</v>
      </c>
      <c r="L84" s="95">
        <f>SUM(L44+L82)</f>
        <v>1685</v>
      </c>
      <c r="N84" s="95">
        <f>SUM(N44+N82)</f>
        <v>2120</v>
      </c>
    </row>
    <row r="86" spans="1:14" ht="15.75" customHeight="1">
      <c r="A86" s="72" t="s">
        <v>14</v>
      </c>
      <c r="B86" s="72" t="str">
        <f>$E$10</f>
        <v>Arm B - River Path</v>
      </c>
    </row>
    <row r="87" spans="1:14" ht="15.75" customHeight="1">
      <c r="A87" s="72"/>
      <c r="B87" s="79" t="s">
        <v>16</v>
      </c>
      <c r="C87" s="80"/>
      <c r="E87" s="79" t="s">
        <v>16</v>
      </c>
      <c r="F87" s="80"/>
      <c r="H87" s="79" t="s">
        <v>16</v>
      </c>
      <c r="I87" s="80"/>
      <c r="K87" s="79" t="s">
        <v>16</v>
      </c>
      <c r="L87" s="80"/>
    </row>
    <row r="88" spans="1:14" ht="42.75">
      <c r="B88" s="81" t="s">
        <v>42</v>
      </c>
      <c r="C88" s="82"/>
      <c r="D88" s="83"/>
      <c r="E88" s="81" t="s">
        <v>43</v>
      </c>
      <c r="F88" s="82"/>
      <c r="G88" s="83"/>
      <c r="H88" s="81" t="s">
        <v>44</v>
      </c>
      <c r="I88" s="82"/>
      <c r="J88" s="83"/>
      <c r="K88" s="81" t="s">
        <v>45</v>
      </c>
      <c r="L88" s="82"/>
      <c r="N88" s="84" t="s">
        <v>28</v>
      </c>
    </row>
    <row r="89" spans="1:14" s="85" customFormat="1" ht="15.75" customHeight="1">
      <c r="B89" s="86" t="s">
        <v>36</v>
      </c>
      <c r="C89" s="87" t="s">
        <v>24</v>
      </c>
      <c r="E89" s="86" t="str">
        <f>$B$11</f>
        <v>PEDS</v>
      </c>
      <c r="F89" s="87" t="s">
        <v>24</v>
      </c>
      <c r="H89" s="86" t="str">
        <f>$B$11</f>
        <v>PEDS</v>
      </c>
      <c r="I89" s="87" t="s">
        <v>24</v>
      </c>
      <c r="K89" s="86" t="str">
        <f>$B$11</f>
        <v>PEDS</v>
      </c>
      <c r="L89" s="87" t="s">
        <v>24</v>
      </c>
      <c r="N89" s="88"/>
    </row>
    <row r="91" spans="1:14" ht="15.75" customHeight="1">
      <c r="A91" s="89">
        <v>0.29166666666666669</v>
      </c>
      <c r="B91" s="90">
        <v>0</v>
      </c>
      <c r="C91" s="90">
        <f>SUM(B91:B91)</f>
        <v>0</v>
      </c>
      <c r="E91" s="90">
        <v>0</v>
      </c>
      <c r="F91" s="90">
        <f>SUM(E91:E91)</f>
        <v>0</v>
      </c>
      <c r="H91" s="90">
        <v>0</v>
      </c>
      <c r="I91" s="90">
        <f>SUM(H91:H91)</f>
        <v>0</v>
      </c>
      <c r="K91" s="90">
        <v>0</v>
      </c>
      <c r="L91" s="90">
        <f>SUM(K91:K91)</f>
        <v>0</v>
      </c>
      <c r="N91" s="90">
        <f>SUM(C91+F91+I91+L91)</f>
        <v>0</v>
      </c>
    </row>
    <row r="92" spans="1:14" ht="15.75" customHeight="1">
      <c r="A92" s="91">
        <v>0.30208333333333331</v>
      </c>
      <c r="B92" s="92">
        <v>1</v>
      </c>
      <c r="C92" s="92">
        <f>SUM(B92:B92)</f>
        <v>1</v>
      </c>
      <c r="E92" s="92">
        <v>0</v>
      </c>
      <c r="F92" s="92">
        <f>SUM(E92:E92)</f>
        <v>0</v>
      </c>
      <c r="H92" s="92">
        <v>0</v>
      </c>
      <c r="I92" s="92">
        <f>SUM(H92:H92)</f>
        <v>0</v>
      </c>
      <c r="K92" s="92">
        <v>0</v>
      </c>
      <c r="L92" s="92">
        <f>SUM(K92:K92)</f>
        <v>0</v>
      </c>
      <c r="N92" s="92">
        <f>SUM(C92+F92+I92+L92)</f>
        <v>1</v>
      </c>
    </row>
    <row r="93" spans="1:14" ht="15.75" customHeight="1">
      <c r="A93" s="91">
        <v>0.3125</v>
      </c>
      <c r="B93" s="92">
        <v>0</v>
      </c>
      <c r="C93" s="92">
        <f>SUM(B93:B93)</f>
        <v>0</v>
      </c>
      <c r="E93" s="92">
        <v>0</v>
      </c>
      <c r="F93" s="92">
        <f>SUM(E93:E93)</f>
        <v>0</v>
      </c>
      <c r="H93" s="92">
        <v>2</v>
      </c>
      <c r="I93" s="92">
        <f>SUM(H93:H93)</f>
        <v>2</v>
      </c>
      <c r="K93" s="92">
        <v>0</v>
      </c>
      <c r="L93" s="92">
        <f>SUM(K93:K93)</f>
        <v>0</v>
      </c>
      <c r="N93" s="92">
        <f>SUM(C93+F93+I93+L93)</f>
        <v>2</v>
      </c>
    </row>
    <row r="94" spans="1:14" ht="15.75" customHeight="1">
      <c r="A94" s="93">
        <v>0.32291666666666669</v>
      </c>
      <c r="B94" s="94">
        <v>0</v>
      </c>
      <c r="C94" s="94">
        <f>SUM(B94:B94)</f>
        <v>0</v>
      </c>
      <c r="E94" s="94">
        <v>0</v>
      </c>
      <c r="F94" s="94">
        <f>SUM(E94:E94)</f>
        <v>0</v>
      </c>
      <c r="H94" s="94">
        <v>1</v>
      </c>
      <c r="I94" s="94">
        <f>SUM(H94:H94)</f>
        <v>1</v>
      </c>
      <c r="K94" s="94">
        <v>1</v>
      </c>
      <c r="L94" s="94">
        <f>SUM(K94:K94)</f>
        <v>1</v>
      </c>
      <c r="N94" s="94">
        <f>SUM(C94+F94+I94+L94)</f>
        <v>2</v>
      </c>
    </row>
    <row r="95" spans="1:14" ht="15.75" customHeight="1">
      <c r="A95" s="95" t="s">
        <v>29</v>
      </c>
      <c r="B95" s="95">
        <f>SUM(B91:B94)</f>
        <v>1</v>
      </c>
      <c r="C95" s="95">
        <f>SUM(C91:C94)</f>
        <v>1</v>
      </c>
      <c r="E95" s="95">
        <f>SUM(E91:E94)</f>
        <v>0</v>
      </c>
      <c r="F95" s="95">
        <f>SUM(F91:F94)</f>
        <v>0</v>
      </c>
      <c r="H95" s="95">
        <f>SUM(H91:H94)</f>
        <v>3</v>
      </c>
      <c r="I95" s="95">
        <f>SUM(I91:I94)</f>
        <v>3</v>
      </c>
      <c r="K95" s="95">
        <f>SUM(K91:K94)</f>
        <v>1</v>
      </c>
      <c r="L95" s="95">
        <f>SUM(L91:L94)</f>
        <v>1</v>
      </c>
      <c r="N95" s="95">
        <f>SUM(N91:N94)</f>
        <v>5</v>
      </c>
    </row>
    <row r="96" spans="1:14" ht="15.75" customHeight="1">
      <c r="A96" s="89">
        <v>0.33333333333333331</v>
      </c>
      <c r="B96" s="90">
        <v>0</v>
      </c>
      <c r="C96" s="90">
        <f>SUM(B96:B96)</f>
        <v>0</v>
      </c>
      <c r="E96" s="90">
        <v>0</v>
      </c>
      <c r="F96" s="90">
        <f>SUM(E96:E96)</f>
        <v>0</v>
      </c>
      <c r="H96" s="90">
        <v>0</v>
      </c>
      <c r="I96" s="90">
        <f>SUM(H96:H96)</f>
        <v>0</v>
      </c>
      <c r="K96" s="90">
        <v>0</v>
      </c>
      <c r="L96" s="90">
        <f>SUM(K96:K96)</f>
        <v>0</v>
      </c>
      <c r="N96" s="90">
        <f>SUM(C96+F96+I96+L96)</f>
        <v>0</v>
      </c>
    </row>
    <row r="97" spans="1:14" ht="15.75" customHeight="1">
      <c r="A97" s="91">
        <v>0.34375</v>
      </c>
      <c r="B97" s="92">
        <v>0</v>
      </c>
      <c r="C97" s="92">
        <f>SUM(B97:B97)</f>
        <v>0</v>
      </c>
      <c r="E97" s="92">
        <v>0</v>
      </c>
      <c r="F97" s="92">
        <f>SUM(E97:E97)</f>
        <v>0</v>
      </c>
      <c r="H97" s="92">
        <v>0</v>
      </c>
      <c r="I97" s="92">
        <f>SUM(H97:H97)</f>
        <v>0</v>
      </c>
      <c r="K97" s="92">
        <v>5</v>
      </c>
      <c r="L97" s="92">
        <f>SUM(K97:K97)</f>
        <v>5</v>
      </c>
      <c r="N97" s="92">
        <f>SUM(C97+F97+I97+L97)</f>
        <v>5</v>
      </c>
    </row>
    <row r="98" spans="1:14" ht="15.75" customHeight="1">
      <c r="A98" s="91">
        <v>0.35416666666666669</v>
      </c>
      <c r="B98" s="92">
        <v>1</v>
      </c>
      <c r="C98" s="92">
        <f>SUM(B98:B98)</f>
        <v>1</v>
      </c>
      <c r="E98" s="92">
        <v>0</v>
      </c>
      <c r="F98" s="92">
        <f>SUM(E98:E98)</f>
        <v>0</v>
      </c>
      <c r="H98" s="92">
        <v>4</v>
      </c>
      <c r="I98" s="92">
        <f>SUM(H98:H98)</f>
        <v>4</v>
      </c>
      <c r="K98" s="92">
        <v>3</v>
      </c>
      <c r="L98" s="92">
        <f>SUM(K98:K98)</f>
        <v>3</v>
      </c>
      <c r="N98" s="92">
        <f>SUM(C98+F98+I98+L98)</f>
        <v>8</v>
      </c>
    </row>
    <row r="99" spans="1:14" ht="15.75" customHeight="1">
      <c r="A99" s="93">
        <v>0.36458333333333331</v>
      </c>
      <c r="B99" s="94">
        <v>1</v>
      </c>
      <c r="C99" s="94">
        <f>SUM(B99:B99)</f>
        <v>1</v>
      </c>
      <c r="E99" s="94">
        <v>0</v>
      </c>
      <c r="F99" s="94">
        <f>SUM(E99:E99)</f>
        <v>0</v>
      </c>
      <c r="H99" s="94">
        <v>0</v>
      </c>
      <c r="I99" s="94">
        <f>SUM(H99:H99)</f>
        <v>0</v>
      </c>
      <c r="K99" s="94">
        <v>5</v>
      </c>
      <c r="L99" s="94">
        <f>SUM(K99:K99)</f>
        <v>5</v>
      </c>
      <c r="N99" s="94">
        <f>SUM(C99+F99+I99+L99)</f>
        <v>6</v>
      </c>
    </row>
    <row r="100" spans="1:14" ht="15.75" customHeight="1">
      <c r="A100" s="95" t="s">
        <v>29</v>
      </c>
      <c r="B100" s="95">
        <f>SUM(B96:B99)</f>
        <v>2</v>
      </c>
      <c r="C100" s="95">
        <f>SUM(C96:C99)</f>
        <v>2</v>
      </c>
      <c r="E100" s="95">
        <f>SUM(E96:E99)</f>
        <v>0</v>
      </c>
      <c r="F100" s="95">
        <f>SUM(F96:F99)</f>
        <v>0</v>
      </c>
      <c r="H100" s="95">
        <f>SUM(H96:H99)</f>
        <v>4</v>
      </c>
      <c r="I100" s="95">
        <f>SUM(I96:I99)</f>
        <v>4</v>
      </c>
      <c r="K100" s="95">
        <f>SUM(K96:K99)</f>
        <v>13</v>
      </c>
      <c r="L100" s="95">
        <f>SUM(L96:L99)</f>
        <v>13</v>
      </c>
      <c r="N100" s="95">
        <f>SUM(N96:N99)</f>
        <v>19</v>
      </c>
    </row>
    <row r="101" spans="1:14" ht="15.75" customHeight="1">
      <c r="A101" s="89">
        <v>0.375</v>
      </c>
      <c r="B101" s="90">
        <v>0</v>
      </c>
      <c r="C101" s="90">
        <f>SUM(B101:B101)</f>
        <v>0</v>
      </c>
      <c r="E101" s="90">
        <v>0</v>
      </c>
      <c r="F101" s="90">
        <f>SUM(E101:E101)</f>
        <v>0</v>
      </c>
      <c r="H101" s="90">
        <v>0</v>
      </c>
      <c r="I101" s="90">
        <f>SUM(H101:H101)</f>
        <v>0</v>
      </c>
      <c r="K101" s="90">
        <v>0</v>
      </c>
      <c r="L101" s="90">
        <f>SUM(K101:K101)</f>
        <v>0</v>
      </c>
      <c r="N101" s="90">
        <f>SUM(C101+F101+I101+L101)</f>
        <v>0</v>
      </c>
    </row>
    <row r="102" spans="1:14" ht="15.75" customHeight="1">
      <c r="A102" s="91">
        <v>0.38541666666666669</v>
      </c>
      <c r="B102" s="92">
        <v>0</v>
      </c>
      <c r="C102" s="92">
        <f>SUM(B102:B102)</f>
        <v>0</v>
      </c>
      <c r="E102" s="92">
        <v>0</v>
      </c>
      <c r="F102" s="92">
        <f>SUM(E102:E102)</f>
        <v>0</v>
      </c>
      <c r="H102" s="92">
        <v>0</v>
      </c>
      <c r="I102" s="92">
        <f>SUM(H102:H102)</f>
        <v>0</v>
      </c>
      <c r="K102" s="92">
        <v>0</v>
      </c>
      <c r="L102" s="92">
        <f>SUM(K102:K102)</f>
        <v>0</v>
      </c>
      <c r="N102" s="92">
        <f>SUM(C102+F102+I102+L102)</f>
        <v>0</v>
      </c>
    </row>
    <row r="103" spans="1:14" ht="15.75" customHeight="1">
      <c r="A103" s="91">
        <v>0.39583333333333331</v>
      </c>
      <c r="B103" s="92">
        <v>1</v>
      </c>
      <c r="C103" s="92">
        <f>SUM(B103:B103)</f>
        <v>1</v>
      </c>
      <c r="E103" s="92">
        <v>0</v>
      </c>
      <c r="F103" s="92">
        <f>SUM(E103:E103)</f>
        <v>0</v>
      </c>
      <c r="H103" s="92">
        <v>0</v>
      </c>
      <c r="I103" s="92">
        <f>SUM(H103:H103)</f>
        <v>0</v>
      </c>
      <c r="K103" s="92">
        <v>0</v>
      </c>
      <c r="L103" s="92">
        <f>SUM(K103:K103)</f>
        <v>0</v>
      </c>
      <c r="N103" s="92">
        <f>SUM(C103+F103+I103+L103)</f>
        <v>1</v>
      </c>
    </row>
    <row r="104" spans="1:14" ht="15.75" customHeight="1">
      <c r="A104" s="93">
        <v>0.40625</v>
      </c>
      <c r="B104" s="94">
        <v>0</v>
      </c>
      <c r="C104" s="94">
        <f>SUM(B104:B104)</f>
        <v>0</v>
      </c>
      <c r="E104" s="94">
        <v>0</v>
      </c>
      <c r="F104" s="94">
        <f>SUM(E104:E104)</f>
        <v>0</v>
      </c>
      <c r="H104" s="94">
        <v>0</v>
      </c>
      <c r="I104" s="94">
        <f>SUM(H104:H104)</f>
        <v>0</v>
      </c>
      <c r="K104" s="94">
        <v>0</v>
      </c>
      <c r="L104" s="94">
        <f>SUM(K104:K104)</f>
        <v>0</v>
      </c>
      <c r="N104" s="94">
        <f>SUM(C104+F104+I104+L104)</f>
        <v>0</v>
      </c>
    </row>
    <row r="105" spans="1:14" ht="15.75" customHeight="1">
      <c r="A105" s="95" t="s">
        <v>29</v>
      </c>
      <c r="B105" s="95">
        <f>SUM(B101:B104)</f>
        <v>1</v>
      </c>
      <c r="C105" s="95">
        <f>SUM(C101:C104)</f>
        <v>1</v>
      </c>
      <c r="E105" s="95">
        <f>SUM(E101:E104)</f>
        <v>0</v>
      </c>
      <c r="F105" s="95">
        <f>SUM(F101:F104)</f>
        <v>0</v>
      </c>
      <c r="H105" s="95">
        <f>SUM(H101:H104)</f>
        <v>0</v>
      </c>
      <c r="I105" s="95">
        <f>SUM(I101:I104)</f>
        <v>0</v>
      </c>
      <c r="K105" s="95">
        <f>SUM(K101:K104)</f>
        <v>0</v>
      </c>
      <c r="L105" s="95">
        <f>SUM(L101:L104)</f>
        <v>0</v>
      </c>
      <c r="N105" s="95">
        <f>SUM(N101:N104)</f>
        <v>1</v>
      </c>
    </row>
    <row r="106" spans="1:14" ht="15.75" customHeight="1">
      <c r="A106" s="89">
        <v>0.41666666666666669</v>
      </c>
      <c r="B106" s="90">
        <v>0</v>
      </c>
      <c r="C106" s="90">
        <f>SUM(B106:B106)</f>
        <v>0</v>
      </c>
      <c r="E106" s="90">
        <v>0</v>
      </c>
      <c r="F106" s="90">
        <f>SUM(E106:E106)</f>
        <v>0</v>
      </c>
      <c r="H106" s="90">
        <v>0</v>
      </c>
      <c r="I106" s="90">
        <f>SUM(H106:H106)</f>
        <v>0</v>
      </c>
      <c r="K106" s="90">
        <v>3</v>
      </c>
      <c r="L106" s="90">
        <f>SUM(K106:K106)</f>
        <v>3</v>
      </c>
      <c r="N106" s="90">
        <f>SUM(C106+F106+I106+L106)</f>
        <v>3</v>
      </c>
    </row>
    <row r="107" spans="1:14" ht="15.75" customHeight="1">
      <c r="A107" s="91">
        <v>0.42708333333333331</v>
      </c>
      <c r="B107" s="92">
        <v>1</v>
      </c>
      <c r="C107" s="92">
        <f>SUM(B107:B107)</f>
        <v>1</v>
      </c>
      <c r="E107" s="92">
        <v>0</v>
      </c>
      <c r="F107" s="92">
        <f>SUM(E107:E107)</f>
        <v>0</v>
      </c>
      <c r="H107" s="92">
        <v>0</v>
      </c>
      <c r="I107" s="92">
        <f>SUM(H107:H107)</f>
        <v>0</v>
      </c>
      <c r="K107" s="92">
        <v>0</v>
      </c>
      <c r="L107" s="92">
        <f>SUM(K107:K107)</f>
        <v>0</v>
      </c>
      <c r="N107" s="92">
        <f>SUM(C107+F107+I107+L107)</f>
        <v>1</v>
      </c>
    </row>
    <row r="108" spans="1:14" ht="15.75" customHeight="1">
      <c r="A108" s="91">
        <v>0.4375</v>
      </c>
      <c r="B108" s="92">
        <v>0</v>
      </c>
      <c r="C108" s="92">
        <f>SUM(B108:B108)</f>
        <v>0</v>
      </c>
      <c r="E108" s="92">
        <v>0</v>
      </c>
      <c r="F108" s="92">
        <f>SUM(E108:E108)</f>
        <v>0</v>
      </c>
      <c r="H108" s="92">
        <v>0</v>
      </c>
      <c r="I108" s="92">
        <f>SUM(H108:H108)</f>
        <v>0</v>
      </c>
      <c r="K108" s="92">
        <v>2</v>
      </c>
      <c r="L108" s="92">
        <f>SUM(K108:K108)</f>
        <v>2</v>
      </c>
      <c r="N108" s="92">
        <f>SUM(C108+F108+I108+L108)</f>
        <v>2</v>
      </c>
    </row>
    <row r="109" spans="1:14" ht="15.75" customHeight="1">
      <c r="A109" s="93">
        <v>0.44791666666666669</v>
      </c>
      <c r="B109" s="94">
        <v>0</v>
      </c>
      <c r="C109" s="94">
        <f>SUM(B109:B109)</f>
        <v>0</v>
      </c>
      <c r="E109" s="94">
        <v>0</v>
      </c>
      <c r="F109" s="94">
        <f>SUM(E109:E109)</f>
        <v>0</v>
      </c>
      <c r="H109" s="94">
        <v>0</v>
      </c>
      <c r="I109" s="94">
        <f>SUM(H109:H109)</f>
        <v>0</v>
      </c>
      <c r="K109" s="94">
        <v>1</v>
      </c>
      <c r="L109" s="94">
        <f>SUM(K109:K109)</f>
        <v>1</v>
      </c>
      <c r="N109" s="94">
        <f>SUM(C109+F109+I109+L109)</f>
        <v>1</v>
      </c>
    </row>
    <row r="110" spans="1:14" ht="15.75" customHeight="1">
      <c r="A110" s="95" t="s">
        <v>29</v>
      </c>
      <c r="B110" s="95">
        <f>SUM(B106:B109)</f>
        <v>1</v>
      </c>
      <c r="C110" s="95">
        <f>SUM(C106:C109)</f>
        <v>1</v>
      </c>
      <c r="E110" s="95">
        <f>SUM(E106:E109)</f>
        <v>0</v>
      </c>
      <c r="F110" s="95">
        <f>SUM(F106:F109)</f>
        <v>0</v>
      </c>
      <c r="H110" s="95">
        <f>SUM(H106:H109)</f>
        <v>0</v>
      </c>
      <c r="I110" s="95">
        <f>SUM(I106:I109)</f>
        <v>0</v>
      </c>
      <c r="K110" s="95">
        <f>SUM(K106:K109)</f>
        <v>6</v>
      </c>
      <c r="L110" s="95">
        <f>SUM(L106:L109)</f>
        <v>6</v>
      </c>
      <c r="N110" s="95">
        <f>SUM(N106:N109)</f>
        <v>7</v>
      </c>
    </row>
    <row r="111" spans="1:14" ht="15.75" customHeight="1">
      <c r="A111" s="89">
        <v>0.45833333333333331</v>
      </c>
      <c r="B111" s="90">
        <v>0</v>
      </c>
      <c r="C111" s="90">
        <f>SUM(B111:B111)</f>
        <v>0</v>
      </c>
      <c r="E111" s="90">
        <v>0</v>
      </c>
      <c r="F111" s="90">
        <f>SUM(E111:E111)</f>
        <v>0</v>
      </c>
      <c r="H111" s="90">
        <v>0</v>
      </c>
      <c r="I111" s="90">
        <f>SUM(H111:H111)</f>
        <v>0</v>
      </c>
      <c r="K111" s="90">
        <v>0</v>
      </c>
      <c r="L111" s="90">
        <f>SUM(K111:K111)</f>
        <v>0</v>
      </c>
      <c r="N111" s="90">
        <f>SUM(C111+F111+I111+L111)</f>
        <v>0</v>
      </c>
    </row>
    <row r="112" spans="1:14" ht="15.75" customHeight="1">
      <c r="A112" s="91">
        <v>0.46875</v>
      </c>
      <c r="B112" s="92">
        <v>0</v>
      </c>
      <c r="C112" s="92">
        <f>SUM(B112:B112)</f>
        <v>0</v>
      </c>
      <c r="E112" s="92">
        <v>0</v>
      </c>
      <c r="F112" s="92">
        <f>SUM(E112:E112)</f>
        <v>0</v>
      </c>
      <c r="H112" s="92">
        <v>0</v>
      </c>
      <c r="I112" s="92">
        <f>SUM(H112:H112)</f>
        <v>0</v>
      </c>
      <c r="K112" s="92">
        <v>0</v>
      </c>
      <c r="L112" s="92">
        <f>SUM(K112:K112)</f>
        <v>0</v>
      </c>
      <c r="N112" s="92">
        <f>SUM(C112+F112+I112+L112)</f>
        <v>0</v>
      </c>
    </row>
    <row r="113" spans="1:14" ht="15.75" customHeight="1">
      <c r="A113" s="91">
        <v>0.47916666666666669</v>
      </c>
      <c r="B113" s="92">
        <v>0</v>
      </c>
      <c r="C113" s="92">
        <f>SUM(B113:B113)</f>
        <v>0</v>
      </c>
      <c r="E113" s="92">
        <v>0</v>
      </c>
      <c r="F113" s="92">
        <f>SUM(E113:E113)</f>
        <v>0</v>
      </c>
      <c r="H113" s="92">
        <v>0</v>
      </c>
      <c r="I113" s="92">
        <f>SUM(H113:H113)</f>
        <v>0</v>
      </c>
      <c r="K113" s="92">
        <v>1</v>
      </c>
      <c r="L113" s="92">
        <f>SUM(K113:K113)</f>
        <v>1</v>
      </c>
      <c r="N113" s="92">
        <f>SUM(C113+F113+I113+L113)</f>
        <v>1</v>
      </c>
    </row>
    <row r="114" spans="1:14" ht="15.75" customHeight="1">
      <c r="A114" s="93">
        <v>0.48958333333333331</v>
      </c>
      <c r="B114" s="94">
        <v>0</v>
      </c>
      <c r="C114" s="94">
        <f>SUM(B114:B114)</f>
        <v>0</v>
      </c>
      <c r="E114" s="94">
        <v>0</v>
      </c>
      <c r="F114" s="94">
        <f>SUM(E114:E114)</f>
        <v>0</v>
      </c>
      <c r="H114" s="94">
        <v>0</v>
      </c>
      <c r="I114" s="94">
        <f>SUM(H114:H114)</f>
        <v>0</v>
      </c>
      <c r="K114" s="94">
        <v>1</v>
      </c>
      <c r="L114" s="94">
        <f>SUM(K114:K114)</f>
        <v>1</v>
      </c>
      <c r="N114" s="94">
        <f>SUM(C114+F114+I114+L114)</f>
        <v>1</v>
      </c>
    </row>
    <row r="115" spans="1:14" ht="15.75" customHeight="1">
      <c r="A115" s="95" t="s">
        <v>29</v>
      </c>
      <c r="B115" s="95">
        <f>SUM(B111:B114)</f>
        <v>0</v>
      </c>
      <c r="C115" s="95">
        <f>SUM(C111:C114)</f>
        <v>0</v>
      </c>
      <c r="E115" s="95">
        <f>SUM(E111:E114)</f>
        <v>0</v>
      </c>
      <c r="F115" s="95">
        <f>SUM(F111:F114)</f>
        <v>0</v>
      </c>
      <c r="H115" s="95">
        <f>SUM(H111:H114)</f>
        <v>0</v>
      </c>
      <c r="I115" s="95">
        <f>SUM(I111:I114)</f>
        <v>0</v>
      </c>
      <c r="K115" s="95">
        <f>SUM(K111:K114)</f>
        <v>2</v>
      </c>
      <c r="L115" s="95">
        <f>SUM(L111:L114)</f>
        <v>2</v>
      </c>
      <c r="N115" s="95">
        <f>SUM(N111:N114)</f>
        <v>2</v>
      </c>
    </row>
    <row r="116" spans="1:14" ht="15.75" customHeight="1">
      <c r="A116" s="89">
        <v>0.5</v>
      </c>
      <c r="B116" s="90">
        <v>2</v>
      </c>
      <c r="C116" s="90">
        <f>SUM(B116:B116)</f>
        <v>2</v>
      </c>
      <c r="E116" s="90">
        <v>0</v>
      </c>
      <c r="F116" s="90">
        <f>SUM(E116:E116)</f>
        <v>0</v>
      </c>
      <c r="H116" s="90">
        <v>0</v>
      </c>
      <c r="I116" s="90">
        <f>SUM(H116:H116)</f>
        <v>0</v>
      </c>
      <c r="K116" s="90">
        <v>2</v>
      </c>
      <c r="L116" s="90">
        <f>SUM(K116:K116)</f>
        <v>2</v>
      </c>
      <c r="N116" s="90">
        <f>SUM(C116+F116+I116+L116)</f>
        <v>4</v>
      </c>
    </row>
    <row r="117" spans="1:14" ht="15.75" customHeight="1">
      <c r="A117" s="91">
        <v>0.51041666666666663</v>
      </c>
      <c r="B117" s="92">
        <v>0</v>
      </c>
      <c r="C117" s="92">
        <f>SUM(B117:B117)</f>
        <v>0</v>
      </c>
      <c r="E117" s="92">
        <v>0</v>
      </c>
      <c r="F117" s="92">
        <f>SUM(E117:E117)</f>
        <v>0</v>
      </c>
      <c r="H117" s="92">
        <v>2</v>
      </c>
      <c r="I117" s="92">
        <f>SUM(H117:H117)</f>
        <v>2</v>
      </c>
      <c r="K117" s="92">
        <v>6</v>
      </c>
      <c r="L117" s="92">
        <f>SUM(K117:K117)</f>
        <v>6</v>
      </c>
      <c r="N117" s="92">
        <f>SUM(C117+F117+I117+L117)</f>
        <v>8</v>
      </c>
    </row>
    <row r="118" spans="1:14" ht="15.75" customHeight="1">
      <c r="A118" s="91">
        <v>0.52083333333333337</v>
      </c>
      <c r="B118" s="92">
        <v>2</v>
      </c>
      <c r="C118" s="92">
        <f>SUM(B118:B118)</f>
        <v>2</v>
      </c>
      <c r="E118" s="92">
        <v>0</v>
      </c>
      <c r="F118" s="92">
        <f>SUM(E118:E118)</f>
        <v>0</v>
      </c>
      <c r="H118" s="92">
        <v>0</v>
      </c>
      <c r="I118" s="92">
        <f>SUM(H118:H118)</f>
        <v>0</v>
      </c>
      <c r="K118" s="92">
        <v>3</v>
      </c>
      <c r="L118" s="92">
        <f>SUM(K118:K118)</f>
        <v>3</v>
      </c>
      <c r="N118" s="92">
        <f>SUM(C118+F118+I118+L118)</f>
        <v>5</v>
      </c>
    </row>
    <row r="119" spans="1:14" ht="15.75" customHeight="1">
      <c r="A119" s="93">
        <v>0.53125</v>
      </c>
      <c r="B119" s="94">
        <v>3</v>
      </c>
      <c r="C119" s="94">
        <f>SUM(B119:B119)</f>
        <v>3</v>
      </c>
      <c r="E119" s="94">
        <v>0</v>
      </c>
      <c r="F119" s="94">
        <f>SUM(E119:E119)</f>
        <v>0</v>
      </c>
      <c r="H119" s="94">
        <v>3</v>
      </c>
      <c r="I119" s="94">
        <f>SUM(H119:H119)</f>
        <v>3</v>
      </c>
      <c r="K119" s="94">
        <v>7</v>
      </c>
      <c r="L119" s="94">
        <f>SUM(K119:K119)</f>
        <v>7</v>
      </c>
      <c r="N119" s="94">
        <f>SUM(C119+F119+I119+L119)</f>
        <v>13</v>
      </c>
    </row>
    <row r="120" spans="1:14" ht="15.75" customHeight="1">
      <c r="A120" s="95" t="s">
        <v>29</v>
      </c>
      <c r="B120" s="95">
        <f>SUM(B116:B119)</f>
        <v>7</v>
      </c>
      <c r="C120" s="95">
        <f>SUM(C116:C119)</f>
        <v>7</v>
      </c>
      <c r="E120" s="95">
        <f>SUM(E116:E119)</f>
        <v>0</v>
      </c>
      <c r="F120" s="95">
        <f>SUM(F116:F119)</f>
        <v>0</v>
      </c>
      <c r="H120" s="95">
        <f>SUM(H116:H119)</f>
        <v>5</v>
      </c>
      <c r="I120" s="95">
        <f>SUM(I116:I119)</f>
        <v>5</v>
      </c>
      <c r="K120" s="95">
        <f>SUM(K116:K119)</f>
        <v>18</v>
      </c>
      <c r="L120" s="95">
        <f>SUM(L116:L119)</f>
        <v>18</v>
      </c>
      <c r="N120" s="95">
        <f>SUM(N116:N119)</f>
        <v>30</v>
      </c>
    </row>
    <row r="122" spans="1:14" ht="15.75" customHeight="1">
      <c r="A122" s="95" t="s">
        <v>30</v>
      </c>
      <c r="B122" s="95">
        <f>SUM(B120+B115+B110+B105+B100+B95)</f>
        <v>12</v>
      </c>
      <c r="C122" s="95">
        <f>SUM(C120+C115+C110+C105+C100+C95)</f>
        <v>12</v>
      </c>
      <c r="E122" s="95">
        <f>SUM(E120+E115+E110+E105+E100+E95)</f>
        <v>0</v>
      </c>
      <c r="F122" s="95">
        <f>SUM(F120+F115+F110+F105+F100+F95)</f>
        <v>0</v>
      </c>
      <c r="H122" s="95">
        <f>SUM(H120+H115+H110+H105+H100+H95)</f>
        <v>12</v>
      </c>
      <c r="I122" s="95">
        <f>SUM(I120+I115+I110+I105+I100+I95)</f>
        <v>12</v>
      </c>
      <c r="K122" s="95">
        <f>SUM(K120+K115+K110+K105+K100+K95)</f>
        <v>40</v>
      </c>
      <c r="L122" s="95">
        <f>SUM(L120+L115+L110+L105+L100+L95)</f>
        <v>40</v>
      </c>
      <c r="N122" s="95">
        <f>SUM(N120+N115+N110+N105+N100+N95)</f>
        <v>64</v>
      </c>
    </row>
    <row r="124" spans="1:14" ht="15.75" customHeight="1">
      <c r="A124" s="72" t="s">
        <v>14</v>
      </c>
      <c r="B124" s="72" t="str">
        <f>$E$10</f>
        <v>Arm B - River Path</v>
      </c>
    </row>
    <row r="125" spans="1:14" ht="15.75" customHeight="1">
      <c r="A125" s="72"/>
      <c r="B125" s="79" t="s">
        <v>16</v>
      </c>
      <c r="C125" s="80"/>
      <c r="E125" s="79" t="s">
        <v>16</v>
      </c>
      <c r="F125" s="80"/>
      <c r="H125" s="79" t="s">
        <v>16</v>
      </c>
      <c r="I125" s="80"/>
      <c r="K125" s="79" t="s">
        <v>16</v>
      </c>
      <c r="L125" s="80"/>
    </row>
    <row r="126" spans="1:14" ht="42.75">
      <c r="B126" s="81" t="s">
        <v>42</v>
      </c>
      <c r="C126" s="82"/>
      <c r="D126" s="83"/>
      <c r="E126" s="81" t="s">
        <v>43</v>
      </c>
      <c r="F126" s="82"/>
      <c r="G126" s="83"/>
      <c r="H126" s="81" t="s">
        <v>44</v>
      </c>
      <c r="I126" s="82"/>
      <c r="J126" s="83"/>
      <c r="K126" s="81" t="s">
        <v>45</v>
      </c>
      <c r="L126" s="82"/>
      <c r="N126" s="84" t="s">
        <v>28</v>
      </c>
    </row>
    <row r="127" spans="1:14" s="85" customFormat="1" ht="15.75" customHeight="1">
      <c r="B127" s="86" t="s">
        <v>36</v>
      </c>
      <c r="C127" s="87" t="s">
        <v>24</v>
      </c>
      <c r="E127" s="86" t="str">
        <f>$B$11</f>
        <v>PEDS</v>
      </c>
      <c r="F127" s="87" t="s">
        <v>24</v>
      </c>
      <c r="H127" s="86" t="str">
        <f>$B$11</f>
        <v>PEDS</v>
      </c>
      <c r="I127" s="87" t="s">
        <v>24</v>
      </c>
      <c r="K127" s="86" t="str">
        <f>$B$11</f>
        <v>PEDS</v>
      </c>
      <c r="L127" s="87" t="s">
        <v>24</v>
      </c>
      <c r="N127" s="88"/>
    </row>
    <row r="129" spans="1:14" ht="15.75" customHeight="1">
      <c r="A129" s="89">
        <v>0.54166666666666663</v>
      </c>
      <c r="B129" s="90">
        <v>0</v>
      </c>
      <c r="C129" s="90">
        <f>SUM(B129:B129)</f>
        <v>0</v>
      </c>
      <c r="E129" s="90">
        <v>0</v>
      </c>
      <c r="F129" s="90">
        <f>SUM(E129:E129)</f>
        <v>0</v>
      </c>
      <c r="H129" s="90">
        <v>1</v>
      </c>
      <c r="I129" s="90">
        <f>SUM(H129:H129)</f>
        <v>1</v>
      </c>
      <c r="K129" s="90">
        <v>2</v>
      </c>
      <c r="L129" s="90">
        <f>SUM(K129:K129)</f>
        <v>2</v>
      </c>
      <c r="N129" s="90">
        <f>SUM(C129+F129+I129+L129)</f>
        <v>3</v>
      </c>
    </row>
    <row r="130" spans="1:14" ht="15.75" customHeight="1">
      <c r="A130" s="91">
        <v>0.55208333333333337</v>
      </c>
      <c r="B130" s="92">
        <v>0</v>
      </c>
      <c r="C130" s="92">
        <f>SUM(B130:B130)</f>
        <v>0</v>
      </c>
      <c r="E130" s="92">
        <v>0</v>
      </c>
      <c r="F130" s="92">
        <f>SUM(E130:E130)</f>
        <v>0</v>
      </c>
      <c r="H130" s="92">
        <v>0</v>
      </c>
      <c r="I130" s="92">
        <f>SUM(H130:H130)</f>
        <v>0</v>
      </c>
      <c r="K130" s="92">
        <v>1</v>
      </c>
      <c r="L130" s="92">
        <f>SUM(K130:K130)</f>
        <v>1</v>
      </c>
      <c r="N130" s="92">
        <f>SUM(C130+F130+I130+L130)</f>
        <v>1</v>
      </c>
    </row>
    <row r="131" spans="1:14" ht="15.75" customHeight="1">
      <c r="A131" s="91">
        <v>0.5625</v>
      </c>
      <c r="B131" s="92">
        <v>3</v>
      </c>
      <c r="C131" s="92">
        <f>SUM(B131:B131)</f>
        <v>3</v>
      </c>
      <c r="E131" s="92">
        <v>0</v>
      </c>
      <c r="F131" s="92">
        <f>SUM(E131:E131)</f>
        <v>0</v>
      </c>
      <c r="H131" s="92">
        <v>0</v>
      </c>
      <c r="I131" s="92">
        <f>SUM(H131:H131)</f>
        <v>0</v>
      </c>
      <c r="K131" s="92">
        <v>3</v>
      </c>
      <c r="L131" s="92">
        <f>SUM(K131:K131)</f>
        <v>3</v>
      </c>
      <c r="N131" s="92">
        <f>SUM(C131+F131+I131+L131)</f>
        <v>6</v>
      </c>
    </row>
    <row r="132" spans="1:14" ht="15.75" customHeight="1">
      <c r="A132" s="93">
        <v>0.57291666666666663</v>
      </c>
      <c r="B132" s="94">
        <v>1</v>
      </c>
      <c r="C132" s="94">
        <f>SUM(B132:B132)</f>
        <v>1</v>
      </c>
      <c r="E132" s="94">
        <v>0</v>
      </c>
      <c r="F132" s="94">
        <f>SUM(E132:E132)</f>
        <v>0</v>
      </c>
      <c r="H132" s="94">
        <v>0</v>
      </c>
      <c r="I132" s="94">
        <f>SUM(H132:H132)</f>
        <v>0</v>
      </c>
      <c r="K132" s="94">
        <v>2</v>
      </c>
      <c r="L132" s="94">
        <f>SUM(K132:K132)</f>
        <v>2</v>
      </c>
      <c r="N132" s="94">
        <f>SUM(C132+F132+I132+L132)</f>
        <v>3</v>
      </c>
    </row>
    <row r="133" spans="1:14" ht="15.75" customHeight="1">
      <c r="A133" s="95" t="s">
        <v>29</v>
      </c>
      <c r="B133" s="95">
        <f>SUM(B129:B132)</f>
        <v>4</v>
      </c>
      <c r="C133" s="95">
        <f>SUM(C129:C132)</f>
        <v>4</v>
      </c>
      <c r="E133" s="95">
        <f>SUM(E129:E132)</f>
        <v>0</v>
      </c>
      <c r="F133" s="95">
        <f>SUM(F129:F132)</f>
        <v>0</v>
      </c>
      <c r="H133" s="95">
        <f>SUM(H129:H132)</f>
        <v>1</v>
      </c>
      <c r="I133" s="95">
        <f>SUM(I129:I132)</f>
        <v>1</v>
      </c>
      <c r="K133" s="95">
        <f>SUM(K129:K132)</f>
        <v>8</v>
      </c>
      <c r="L133" s="95">
        <f>SUM(L129:L132)</f>
        <v>8</v>
      </c>
      <c r="N133" s="95">
        <f>SUM(N129:N132)</f>
        <v>13</v>
      </c>
    </row>
    <row r="134" spans="1:14" ht="15.75" customHeight="1">
      <c r="A134" s="89">
        <v>0.58333333333333337</v>
      </c>
      <c r="B134" s="90">
        <v>0</v>
      </c>
      <c r="C134" s="90">
        <f>SUM(B134:B134)</f>
        <v>0</v>
      </c>
      <c r="E134" s="90">
        <v>0</v>
      </c>
      <c r="F134" s="90">
        <f>SUM(E134:E134)</f>
        <v>0</v>
      </c>
      <c r="H134" s="90">
        <v>0</v>
      </c>
      <c r="I134" s="90">
        <f>SUM(H134:H134)</f>
        <v>0</v>
      </c>
      <c r="K134" s="90">
        <v>3</v>
      </c>
      <c r="L134" s="90">
        <f>SUM(K134:K134)</f>
        <v>3</v>
      </c>
      <c r="N134" s="90">
        <f>SUM(C134+F134+I134+L134)</f>
        <v>3</v>
      </c>
    </row>
    <row r="135" spans="1:14" ht="15.75" customHeight="1">
      <c r="A135" s="91">
        <v>0.59375</v>
      </c>
      <c r="B135" s="92">
        <v>0</v>
      </c>
      <c r="C135" s="92">
        <f>SUM(B135:B135)</f>
        <v>0</v>
      </c>
      <c r="E135" s="92">
        <v>0</v>
      </c>
      <c r="F135" s="92">
        <f>SUM(E135:E135)</f>
        <v>0</v>
      </c>
      <c r="H135" s="92">
        <v>1</v>
      </c>
      <c r="I135" s="92">
        <f>SUM(H135:H135)</f>
        <v>1</v>
      </c>
      <c r="K135" s="92">
        <v>0</v>
      </c>
      <c r="L135" s="92">
        <f>SUM(K135:K135)</f>
        <v>0</v>
      </c>
      <c r="N135" s="92">
        <f>SUM(C135+F135+I135+L135)</f>
        <v>1</v>
      </c>
    </row>
    <row r="136" spans="1:14" ht="15.75" customHeight="1">
      <c r="A136" s="91">
        <v>0.60416666666666663</v>
      </c>
      <c r="B136" s="92">
        <v>0</v>
      </c>
      <c r="C136" s="92">
        <f>SUM(B136:B136)</f>
        <v>0</v>
      </c>
      <c r="E136" s="92">
        <v>0</v>
      </c>
      <c r="F136" s="92">
        <f>SUM(E136:E136)</f>
        <v>0</v>
      </c>
      <c r="H136" s="92">
        <v>0</v>
      </c>
      <c r="I136" s="92">
        <f>SUM(H136:H136)</f>
        <v>0</v>
      </c>
      <c r="K136" s="92">
        <v>4</v>
      </c>
      <c r="L136" s="92">
        <f>SUM(K136:K136)</f>
        <v>4</v>
      </c>
      <c r="N136" s="92">
        <f>SUM(C136+F136+I136+L136)</f>
        <v>4</v>
      </c>
    </row>
    <row r="137" spans="1:14" ht="15.75" customHeight="1">
      <c r="A137" s="93">
        <v>0.61458333333333337</v>
      </c>
      <c r="B137" s="94">
        <v>0</v>
      </c>
      <c r="C137" s="94">
        <f>SUM(B137:B137)</f>
        <v>0</v>
      </c>
      <c r="E137" s="94">
        <v>0</v>
      </c>
      <c r="F137" s="94">
        <f>SUM(E137:E137)</f>
        <v>0</v>
      </c>
      <c r="H137" s="94">
        <v>0</v>
      </c>
      <c r="I137" s="94">
        <f>SUM(H137:H137)</f>
        <v>0</v>
      </c>
      <c r="K137" s="94">
        <v>1</v>
      </c>
      <c r="L137" s="94">
        <f>SUM(K137:K137)</f>
        <v>1</v>
      </c>
      <c r="N137" s="94">
        <f>SUM(C137+F137+I137+L137)</f>
        <v>1</v>
      </c>
    </row>
    <row r="138" spans="1:14" ht="15.75" customHeight="1">
      <c r="A138" s="95" t="s">
        <v>29</v>
      </c>
      <c r="B138" s="95">
        <f>SUM(B134:B137)</f>
        <v>0</v>
      </c>
      <c r="C138" s="95">
        <f>SUM(C134:C137)</f>
        <v>0</v>
      </c>
      <c r="E138" s="95">
        <f>SUM(E134:E137)</f>
        <v>0</v>
      </c>
      <c r="F138" s="95">
        <f>SUM(F134:F137)</f>
        <v>0</v>
      </c>
      <c r="H138" s="95">
        <f>SUM(H134:H137)</f>
        <v>1</v>
      </c>
      <c r="I138" s="95">
        <f>SUM(I134:I137)</f>
        <v>1</v>
      </c>
      <c r="K138" s="95">
        <f>SUM(K134:K137)</f>
        <v>8</v>
      </c>
      <c r="L138" s="95">
        <f>SUM(L134:L137)</f>
        <v>8</v>
      </c>
      <c r="N138" s="95">
        <f>SUM(N134:N137)</f>
        <v>9</v>
      </c>
    </row>
    <row r="139" spans="1:14" ht="15.75" customHeight="1">
      <c r="A139" s="89">
        <v>0.625</v>
      </c>
      <c r="B139" s="90">
        <v>0</v>
      </c>
      <c r="C139" s="90">
        <f>SUM(B139:B139)</f>
        <v>0</v>
      </c>
      <c r="E139" s="90">
        <v>0</v>
      </c>
      <c r="F139" s="90">
        <f>SUM(E139:E139)</f>
        <v>0</v>
      </c>
      <c r="H139" s="90">
        <v>0</v>
      </c>
      <c r="I139" s="90">
        <f>SUM(H139:H139)</f>
        <v>0</v>
      </c>
      <c r="K139" s="90">
        <v>6</v>
      </c>
      <c r="L139" s="90">
        <f>SUM(K139:K139)</f>
        <v>6</v>
      </c>
      <c r="N139" s="90">
        <f>SUM(C139+F139+I139+L139)</f>
        <v>6</v>
      </c>
    </row>
    <row r="140" spans="1:14" ht="15.75" customHeight="1">
      <c r="A140" s="91">
        <v>0.63541666666666663</v>
      </c>
      <c r="B140" s="92">
        <v>0</v>
      </c>
      <c r="C140" s="92">
        <f>SUM(B140:B140)</f>
        <v>0</v>
      </c>
      <c r="E140" s="92">
        <v>0</v>
      </c>
      <c r="F140" s="92">
        <f>SUM(E140:E140)</f>
        <v>0</v>
      </c>
      <c r="H140" s="92">
        <v>0</v>
      </c>
      <c r="I140" s="92">
        <f>SUM(H140:H140)</f>
        <v>0</v>
      </c>
      <c r="K140" s="92">
        <v>7</v>
      </c>
      <c r="L140" s="92">
        <f>SUM(K140:K140)</f>
        <v>7</v>
      </c>
      <c r="N140" s="92">
        <f>SUM(C140+F140+I140+L140)</f>
        <v>7</v>
      </c>
    </row>
    <row r="141" spans="1:14" ht="15.75" customHeight="1">
      <c r="A141" s="91">
        <v>0.64583333333333337</v>
      </c>
      <c r="B141" s="92">
        <v>0</v>
      </c>
      <c r="C141" s="92">
        <f>SUM(B141:B141)</f>
        <v>0</v>
      </c>
      <c r="E141" s="92">
        <v>0</v>
      </c>
      <c r="F141" s="92">
        <f>SUM(E141:E141)</f>
        <v>0</v>
      </c>
      <c r="H141" s="92">
        <v>0</v>
      </c>
      <c r="I141" s="92">
        <f>SUM(H141:H141)</f>
        <v>0</v>
      </c>
      <c r="K141" s="92">
        <v>6</v>
      </c>
      <c r="L141" s="92">
        <f>SUM(K141:K141)</f>
        <v>6</v>
      </c>
      <c r="N141" s="92">
        <f>SUM(C141+F141+I141+L141)</f>
        <v>6</v>
      </c>
    </row>
    <row r="142" spans="1:14" ht="15.75" customHeight="1">
      <c r="A142" s="93">
        <v>0.65625</v>
      </c>
      <c r="B142" s="94">
        <v>0</v>
      </c>
      <c r="C142" s="94">
        <f>SUM(B142:B142)</f>
        <v>0</v>
      </c>
      <c r="E142" s="94">
        <v>0</v>
      </c>
      <c r="F142" s="94">
        <f>SUM(E142:E142)</f>
        <v>0</v>
      </c>
      <c r="H142" s="94">
        <v>0</v>
      </c>
      <c r="I142" s="94">
        <f>SUM(H142:H142)</f>
        <v>0</v>
      </c>
      <c r="K142" s="94">
        <v>2</v>
      </c>
      <c r="L142" s="94">
        <f>SUM(K142:K142)</f>
        <v>2</v>
      </c>
      <c r="N142" s="94">
        <f>SUM(C142+F142+I142+L142)</f>
        <v>2</v>
      </c>
    </row>
    <row r="143" spans="1:14" ht="15.75" customHeight="1">
      <c r="A143" s="95" t="s">
        <v>29</v>
      </c>
      <c r="B143" s="95">
        <f>SUM(B139:B142)</f>
        <v>0</v>
      </c>
      <c r="C143" s="95">
        <f>SUM(C139:C142)</f>
        <v>0</v>
      </c>
      <c r="E143" s="95">
        <f>SUM(E139:E142)</f>
        <v>0</v>
      </c>
      <c r="F143" s="95">
        <f>SUM(F139:F142)</f>
        <v>0</v>
      </c>
      <c r="H143" s="95">
        <f>SUM(H139:H142)</f>
        <v>0</v>
      </c>
      <c r="I143" s="95">
        <f>SUM(I139:I142)</f>
        <v>0</v>
      </c>
      <c r="K143" s="95">
        <f>SUM(K139:K142)</f>
        <v>21</v>
      </c>
      <c r="L143" s="95">
        <f>SUM(L139:L142)</f>
        <v>21</v>
      </c>
      <c r="N143" s="95">
        <f>SUM(N139:N142)</f>
        <v>21</v>
      </c>
    </row>
    <row r="144" spans="1:14" ht="15.75" customHeight="1">
      <c r="A144" s="89">
        <v>0.66666666666666663</v>
      </c>
      <c r="B144" s="90">
        <v>0</v>
      </c>
      <c r="C144" s="90">
        <f>SUM(B144:B144)</f>
        <v>0</v>
      </c>
      <c r="E144" s="90">
        <v>0</v>
      </c>
      <c r="F144" s="90">
        <f>SUM(E144:E144)</f>
        <v>0</v>
      </c>
      <c r="H144" s="90">
        <v>0</v>
      </c>
      <c r="I144" s="90">
        <f>SUM(H144:H144)</f>
        <v>0</v>
      </c>
      <c r="K144" s="90">
        <v>7</v>
      </c>
      <c r="L144" s="90">
        <f>SUM(K144:K144)</f>
        <v>7</v>
      </c>
      <c r="N144" s="90">
        <f>SUM(C144+F144+I144+L144)</f>
        <v>7</v>
      </c>
    </row>
    <row r="145" spans="1:14" ht="15.75" customHeight="1">
      <c r="A145" s="91">
        <v>0.67708333333333337</v>
      </c>
      <c r="B145" s="92">
        <v>0</v>
      </c>
      <c r="C145" s="92">
        <f>SUM(B145:B145)</f>
        <v>0</v>
      </c>
      <c r="E145" s="92">
        <v>0</v>
      </c>
      <c r="F145" s="92">
        <f>SUM(E145:E145)</f>
        <v>0</v>
      </c>
      <c r="H145" s="92">
        <v>0</v>
      </c>
      <c r="I145" s="92">
        <f>SUM(H145:H145)</f>
        <v>0</v>
      </c>
      <c r="K145" s="92">
        <v>12</v>
      </c>
      <c r="L145" s="92">
        <f>SUM(K145:K145)</f>
        <v>12</v>
      </c>
      <c r="N145" s="92">
        <f>SUM(C145+F145+I145+L145)</f>
        <v>12</v>
      </c>
    </row>
    <row r="146" spans="1:14" ht="15.75" customHeight="1">
      <c r="A146" s="91">
        <v>0.6875</v>
      </c>
      <c r="B146" s="92">
        <v>0</v>
      </c>
      <c r="C146" s="92">
        <f>SUM(B146:B146)</f>
        <v>0</v>
      </c>
      <c r="E146" s="92">
        <v>0</v>
      </c>
      <c r="F146" s="92">
        <f>SUM(E146:E146)</f>
        <v>0</v>
      </c>
      <c r="H146" s="92">
        <v>1</v>
      </c>
      <c r="I146" s="92">
        <f>SUM(H146:H146)</f>
        <v>1</v>
      </c>
      <c r="K146" s="92">
        <v>7</v>
      </c>
      <c r="L146" s="92">
        <f>SUM(K146:K146)</f>
        <v>7</v>
      </c>
      <c r="N146" s="92">
        <f>SUM(C146+F146+I146+L146)</f>
        <v>8</v>
      </c>
    </row>
    <row r="147" spans="1:14" ht="15.75" customHeight="1">
      <c r="A147" s="93">
        <v>0.69791666666666663</v>
      </c>
      <c r="B147" s="94">
        <v>0</v>
      </c>
      <c r="C147" s="94">
        <f>SUM(B147:B147)</f>
        <v>0</v>
      </c>
      <c r="E147" s="94">
        <v>0</v>
      </c>
      <c r="F147" s="94">
        <f>SUM(E147:E147)</f>
        <v>0</v>
      </c>
      <c r="H147" s="94">
        <v>0</v>
      </c>
      <c r="I147" s="94">
        <f>SUM(H147:H147)</f>
        <v>0</v>
      </c>
      <c r="K147" s="94">
        <v>8</v>
      </c>
      <c r="L147" s="94">
        <f>SUM(K147:K147)</f>
        <v>8</v>
      </c>
      <c r="N147" s="94">
        <f>SUM(C147+F147+I147+L147)</f>
        <v>8</v>
      </c>
    </row>
    <row r="148" spans="1:14" ht="15.75" customHeight="1">
      <c r="A148" s="95" t="s">
        <v>29</v>
      </c>
      <c r="B148" s="95">
        <f>SUM(B144:B147)</f>
        <v>0</v>
      </c>
      <c r="C148" s="95">
        <f>SUM(C144:C147)</f>
        <v>0</v>
      </c>
      <c r="E148" s="95">
        <f>SUM(E144:E147)</f>
        <v>0</v>
      </c>
      <c r="F148" s="95">
        <f>SUM(F144:F147)</f>
        <v>0</v>
      </c>
      <c r="H148" s="95">
        <f>SUM(H144:H147)</f>
        <v>1</v>
      </c>
      <c r="I148" s="95">
        <f>SUM(I144:I147)</f>
        <v>1</v>
      </c>
      <c r="K148" s="95">
        <f>SUM(K144:K147)</f>
        <v>34</v>
      </c>
      <c r="L148" s="95">
        <f>SUM(L144:L147)</f>
        <v>34</v>
      </c>
      <c r="N148" s="95">
        <f>SUM(N144:N147)</f>
        <v>35</v>
      </c>
    </row>
    <row r="149" spans="1:14" ht="15.75" customHeight="1">
      <c r="A149" s="89">
        <v>0.70833333333333337</v>
      </c>
      <c r="B149" s="90">
        <v>0</v>
      </c>
      <c r="C149" s="90">
        <f>SUM(B149:B149)</f>
        <v>0</v>
      </c>
      <c r="E149" s="90">
        <v>0</v>
      </c>
      <c r="F149" s="90">
        <f>SUM(E149:E149)</f>
        <v>0</v>
      </c>
      <c r="H149" s="90">
        <v>0</v>
      </c>
      <c r="I149" s="90">
        <f>SUM(H149:H149)</f>
        <v>0</v>
      </c>
      <c r="K149" s="90">
        <v>10</v>
      </c>
      <c r="L149" s="90">
        <f>SUM(K149:K149)</f>
        <v>10</v>
      </c>
      <c r="N149" s="90">
        <f>SUM(C149+F149+I149+L149)</f>
        <v>10</v>
      </c>
    </row>
    <row r="150" spans="1:14" ht="15.75" customHeight="1">
      <c r="A150" s="91">
        <v>0.71875</v>
      </c>
      <c r="B150" s="92">
        <v>0</v>
      </c>
      <c r="C150" s="92">
        <f>SUM(B150:B150)</f>
        <v>0</v>
      </c>
      <c r="E150" s="92">
        <v>0</v>
      </c>
      <c r="F150" s="92">
        <f>SUM(E150:E150)</f>
        <v>0</v>
      </c>
      <c r="H150" s="92">
        <v>0</v>
      </c>
      <c r="I150" s="92">
        <f>SUM(H150:H150)</f>
        <v>0</v>
      </c>
      <c r="K150" s="92">
        <v>34</v>
      </c>
      <c r="L150" s="92">
        <f>SUM(K150:K150)</f>
        <v>34</v>
      </c>
      <c r="N150" s="92">
        <f>SUM(C150+F150+I150+L150)</f>
        <v>34</v>
      </c>
    </row>
    <row r="151" spans="1:14" ht="15.75" customHeight="1">
      <c r="A151" s="91">
        <v>0.72916666666666663</v>
      </c>
      <c r="B151" s="92">
        <v>0</v>
      </c>
      <c r="C151" s="92">
        <f>SUM(B151:B151)</f>
        <v>0</v>
      </c>
      <c r="E151" s="92">
        <v>0</v>
      </c>
      <c r="F151" s="92">
        <f>SUM(E151:E151)</f>
        <v>0</v>
      </c>
      <c r="H151" s="92">
        <v>0</v>
      </c>
      <c r="I151" s="92">
        <f>SUM(H151:H151)</f>
        <v>0</v>
      </c>
      <c r="K151" s="92">
        <v>26</v>
      </c>
      <c r="L151" s="92">
        <f>SUM(K151:K151)</f>
        <v>26</v>
      </c>
      <c r="N151" s="92">
        <f>SUM(C151+F151+I151+L151)</f>
        <v>26</v>
      </c>
    </row>
    <row r="152" spans="1:14" ht="15.75" customHeight="1">
      <c r="A152" s="93">
        <v>0.73958333333333337</v>
      </c>
      <c r="B152" s="94">
        <v>2</v>
      </c>
      <c r="C152" s="94">
        <f>SUM(B152:B152)</f>
        <v>2</v>
      </c>
      <c r="E152" s="94">
        <v>0</v>
      </c>
      <c r="F152" s="94">
        <f>SUM(E152:E152)</f>
        <v>0</v>
      </c>
      <c r="H152" s="94">
        <v>3</v>
      </c>
      <c r="I152" s="94">
        <f>SUM(H152:H152)</f>
        <v>3</v>
      </c>
      <c r="K152" s="94">
        <v>13</v>
      </c>
      <c r="L152" s="94">
        <f>SUM(K152:K152)</f>
        <v>13</v>
      </c>
      <c r="N152" s="94">
        <f>SUM(C152+F152+I152+L152)</f>
        <v>18</v>
      </c>
    </row>
    <row r="153" spans="1:14" ht="15.75" customHeight="1">
      <c r="A153" s="95" t="s">
        <v>29</v>
      </c>
      <c r="B153" s="95">
        <f>SUM(B149:B152)</f>
        <v>2</v>
      </c>
      <c r="C153" s="95">
        <f>SUM(C149:C152)</f>
        <v>2</v>
      </c>
      <c r="E153" s="95">
        <f>SUM(E149:E152)</f>
        <v>0</v>
      </c>
      <c r="F153" s="95">
        <f>SUM(F149:F152)</f>
        <v>0</v>
      </c>
      <c r="H153" s="95">
        <f>SUM(H149:H152)</f>
        <v>3</v>
      </c>
      <c r="I153" s="95">
        <f>SUM(I149:I152)</f>
        <v>3</v>
      </c>
      <c r="K153" s="95">
        <f>SUM(K149:K152)</f>
        <v>83</v>
      </c>
      <c r="L153" s="95">
        <f>SUM(L149:L152)</f>
        <v>83</v>
      </c>
      <c r="N153" s="95">
        <f>SUM(N149:N152)</f>
        <v>88</v>
      </c>
    </row>
    <row r="154" spans="1:14" ht="15.75" customHeight="1">
      <c r="A154" s="89">
        <v>0.75</v>
      </c>
      <c r="B154" s="90">
        <v>1</v>
      </c>
      <c r="C154" s="90">
        <f>SUM(B154:B154)</f>
        <v>1</v>
      </c>
      <c r="E154" s="90">
        <v>0</v>
      </c>
      <c r="F154" s="90">
        <f>SUM(E154:E154)</f>
        <v>0</v>
      </c>
      <c r="H154" s="90">
        <v>0</v>
      </c>
      <c r="I154" s="90">
        <f>SUM(H154:H154)</f>
        <v>0</v>
      </c>
      <c r="K154" s="90">
        <v>17</v>
      </c>
      <c r="L154" s="90">
        <f>SUM(K154:K154)</f>
        <v>17</v>
      </c>
      <c r="N154" s="90">
        <f>SUM(C154+F154+I154+L154)</f>
        <v>18</v>
      </c>
    </row>
    <row r="155" spans="1:14" ht="15.75" customHeight="1">
      <c r="A155" s="91">
        <v>0.76041666666666663</v>
      </c>
      <c r="B155" s="92">
        <v>1</v>
      </c>
      <c r="C155" s="92">
        <f>SUM(B155:B155)</f>
        <v>1</v>
      </c>
      <c r="E155" s="92">
        <v>0</v>
      </c>
      <c r="F155" s="92">
        <f>SUM(E155:E155)</f>
        <v>0</v>
      </c>
      <c r="H155" s="92">
        <v>1</v>
      </c>
      <c r="I155" s="92">
        <f>SUM(H155:H155)</f>
        <v>1</v>
      </c>
      <c r="K155" s="92">
        <v>14</v>
      </c>
      <c r="L155" s="92">
        <f>SUM(K155:K155)</f>
        <v>14</v>
      </c>
      <c r="N155" s="92">
        <f>SUM(C155+F155+I155+L155)</f>
        <v>16</v>
      </c>
    </row>
    <row r="156" spans="1:14" ht="15.75" customHeight="1">
      <c r="A156" s="91">
        <v>0.77083333333333337</v>
      </c>
      <c r="B156" s="92">
        <v>0</v>
      </c>
      <c r="C156" s="92">
        <f>SUM(B156:B156)</f>
        <v>0</v>
      </c>
      <c r="E156" s="92">
        <v>0</v>
      </c>
      <c r="F156" s="92">
        <f>SUM(E156:E156)</f>
        <v>0</v>
      </c>
      <c r="H156" s="92">
        <v>0</v>
      </c>
      <c r="I156" s="92">
        <f>SUM(H156:H156)</f>
        <v>0</v>
      </c>
      <c r="K156" s="92">
        <v>10</v>
      </c>
      <c r="L156" s="92">
        <f>SUM(K156:K156)</f>
        <v>10</v>
      </c>
      <c r="N156" s="92">
        <f>SUM(C156+F156+I156+L156)</f>
        <v>10</v>
      </c>
    </row>
    <row r="157" spans="1:14" ht="15.75" customHeight="1">
      <c r="A157" s="93">
        <v>0.78125</v>
      </c>
      <c r="B157" s="94">
        <v>0</v>
      </c>
      <c r="C157" s="94">
        <f>SUM(B157:B157)</f>
        <v>0</v>
      </c>
      <c r="E157" s="94">
        <v>0</v>
      </c>
      <c r="F157" s="94">
        <f>SUM(E157:E157)</f>
        <v>0</v>
      </c>
      <c r="H157" s="94">
        <v>0</v>
      </c>
      <c r="I157" s="94">
        <f>SUM(H157:H157)</f>
        <v>0</v>
      </c>
      <c r="K157" s="94">
        <v>4</v>
      </c>
      <c r="L157" s="94">
        <f>SUM(K157:K157)</f>
        <v>4</v>
      </c>
      <c r="N157" s="94">
        <f>SUM(C157+F157+I157+L157)</f>
        <v>4</v>
      </c>
    </row>
    <row r="158" spans="1:14" ht="15.75" customHeight="1">
      <c r="A158" s="95" t="s">
        <v>29</v>
      </c>
      <c r="B158" s="95">
        <f>SUM(B154:B157)</f>
        <v>2</v>
      </c>
      <c r="C158" s="95">
        <f>SUM(C154:C157)</f>
        <v>2</v>
      </c>
      <c r="E158" s="95">
        <f>SUM(E154:E157)</f>
        <v>0</v>
      </c>
      <c r="F158" s="95">
        <f>SUM(F154:F157)</f>
        <v>0</v>
      </c>
      <c r="H158" s="95">
        <f>SUM(H154:H157)</f>
        <v>1</v>
      </c>
      <c r="I158" s="95">
        <f>SUM(I154:I157)</f>
        <v>1</v>
      </c>
      <c r="K158" s="95">
        <f>SUM(K154:K157)</f>
        <v>45</v>
      </c>
      <c r="L158" s="95">
        <f>SUM(L154:L157)</f>
        <v>45</v>
      </c>
      <c r="N158" s="95">
        <f>SUM(N154:N157)</f>
        <v>48</v>
      </c>
    </row>
    <row r="160" spans="1:14" ht="15.75" customHeight="1">
      <c r="A160" s="95" t="s">
        <v>30</v>
      </c>
      <c r="B160" s="95">
        <f>SUM(B158+B153+B148+B143+B138+B133)</f>
        <v>8</v>
      </c>
      <c r="C160" s="95">
        <f>SUM(C158+C153+C148+C143+C138+C133)</f>
        <v>8</v>
      </c>
      <c r="E160" s="95">
        <f>SUM(E158+E153+E148+E143+E138+E133)</f>
        <v>0</v>
      </c>
      <c r="F160" s="95">
        <f>SUM(F158+F153+F148+F143+F138+F133)</f>
        <v>0</v>
      </c>
      <c r="H160" s="95">
        <f>SUM(H158+H153+H148+H143+H138+H133)</f>
        <v>7</v>
      </c>
      <c r="I160" s="95">
        <f>SUM(I158+I153+I148+I143+I138+I133)</f>
        <v>7</v>
      </c>
      <c r="K160" s="95">
        <f>SUM(K158+K153+K148+K143+K138+K133)</f>
        <v>199</v>
      </c>
      <c r="L160" s="95">
        <f>SUM(L158+L153+L148+L143+L138+L133)</f>
        <v>199</v>
      </c>
      <c r="N160" s="95">
        <f>SUM(N158+N153+N148+N143+N138+N133)</f>
        <v>214</v>
      </c>
    </row>
    <row r="162" spans="1:14" ht="15.75" customHeight="1">
      <c r="A162" s="95" t="s">
        <v>24</v>
      </c>
      <c r="B162" s="95">
        <f>SUM(B122+B160)</f>
        <v>20</v>
      </c>
      <c r="C162" s="95">
        <f>SUM(C122+C160)</f>
        <v>20</v>
      </c>
      <c r="E162" s="95">
        <f>SUM(E122+E160)</f>
        <v>0</v>
      </c>
      <c r="F162" s="95">
        <f>SUM(F122+F160)</f>
        <v>0</v>
      </c>
      <c r="H162" s="95">
        <f>SUM(H122+H160)</f>
        <v>19</v>
      </c>
      <c r="I162" s="95">
        <f>SUM(I122+I160)</f>
        <v>19</v>
      </c>
      <c r="K162" s="95">
        <f>SUM(K122+K160)</f>
        <v>239</v>
      </c>
      <c r="L162" s="95">
        <f>SUM(L122+L160)</f>
        <v>239</v>
      </c>
      <c r="N162" s="95">
        <f>SUM(N122+N160)</f>
        <v>278</v>
      </c>
    </row>
    <row r="164" spans="1:14" ht="15.75" customHeight="1">
      <c r="A164" s="72" t="s">
        <v>14</v>
      </c>
      <c r="B164" s="72" t="str">
        <f>$H$10</f>
        <v>Arm C - Commerical Road</v>
      </c>
    </row>
    <row r="165" spans="1:14" ht="15.75" customHeight="1">
      <c r="A165" s="72"/>
      <c r="B165" s="79" t="s">
        <v>16</v>
      </c>
      <c r="C165" s="80"/>
      <c r="E165" s="79" t="s">
        <v>16</v>
      </c>
      <c r="F165" s="80"/>
      <c r="H165" s="79" t="s">
        <v>16</v>
      </c>
      <c r="I165" s="80"/>
      <c r="K165" s="79" t="s">
        <v>16</v>
      </c>
      <c r="L165" s="80"/>
    </row>
    <row r="166" spans="1:14" ht="42.75">
      <c r="B166" s="81" t="s">
        <v>42</v>
      </c>
      <c r="C166" s="82"/>
      <c r="D166" s="83"/>
      <c r="E166" s="81" t="s">
        <v>43</v>
      </c>
      <c r="F166" s="82"/>
      <c r="G166" s="83"/>
      <c r="H166" s="81" t="s">
        <v>44</v>
      </c>
      <c r="I166" s="82"/>
      <c r="J166" s="83"/>
      <c r="K166" s="81" t="s">
        <v>45</v>
      </c>
      <c r="L166" s="82"/>
      <c r="N166" s="84" t="s">
        <v>28</v>
      </c>
    </row>
    <row r="167" spans="1:14" s="85" customFormat="1" ht="15.75" customHeight="1">
      <c r="B167" s="86" t="s">
        <v>36</v>
      </c>
      <c r="C167" s="87" t="s">
        <v>24</v>
      </c>
      <c r="E167" s="86" t="str">
        <f>$B$11</f>
        <v>PEDS</v>
      </c>
      <c r="F167" s="87" t="s">
        <v>24</v>
      </c>
      <c r="H167" s="86" t="str">
        <f>$B$11</f>
        <v>PEDS</v>
      </c>
      <c r="I167" s="87" t="s">
        <v>24</v>
      </c>
      <c r="K167" s="86" t="str">
        <f>$B$11</f>
        <v>PEDS</v>
      </c>
      <c r="L167" s="87" t="s">
        <v>24</v>
      </c>
      <c r="N167" s="88"/>
    </row>
    <row r="169" spans="1:14" ht="15.75" customHeight="1">
      <c r="A169" s="89">
        <v>0.29166666666666669</v>
      </c>
      <c r="B169" s="90">
        <v>5</v>
      </c>
      <c r="C169" s="90">
        <f>SUM(B169:B169)</f>
        <v>5</v>
      </c>
      <c r="E169" s="90">
        <v>0</v>
      </c>
      <c r="F169" s="90">
        <f>SUM(E169:E169)</f>
        <v>0</v>
      </c>
      <c r="H169" s="90">
        <v>0</v>
      </c>
      <c r="I169" s="90">
        <f>SUM(H169:H169)</f>
        <v>0</v>
      </c>
      <c r="K169" s="90">
        <v>0</v>
      </c>
      <c r="L169" s="90">
        <f>SUM(K169:K169)</f>
        <v>0</v>
      </c>
      <c r="N169" s="90">
        <f>SUM(C169+F169+I169+L169)</f>
        <v>5</v>
      </c>
    </row>
    <row r="170" spans="1:14" ht="15.75" customHeight="1">
      <c r="A170" s="91">
        <v>0.30208333333333331</v>
      </c>
      <c r="B170" s="92">
        <v>5</v>
      </c>
      <c r="C170" s="92">
        <f>SUM(B170:B170)</f>
        <v>5</v>
      </c>
      <c r="E170" s="92">
        <v>0</v>
      </c>
      <c r="F170" s="92">
        <f>SUM(E170:E170)</f>
        <v>0</v>
      </c>
      <c r="H170" s="92">
        <v>0</v>
      </c>
      <c r="I170" s="92">
        <f>SUM(H170:H170)</f>
        <v>0</v>
      </c>
      <c r="K170" s="92">
        <v>0</v>
      </c>
      <c r="L170" s="92">
        <f>SUM(K170:K170)</f>
        <v>0</v>
      </c>
      <c r="N170" s="92">
        <f>SUM(C170+F170+I170+L170)</f>
        <v>5</v>
      </c>
    </row>
    <row r="171" spans="1:14" ht="15.75" customHeight="1">
      <c r="A171" s="91">
        <v>0.3125</v>
      </c>
      <c r="B171" s="92">
        <v>5</v>
      </c>
      <c r="C171" s="92">
        <f>SUM(B171:B171)</f>
        <v>5</v>
      </c>
      <c r="E171" s="92">
        <v>0</v>
      </c>
      <c r="F171" s="92">
        <f>SUM(E171:E171)</f>
        <v>0</v>
      </c>
      <c r="H171" s="92">
        <v>0</v>
      </c>
      <c r="I171" s="92">
        <f>SUM(H171:H171)</f>
        <v>0</v>
      </c>
      <c r="K171" s="92">
        <v>0</v>
      </c>
      <c r="L171" s="92">
        <f>SUM(K171:K171)</f>
        <v>0</v>
      </c>
      <c r="N171" s="92">
        <f>SUM(C171+F171+I171+L171)</f>
        <v>5</v>
      </c>
    </row>
    <row r="172" spans="1:14" ht="15.75" customHeight="1">
      <c r="A172" s="93">
        <v>0.32291666666666669</v>
      </c>
      <c r="B172" s="94">
        <v>5</v>
      </c>
      <c r="C172" s="94">
        <f>SUM(B172:B172)</f>
        <v>5</v>
      </c>
      <c r="E172" s="94">
        <v>0</v>
      </c>
      <c r="F172" s="94">
        <f>SUM(E172:E172)</f>
        <v>0</v>
      </c>
      <c r="H172" s="94">
        <v>0</v>
      </c>
      <c r="I172" s="94">
        <f>SUM(H172:H172)</f>
        <v>0</v>
      </c>
      <c r="K172" s="94">
        <v>0</v>
      </c>
      <c r="L172" s="94">
        <f>SUM(K172:K172)</f>
        <v>0</v>
      </c>
      <c r="N172" s="94">
        <f>SUM(C172+F172+I172+L172)</f>
        <v>5</v>
      </c>
    </row>
    <row r="173" spans="1:14" ht="15.75" customHeight="1">
      <c r="A173" s="95" t="s">
        <v>29</v>
      </c>
      <c r="B173" s="95">
        <f>SUM(B169:B172)</f>
        <v>20</v>
      </c>
      <c r="C173" s="95">
        <f>SUM(C169:C172)</f>
        <v>20</v>
      </c>
      <c r="E173" s="95">
        <f>SUM(E169:E172)</f>
        <v>0</v>
      </c>
      <c r="F173" s="95">
        <f>SUM(F169:F172)</f>
        <v>0</v>
      </c>
      <c r="H173" s="95">
        <f>SUM(H169:H172)</f>
        <v>0</v>
      </c>
      <c r="I173" s="95">
        <f>SUM(I169:I172)</f>
        <v>0</v>
      </c>
      <c r="K173" s="95">
        <f>SUM(K169:K172)</f>
        <v>0</v>
      </c>
      <c r="L173" s="95">
        <f>SUM(L169:L172)</f>
        <v>0</v>
      </c>
      <c r="N173" s="95">
        <f>SUM(N169:N172)</f>
        <v>20</v>
      </c>
    </row>
    <row r="174" spans="1:14" ht="15.75" customHeight="1">
      <c r="A174" s="89">
        <v>0.33333333333333331</v>
      </c>
      <c r="B174" s="90">
        <v>19</v>
      </c>
      <c r="C174" s="90">
        <f>SUM(B174:B174)</f>
        <v>19</v>
      </c>
      <c r="E174" s="90">
        <v>1</v>
      </c>
      <c r="F174" s="90">
        <f>SUM(E174:E174)</f>
        <v>1</v>
      </c>
      <c r="H174" s="90">
        <v>0</v>
      </c>
      <c r="I174" s="90">
        <f>SUM(H174:H174)</f>
        <v>0</v>
      </c>
      <c r="K174" s="90">
        <v>0</v>
      </c>
      <c r="L174" s="90">
        <f>SUM(K174:K174)</f>
        <v>0</v>
      </c>
      <c r="N174" s="90">
        <f>SUM(C174+F174+I174+L174)</f>
        <v>20</v>
      </c>
    </row>
    <row r="175" spans="1:14" ht="15.75" customHeight="1">
      <c r="A175" s="91">
        <v>0.34375</v>
      </c>
      <c r="B175" s="92">
        <v>22</v>
      </c>
      <c r="C175" s="92">
        <f>SUM(B175:B175)</f>
        <v>22</v>
      </c>
      <c r="E175" s="92">
        <v>1</v>
      </c>
      <c r="F175" s="92">
        <f>SUM(E175:E175)</f>
        <v>1</v>
      </c>
      <c r="H175" s="92">
        <v>0</v>
      </c>
      <c r="I175" s="92">
        <f>SUM(H175:H175)</f>
        <v>0</v>
      </c>
      <c r="K175" s="92">
        <v>0</v>
      </c>
      <c r="L175" s="92">
        <f>SUM(K175:K175)</f>
        <v>0</v>
      </c>
      <c r="N175" s="92">
        <f>SUM(C175+F175+I175+L175)</f>
        <v>23</v>
      </c>
    </row>
    <row r="176" spans="1:14" ht="15.75" customHeight="1">
      <c r="A176" s="91">
        <v>0.35416666666666669</v>
      </c>
      <c r="B176" s="92">
        <v>29</v>
      </c>
      <c r="C176" s="92">
        <f>SUM(B176:B176)</f>
        <v>29</v>
      </c>
      <c r="E176" s="92">
        <v>1</v>
      </c>
      <c r="F176" s="92">
        <f>SUM(E176:E176)</f>
        <v>1</v>
      </c>
      <c r="H176" s="92">
        <v>0</v>
      </c>
      <c r="I176" s="92">
        <f>SUM(H176:H176)</f>
        <v>0</v>
      </c>
      <c r="K176" s="92">
        <v>4</v>
      </c>
      <c r="L176" s="92">
        <f>SUM(K176:K176)</f>
        <v>4</v>
      </c>
      <c r="N176" s="92">
        <f>SUM(C176+F176+I176+L176)</f>
        <v>34</v>
      </c>
    </row>
    <row r="177" spans="1:14" ht="15.75" customHeight="1">
      <c r="A177" s="93">
        <v>0.36458333333333331</v>
      </c>
      <c r="B177" s="94">
        <v>22</v>
      </c>
      <c r="C177" s="94">
        <f>SUM(B177:B177)</f>
        <v>22</v>
      </c>
      <c r="E177" s="94">
        <v>0</v>
      </c>
      <c r="F177" s="94">
        <f>SUM(E177:E177)</f>
        <v>0</v>
      </c>
      <c r="H177" s="94">
        <v>0</v>
      </c>
      <c r="I177" s="94">
        <f>SUM(H177:H177)</f>
        <v>0</v>
      </c>
      <c r="K177" s="94">
        <v>0</v>
      </c>
      <c r="L177" s="94">
        <f>SUM(K177:K177)</f>
        <v>0</v>
      </c>
      <c r="N177" s="94">
        <f>SUM(C177+F177+I177+L177)</f>
        <v>22</v>
      </c>
    </row>
    <row r="178" spans="1:14" ht="15.75" customHeight="1">
      <c r="A178" s="95" t="s">
        <v>29</v>
      </c>
      <c r="B178" s="95">
        <f>SUM(B174:B177)</f>
        <v>92</v>
      </c>
      <c r="C178" s="95">
        <f>SUM(C174:C177)</f>
        <v>92</v>
      </c>
      <c r="E178" s="95">
        <f>SUM(E174:E177)</f>
        <v>3</v>
      </c>
      <c r="F178" s="95">
        <f>SUM(F174:F177)</f>
        <v>3</v>
      </c>
      <c r="H178" s="95">
        <f>SUM(H174:H177)</f>
        <v>0</v>
      </c>
      <c r="I178" s="95">
        <f>SUM(I174:I177)</f>
        <v>0</v>
      </c>
      <c r="K178" s="95">
        <f>SUM(K174:K177)</f>
        <v>4</v>
      </c>
      <c r="L178" s="95">
        <f>SUM(L174:L177)</f>
        <v>4</v>
      </c>
      <c r="N178" s="95">
        <f>SUM(N174:N177)</f>
        <v>99</v>
      </c>
    </row>
    <row r="179" spans="1:14" ht="15.75" customHeight="1">
      <c r="A179" s="89">
        <v>0.375</v>
      </c>
      <c r="B179" s="90">
        <v>12</v>
      </c>
      <c r="C179" s="90">
        <f>SUM(B179:B179)</f>
        <v>12</v>
      </c>
      <c r="E179" s="90">
        <v>1</v>
      </c>
      <c r="F179" s="90">
        <f>SUM(E179:E179)</f>
        <v>1</v>
      </c>
      <c r="H179" s="90">
        <v>0</v>
      </c>
      <c r="I179" s="90">
        <f>SUM(H179:H179)</f>
        <v>0</v>
      </c>
      <c r="K179" s="90">
        <v>1</v>
      </c>
      <c r="L179" s="90">
        <f>SUM(K179:K179)</f>
        <v>1</v>
      </c>
      <c r="N179" s="90">
        <f>SUM(C179+F179+I179+L179)</f>
        <v>14</v>
      </c>
    </row>
    <row r="180" spans="1:14" ht="15.75" customHeight="1">
      <c r="A180" s="91">
        <v>0.38541666666666669</v>
      </c>
      <c r="B180" s="92">
        <v>15</v>
      </c>
      <c r="C180" s="92">
        <f>SUM(B180:B180)</f>
        <v>15</v>
      </c>
      <c r="E180" s="92">
        <v>1</v>
      </c>
      <c r="F180" s="92">
        <f>SUM(E180:E180)</f>
        <v>1</v>
      </c>
      <c r="H180" s="92">
        <v>0</v>
      </c>
      <c r="I180" s="92">
        <f>SUM(H180:H180)</f>
        <v>0</v>
      </c>
      <c r="K180" s="92">
        <v>2</v>
      </c>
      <c r="L180" s="92">
        <f>SUM(K180:K180)</f>
        <v>2</v>
      </c>
      <c r="N180" s="92">
        <f>SUM(C180+F180+I180+L180)</f>
        <v>18</v>
      </c>
    </row>
    <row r="181" spans="1:14" ht="15.75" customHeight="1">
      <c r="A181" s="91">
        <v>0.39583333333333331</v>
      </c>
      <c r="B181" s="92">
        <v>12</v>
      </c>
      <c r="C181" s="92">
        <f>SUM(B181:B181)</f>
        <v>12</v>
      </c>
      <c r="E181" s="92">
        <v>0</v>
      </c>
      <c r="F181" s="92">
        <f>SUM(E181:E181)</f>
        <v>0</v>
      </c>
      <c r="H181" s="92">
        <v>0</v>
      </c>
      <c r="I181" s="92">
        <f>SUM(H181:H181)</f>
        <v>0</v>
      </c>
      <c r="K181" s="92">
        <v>2</v>
      </c>
      <c r="L181" s="92">
        <f>SUM(K181:K181)</f>
        <v>2</v>
      </c>
      <c r="N181" s="92">
        <f>SUM(C181+F181+I181+L181)</f>
        <v>14</v>
      </c>
    </row>
    <row r="182" spans="1:14" ht="15.75" customHeight="1">
      <c r="A182" s="93">
        <v>0.40625</v>
      </c>
      <c r="B182" s="94">
        <v>8</v>
      </c>
      <c r="C182" s="94">
        <f>SUM(B182:B182)</f>
        <v>8</v>
      </c>
      <c r="E182" s="94">
        <v>0</v>
      </c>
      <c r="F182" s="94">
        <f>SUM(E182:E182)</f>
        <v>0</v>
      </c>
      <c r="H182" s="94">
        <v>0</v>
      </c>
      <c r="I182" s="94">
        <f>SUM(H182:H182)</f>
        <v>0</v>
      </c>
      <c r="K182" s="94">
        <v>0</v>
      </c>
      <c r="L182" s="94">
        <f>SUM(K182:K182)</f>
        <v>0</v>
      </c>
      <c r="N182" s="94">
        <f>SUM(C182+F182+I182+L182)</f>
        <v>8</v>
      </c>
    </row>
    <row r="183" spans="1:14" ht="15.75" customHeight="1">
      <c r="A183" s="95" t="s">
        <v>29</v>
      </c>
      <c r="B183" s="95">
        <f>SUM(B179:B182)</f>
        <v>47</v>
      </c>
      <c r="C183" s="95">
        <f>SUM(C179:C182)</f>
        <v>47</v>
      </c>
      <c r="E183" s="95">
        <f>SUM(E179:E182)</f>
        <v>2</v>
      </c>
      <c r="F183" s="95">
        <f>SUM(F179:F182)</f>
        <v>2</v>
      </c>
      <c r="H183" s="95">
        <f>SUM(H179:H182)</f>
        <v>0</v>
      </c>
      <c r="I183" s="95">
        <f>SUM(I179:I182)</f>
        <v>0</v>
      </c>
      <c r="K183" s="95">
        <f>SUM(K179:K182)</f>
        <v>5</v>
      </c>
      <c r="L183" s="95">
        <f>SUM(L179:L182)</f>
        <v>5</v>
      </c>
      <c r="N183" s="95">
        <f>SUM(N179:N182)</f>
        <v>54</v>
      </c>
    </row>
    <row r="184" spans="1:14" ht="15.75" customHeight="1">
      <c r="A184" s="89">
        <v>0.41666666666666669</v>
      </c>
      <c r="B184" s="90">
        <v>8</v>
      </c>
      <c r="C184" s="90">
        <f>SUM(B184:B184)</f>
        <v>8</v>
      </c>
      <c r="E184" s="90">
        <v>0</v>
      </c>
      <c r="F184" s="90">
        <f>SUM(E184:E184)</f>
        <v>0</v>
      </c>
      <c r="H184" s="90">
        <v>0</v>
      </c>
      <c r="I184" s="90">
        <f>SUM(H184:H184)</f>
        <v>0</v>
      </c>
      <c r="K184" s="90">
        <v>1</v>
      </c>
      <c r="L184" s="90">
        <f>SUM(K184:K184)</f>
        <v>1</v>
      </c>
      <c r="N184" s="90">
        <f>SUM(C184+F184+I184+L184)</f>
        <v>9</v>
      </c>
    </row>
    <row r="185" spans="1:14" ht="15.75" customHeight="1">
      <c r="A185" s="91">
        <v>0.42708333333333331</v>
      </c>
      <c r="B185" s="92">
        <v>8</v>
      </c>
      <c r="C185" s="92">
        <f>SUM(B185:B185)</f>
        <v>8</v>
      </c>
      <c r="E185" s="92">
        <v>0</v>
      </c>
      <c r="F185" s="92">
        <f>SUM(E185:E185)</f>
        <v>0</v>
      </c>
      <c r="H185" s="92">
        <v>0</v>
      </c>
      <c r="I185" s="92">
        <f>SUM(H185:H185)</f>
        <v>0</v>
      </c>
      <c r="K185" s="92">
        <v>0</v>
      </c>
      <c r="L185" s="92">
        <f>SUM(K185:K185)</f>
        <v>0</v>
      </c>
      <c r="N185" s="92">
        <f>SUM(C185+F185+I185+L185)</f>
        <v>8</v>
      </c>
    </row>
    <row r="186" spans="1:14" ht="15.75" customHeight="1">
      <c r="A186" s="91">
        <v>0.4375</v>
      </c>
      <c r="B186" s="92">
        <v>5</v>
      </c>
      <c r="C186" s="92">
        <f>SUM(B186:B186)</f>
        <v>5</v>
      </c>
      <c r="E186" s="92">
        <v>1</v>
      </c>
      <c r="F186" s="92">
        <f>SUM(E186:E186)</f>
        <v>1</v>
      </c>
      <c r="H186" s="92">
        <v>0</v>
      </c>
      <c r="I186" s="92">
        <f>SUM(H186:H186)</f>
        <v>0</v>
      </c>
      <c r="K186" s="92">
        <v>0</v>
      </c>
      <c r="L186" s="92">
        <f>SUM(K186:K186)</f>
        <v>0</v>
      </c>
      <c r="N186" s="92">
        <f>SUM(C186+F186+I186+L186)</f>
        <v>6</v>
      </c>
    </row>
    <row r="187" spans="1:14" ht="15.75" customHeight="1">
      <c r="A187" s="93">
        <v>0.44791666666666669</v>
      </c>
      <c r="B187" s="94">
        <v>3</v>
      </c>
      <c r="C187" s="94">
        <f>SUM(B187:B187)</f>
        <v>3</v>
      </c>
      <c r="E187" s="94">
        <v>0</v>
      </c>
      <c r="F187" s="94">
        <f>SUM(E187:E187)</f>
        <v>0</v>
      </c>
      <c r="H187" s="94">
        <v>0</v>
      </c>
      <c r="I187" s="94">
        <f>SUM(H187:H187)</f>
        <v>0</v>
      </c>
      <c r="K187" s="94">
        <v>1</v>
      </c>
      <c r="L187" s="94">
        <f>SUM(K187:K187)</f>
        <v>1</v>
      </c>
      <c r="N187" s="94">
        <f>SUM(C187+F187+I187+L187)</f>
        <v>4</v>
      </c>
    </row>
    <row r="188" spans="1:14" ht="15.75" customHeight="1">
      <c r="A188" s="95" t="s">
        <v>29</v>
      </c>
      <c r="B188" s="95">
        <f>SUM(B184:B187)</f>
        <v>24</v>
      </c>
      <c r="C188" s="95">
        <f>SUM(C184:C187)</f>
        <v>24</v>
      </c>
      <c r="E188" s="95">
        <f>SUM(E184:E187)</f>
        <v>1</v>
      </c>
      <c r="F188" s="95">
        <f>SUM(F184:F187)</f>
        <v>1</v>
      </c>
      <c r="H188" s="95">
        <f>SUM(H184:H187)</f>
        <v>0</v>
      </c>
      <c r="I188" s="95">
        <f>SUM(I184:I187)</f>
        <v>0</v>
      </c>
      <c r="K188" s="95">
        <f>SUM(K184:K187)</f>
        <v>2</v>
      </c>
      <c r="L188" s="95">
        <f>SUM(L184:L187)</f>
        <v>2</v>
      </c>
      <c r="N188" s="95">
        <f>SUM(N184:N187)</f>
        <v>27</v>
      </c>
    </row>
    <row r="189" spans="1:14" ht="15.75" customHeight="1">
      <c r="A189" s="89">
        <v>0.45833333333333331</v>
      </c>
      <c r="B189" s="90">
        <v>1</v>
      </c>
      <c r="C189" s="90">
        <f>SUM(B189:B189)</f>
        <v>1</v>
      </c>
      <c r="E189" s="90">
        <v>0</v>
      </c>
      <c r="F189" s="90">
        <f>SUM(E189:E189)</f>
        <v>0</v>
      </c>
      <c r="H189" s="90">
        <v>0</v>
      </c>
      <c r="I189" s="90">
        <f>SUM(H189:H189)</f>
        <v>0</v>
      </c>
      <c r="K189" s="90">
        <v>0</v>
      </c>
      <c r="L189" s="90">
        <f>SUM(K189:K189)</f>
        <v>0</v>
      </c>
      <c r="N189" s="90">
        <f>SUM(C189+F189+I189+L189)</f>
        <v>1</v>
      </c>
    </row>
    <row r="190" spans="1:14" ht="15.75" customHeight="1">
      <c r="A190" s="91">
        <v>0.46875</v>
      </c>
      <c r="B190" s="92">
        <v>4</v>
      </c>
      <c r="C190" s="92">
        <f>SUM(B190:B190)</f>
        <v>4</v>
      </c>
      <c r="E190" s="92">
        <v>2</v>
      </c>
      <c r="F190" s="92">
        <f>SUM(E190:E190)</f>
        <v>2</v>
      </c>
      <c r="H190" s="92">
        <v>0</v>
      </c>
      <c r="I190" s="92">
        <f>SUM(H190:H190)</f>
        <v>0</v>
      </c>
      <c r="K190" s="92">
        <v>1</v>
      </c>
      <c r="L190" s="92">
        <f>SUM(K190:K190)</f>
        <v>1</v>
      </c>
      <c r="N190" s="92">
        <f>SUM(C190+F190+I190+L190)</f>
        <v>7</v>
      </c>
    </row>
    <row r="191" spans="1:14" ht="15.75" customHeight="1">
      <c r="A191" s="91">
        <v>0.47916666666666669</v>
      </c>
      <c r="B191" s="92">
        <v>7</v>
      </c>
      <c r="C191" s="92">
        <f>SUM(B191:B191)</f>
        <v>7</v>
      </c>
      <c r="E191" s="92">
        <v>0</v>
      </c>
      <c r="F191" s="92">
        <f>SUM(E191:E191)</f>
        <v>0</v>
      </c>
      <c r="H191" s="92">
        <v>0</v>
      </c>
      <c r="I191" s="92">
        <f>SUM(H191:H191)</f>
        <v>0</v>
      </c>
      <c r="K191" s="92">
        <v>1</v>
      </c>
      <c r="L191" s="92">
        <f>SUM(K191:K191)</f>
        <v>1</v>
      </c>
      <c r="N191" s="92">
        <f>SUM(C191+F191+I191+L191)</f>
        <v>8</v>
      </c>
    </row>
    <row r="192" spans="1:14" ht="15.75" customHeight="1">
      <c r="A192" s="93">
        <v>0.48958333333333331</v>
      </c>
      <c r="B192" s="94">
        <v>4</v>
      </c>
      <c r="C192" s="94">
        <f>SUM(B192:B192)</f>
        <v>4</v>
      </c>
      <c r="E192" s="94">
        <v>0</v>
      </c>
      <c r="F192" s="94">
        <f>SUM(E192:E192)</f>
        <v>0</v>
      </c>
      <c r="H192" s="94">
        <v>0</v>
      </c>
      <c r="I192" s="94">
        <f>SUM(H192:H192)</f>
        <v>0</v>
      </c>
      <c r="K192" s="94">
        <v>0</v>
      </c>
      <c r="L192" s="94">
        <f>SUM(K192:K192)</f>
        <v>0</v>
      </c>
      <c r="N192" s="94">
        <f>SUM(C192+F192+I192+L192)</f>
        <v>4</v>
      </c>
    </row>
    <row r="193" spans="1:14" ht="15.75" customHeight="1">
      <c r="A193" s="95" t="s">
        <v>29</v>
      </c>
      <c r="B193" s="95">
        <f>SUM(B189:B192)</f>
        <v>16</v>
      </c>
      <c r="C193" s="95">
        <f>SUM(C189:C192)</f>
        <v>16</v>
      </c>
      <c r="E193" s="95">
        <f>SUM(E189:E192)</f>
        <v>2</v>
      </c>
      <c r="F193" s="95">
        <f>SUM(F189:F192)</f>
        <v>2</v>
      </c>
      <c r="H193" s="95">
        <f>SUM(H189:H192)</f>
        <v>0</v>
      </c>
      <c r="I193" s="95">
        <f>SUM(I189:I192)</f>
        <v>0</v>
      </c>
      <c r="K193" s="95">
        <f>SUM(K189:K192)</f>
        <v>2</v>
      </c>
      <c r="L193" s="95">
        <f>SUM(L189:L192)</f>
        <v>2</v>
      </c>
      <c r="N193" s="95">
        <f>SUM(N189:N192)</f>
        <v>20</v>
      </c>
    </row>
    <row r="194" spans="1:14" ht="15.75" customHeight="1">
      <c r="A194" s="89">
        <v>0.5</v>
      </c>
      <c r="B194" s="90">
        <v>4</v>
      </c>
      <c r="C194" s="90">
        <f>SUM(B194:B194)</f>
        <v>4</v>
      </c>
      <c r="E194" s="90">
        <v>0</v>
      </c>
      <c r="F194" s="90">
        <f>SUM(E194:E194)</f>
        <v>0</v>
      </c>
      <c r="H194" s="90">
        <v>0</v>
      </c>
      <c r="I194" s="90">
        <f>SUM(H194:H194)</f>
        <v>0</v>
      </c>
      <c r="K194" s="90">
        <v>0</v>
      </c>
      <c r="L194" s="90">
        <f>SUM(K194:K194)</f>
        <v>0</v>
      </c>
      <c r="N194" s="90">
        <f>SUM(C194+F194+I194+L194)</f>
        <v>4</v>
      </c>
    </row>
    <row r="195" spans="1:14" ht="15.75" customHeight="1">
      <c r="A195" s="91">
        <v>0.51041666666666663</v>
      </c>
      <c r="B195" s="92">
        <v>9</v>
      </c>
      <c r="C195" s="92">
        <f>SUM(B195:B195)</f>
        <v>9</v>
      </c>
      <c r="E195" s="92">
        <v>0</v>
      </c>
      <c r="F195" s="92">
        <f>SUM(E195:E195)</f>
        <v>0</v>
      </c>
      <c r="H195" s="92">
        <v>0</v>
      </c>
      <c r="I195" s="92">
        <f>SUM(H195:H195)</f>
        <v>0</v>
      </c>
      <c r="K195" s="92">
        <v>2</v>
      </c>
      <c r="L195" s="92">
        <f>SUM(K195:K195)</f>
        <v>2</v>
      </c>
      <c r="N195" s="92">
        <f>SUM(C195+F195+I195+L195)</f>
        <v>11</v>
      </c>
    </row>
    <row r="196" spans="1:14" ht="15.75" customHeight="1">
      <c r="A196" s="91">
        <v>0.52083333333333337</v>
      </c>
      <c r="B196" s="92">
        <v>5</v>
      </c>
      <c r="C196" s="92">
        <f>SUM(B196:B196)</f>
        <v>5</v>
      </c>
      <c r="E196" s="92">
        <v>0</v>
      </c>
      <c r="F196" s="92">
        <f>SUM(E196:E196)</f>
        <v>0</v>
      </c>
      <c r="H196" s="92">
        <v>0</v>
      </c>
      <c r="I196" s="92">
        <f>SUM(H196:H196)</f>
        <v>0</v>
      </c>
      <c r="K196" s="92">
        <v>3</v>
      </c>
      <c r="L196" s="92">
        <f>SUM(K196:K196)</f>
        <v>3</v>
      </c>
      <c r="N196" s="92">
        <f>SUM(C196+F196+I196+L196)</f>
        <v>8</v>
      </c>
    </row>
    <row r="197" spans="1:14" ht="15.75" customHeight="1">
      <c r="A197" s="93">
        <v>0.53125</v>
      </c>
      <c r="B197" s="94">
        <v>3</v>
      </c>
      <c r="C197" s="94">
        <f>SUM(B197:B197)</f>
        <v>3</v>
      </c>
      <c r="E197" s="94">
        <v>2</v>
      </c>
      <c r="F197" s="94">
        <f>SUM(E197:E197)</f>
        <v>2</v>
      </c>
      <c r="H197" s="94">
        <v>0</v>
      </c>
      <c r="I197" s="94">
        <f>SUM(H197:H197)</f>
        <v>0</v>
      </c>
      <c r="K197" s="94">
        <v>3</v>
      </c>
      <c r="L197" s="94">
        <f>SUM(K197:K197)</f>
        <v>3</v>
      </c>
      <c r="N197" s="94">
        <f>SUM(C197+F197+I197+L197)</f>
        <v>8</v>
      </c>
    </row>
    <row r="198" spans="1:14" ht="15.75" customHeight="1">
      <c r="A198" s="95" t="s">
        <v>29</v>
      </c>
      <c r="B198" s="95">
        <f>SUM(B194:B197)</f>
        <v>21</v>
      </c>
      <c r="C198" s="95">
        <f>SUM(C194:C197)</f>
        <v>21</v>
      </c>
      <c r="E198" s="95">
        <f>SUM(E194:E197)</f>
        <v>2</v>
      </c>
      <c r="F198" s="95">
        <f>SUM(F194:F197)</f>
        <v>2</v>
      </c>
      <c r="H198" s="95">
        <f>SUM(H194:H197)</f>
        <v>0</v>
      </c>
      <c r="I198" s="95">
        <f>SUM(I194:I197)</f>
        <v>0</v>
      </c>
      <c r="K198" s="95">
        <f>SUM(K194:K197)</f>
        <v>8</v>
      </c>
      <c r="L198" s="95">
        <f>SUM(L194:L197)</f>
        <v>8</v>
      </c>
      <c r="N198" s="95">
        <f>SUM(N194:N197)</f>
        <v>31</v>
      </c>
    </row>
    <row r="200" spans="1:14" ht="15.75" customHeight="1">
      <c r="A200" s="95" t="s">
        <v>30</v>
      </c>
      <c r="B200" s="95">
        <f>SUM(B198+B193+B188+B183+B178+B173)</f>
        <v>220</v>
      </c>
      <c r="C200" s="95">
        <f>SUM(C198+C193+C188+C183+C178+C173)</f>
        <v>220</v>
      </c>
      <c r="E200" s="95">
        <f>SUM(E198+E193+E188+E183+E178+E173)</f>
        <v>10</v>
      </c>
      <c r="F200" s="95">
        <f>SUM(F198+F193+F188+F183+F178+F173)</f>
        <v>10</v>
      </c>
      <c r="H200" s="95">
        <f>SUM(H198+H193+H188+H183+H178+H173)</f>
        <v>0</v>
      </c>
      <c r="I200" s="95">
        <f>SUM(I198+I193+I188+I183+I178+I173)</f>
        <v>0</v>
      </c>
      <c r="K200" s="95">
        <f>SUM(K198+K193+K188+K183+K178+K173)</f>
        <v>21</v>
      </c>
      <c r="L200" s="95">
        <f>SUM(L198+L193+L188+L183+L178+L173)</f>
        <v>21</v>
      </c>
      <c r="N200" s="95">
        <f>SUM(N198+N193+N188+N183+N178+N173)</f>
        <v>251</v>
      </c>
    </row>
    <row r="202" spans="1:14" ht="15.75" customHeight="1">
      <c r="A202" s="72" t="s">
        <v>14</v>
      </c>
      <c r="B202" s="72" t="str">
        <f>$H$10</f>
        <v>Arm C - Commerical Road</v>
      </c>
    </row>
    <row r="203" spans="1:14" ht="15.75" customHeight="1">
      <c r="A203" s="72"/>
      <c r="B203" s="79" t="s">
        <v>16</v>
      </c>
      <c r="C203" s="80"/>
      <c r="E203" s="79" t="s">
        <v>16</v>
      </c>
      <c r="F203" s="80"/>
      <c r="H203" s="79" t="s">
        <v>16</v>
      </c>
      <c r="I203" s="80"/>
      <c r="K203" s="79" t="s">
        <v>16</v>
      </c>
      <c r="L203" s="80"/>
    </row>
    <row r="204" spans="1:14" ht="42.75">
      <c r="B204" s="81" t="s">
        <v>42</v>
      </c>
      <c r="C204" s="82"/>
      <c r="D204" s="83"/>
      <c r="E204" s="81" t="s">
        <v>43</v>
      </c>
      <c r="F204" s="82"/>
      <c r="G204" s="83"/>
      <c r="H204" s="81" t="s">
        <v>44</v>
      </c>
      <c r="I204" s="82"/>
      <c r="J204" s="83"/>
      <c r="K204" s="81" t="s">
        <v>45</v>
      </c>
      <c r="L204" s="82"/>
      <c r="N204" s="84" t="s">
        <v>28</v>
      </c>
    </row>
    <row r="205" spans="1:14" s="85" customFormat="1" ht="15.75" customHeight="1">
      <c r="B205" s="86" t="s">
        <v>36</v>
      </c>
      <c r="C205" s="87" t="s">
        <v>24</v>
      </c>
      <c r="E205" s="86" t="str">
        <f>$B$11</f>
        <v>PEDS</v>
      </c>
      <c r="F205" s="87" t="s">
        <v>24</v>
      </c>
      <c r="H205" s="86" t="str">
        <f>$B$11</f>
        <v>PEDS</v>
      </c>
      <c r="I205" s="87" t="s">
        <v>24</v>
      </c>
      <c r="K205" s="86" t="str">
        <f>$B$11</f>
        <v>PEDS</v>
      </c>
      <c r="L205" s="87" t="s">
        <v>24</v>
      </c>
      <c r="N205" s="88"/>
    </row>
    <row r="207" spans="1:14" ht="15.75" customHeight="1">
      <c r="A207" s="89">
        <v>0.54166666666666663</v>
      </c>
      <c r="B207" s="90">
        <v>3</v>
      </c>
      <c r="C207" s="90">
        <f>SUM(B207:B207)</f>
        <v>3</v>
      </c>
      <c r="E207" s="90">
        <v>0</v>
      </c>
      <c r="F207" s="90">
        <f>SUM(E207:E207)</f>
        <v>0</v>
      </c>
      <c r="H207" s="90">
        <v>0</v>
      </c>
      <c r="I207" s="90">
        <f>SUM(H207:H207)</f>
        <v>0</v>
      </c>
      <c r="K207" s="90">
        <v>0</v>
      </c>
      <c r="L207" s="90">
        <f>SUM(K207:K207)</f>
        <v>0</v>
      </c>
      <c r="N207" s="90">
        <f>SUM(C207+F207+I207+L207)</f>
        <v>3</v>
      </c>
    </row>
    <row r="208" spans="1:14" ht="15.75" customHeight="1">
      <c r="A208" s="91">
        <v>0.55208333333333337</v>
      </c>
      <c r="B208" s="92">
        <v>4</v>
      </c>
      <c r="C208" s="92">
        <f>SUM(B208:B208)</f>
        <v>4</v>
      </c>
      <c r="E208" s="92">
        <v>2</v>
      </c>
      <c r="F208" s="92">
        <f>SUM(E208:E208)</f>
        <v>2</v>
      </c>
      <c r="H208" s="92">
        <v>0</v>
      </c>
      <c r="I208" s="92">
        <f>SUM(H208:H208)</f>
        <v>0</v>
      </c>
      <c r="K208" s="92">
        <v>3</v>
      </c>
      <c r="L208" s="92">
        <f>SUM(K208:K208)</f>
        <v>3</v>
      </c>
      <c r="N208" s="92">
        <f>SUM(C208+F208+I208+L208)</f>
        <v>9</v>
      </c>
    </row>
    <row r="209" spans="1:14" ht="15.75" customHeight="1">
      <c r="A209" s="91">
        <v>0.5625</v>
      </c>
      <c r="B209" s="92">
        <v>3</v>
      </c>
      <c r="C209" s="92">
        <f>SUM(B209:B209)</f>
        <v>3</v>
      </c>
      <c r="E209" s="92">
        <v>0</v>
      </c>
      <c r="F209" s="92">
        <f>SUM(E209:E209)</f>
        <v>0</v>
      </c>
      <c r="H209" s="92">
        <v>0</v>
      </c>
      <c r="I209" s="92">
        <f>SUM(H209:H209)</f>
        <v>0</v>
      </c>
      <c r="K209" s="92">
        <v>2</v>
      </c>
      <c r="L209" s="92">
        <f>SUM(K209:K209)</f>
        <v>2</v>
      </c>
      <c r="N209" s="92">
        <f>SUM(C209+F209+I209+L209)</f>
        <v>5</v>
      </c>
    </row>
    <row r="210" spans="1:14" ht="15.75" customHeight="1">
      <c r="A210" s="93">
        <v>0.57291666666666663</v>
      </c>
      <c r="B210" s="94">
        <v>3</v>
      </c>
      <c r="C210" s="94">
        <f>SUM(B210:B210)</f>
        <v>3</v>
      </c>
      <c r="E210" s="94">
        <v>0</v>
      </c>
      <c r="F210" s="94">
        <f>SUM(E210:E210)</f>
        <v>0</v>
      </c>
      <c r="H210" s="94">
        <v>0</v>
      </c>
      <c r="I210" s="94">
        <f>SUM(H210:H210)</f>
        <v>0</v>
      </c>
      <c r="K210" s="94">
        <v>3</v>
      </c>
      <c r="L210" s="94">
        <f>SUM(K210:K210)</f>
        <v>3</v>
      </c>
      <c r="N210" s="94">
        <f>SUM(C210+F210+I210+L210)</f>
        <v>6</v>
      </c>
    </row>
    <row r="211" spans="1:14" ht="15.75" customHeight="1">
      <c r="A211" s="95" t="s">
        <v>29</v>
      </c>
      <c r="B211" s="95">
        <f>SUM(B207:B210)</f>
        <v>13</v>
      </c>
      <c r="C211" s="95">
        <f>SUM(C207:C210)</f>
        <v>13</v>
      </c>
      <c r="E211" s="95">
        <f>SUM(E207:E210)</f>
        <v>2</v>
      </c>
      <c r="F211" s="95">
        <f>SUM(F207:F210)</f>
        <v>2</v>
      </c>
      <c r="H211" s="95">
        <f>SUM(H207:H210)</f>
        <v>0</v>
      </c>
      <c r="I211" s="95">
        <f>SUM(I207:I210)</f>
        <v>0</v>
      </c>
      <c r="K211" s="95">
        <f>SUM(K207:K210)</f>
        <v>8</v>
      </c>
      <c r="L211" s="95">
        <f>SUM(L207:L210)</f>
        <v>8</v>
      </c>
      <c r="N211" s="95">
        <f>SUM(N207:N210)</f>
        <v>23</v>
      </c>
    </row>
    <row r="212" spans="1:14" ht="15.75" customHeight="1">
      <c r="A212" s="89">
        <v>0.58333333333333337</v>
      </c>
      <c r="B212" s="90">
        <v>3</v>
      </c>
      <c r="C212" s="90">
        <f>SUM(B212:B212)</f>
        <v>3</v>
      </c>
      <c r="E212" s="90">
        <v>0</v>
      </c>
      <c r="F212" s="90">
        <f>SUM(E212:E212)</f>
        <v>0</v>
      </c>
      <c r="H212" s="90">
        <v>0</v>
      </c>
      <c r="I212" s="90">
        <f>SUM(H212:H212)</f>
        <v>0</v>
      </c>
      <c r="K212" s="90">
        <v>4</v>
      </c>
      <c r="L212" s="90">
        <f>SUM(K212:K212)</f>
        <v>4</v>
      </c>
      <c r="N212" s="90">
        <f>SUM(C212+F212+I212+L212)</f>
        <v>7</v>
      </c>
    </row>
    <row r="213" spans="1:14" ht="15.75" customHeight="1">
      <c r="A213" s="91">
        <v>0.59375</v>
      </c>
      <c r="B213" s="92">
        <v>1</v>
      </c>
      <c r="C213" s="92">
        <f>SUM(B213:B213)</f>
        <v>1</v>
      </c>
      <c r="E213" s="92">
        <v>0</v>
      </c>
      <c r="F213" s="92">
        <f>SUM(E213:E213)</f>
        <v>0</v>
      </c>
      <c r="H213" s="92">
        <v>0</v>
      </c>
      <c r="I213" s="92">
        <f>SUM(H213:H213)</f>
        <v>0</v>
      </c>
      <c r="K213" s="92">
        <v>1</v>
      </c>
      <c r="L213" s="92">
        <f>SUM(K213:K213)</f>
        <v>1</v>
      </c>
      <c r="N213" s="92">
        <f>SUM(C213+F213+I213+L213)</f>
        <v>2</v>
      </c>
    </row>
    <row r="214" spans="1:14" ht="15.75" customHeight="1">
      <c r="A214" s="91">
        <v>0.60416666666666663</v>
      </c>
      <c r="B214" s="92">
        <v>2</v>
      </c>
      <c r="C214" s="92">
        <f>SUM(B214:B214)</f>
        <v>2</v>
      </c>
      <c r="E214" s="92">
        <v>0</v>
      </c>
      <c r="F214" s="92">
        <f>SUM(E214:E214)</f>
        <v>0</v>
      </c>
      <c r="H214" s="92">
        <v>0</v>
      </c>
      <c r="I214" s="92">
        <f>SUM(H214:H214)</f>
        <v>0</v>
      </c>
      <c r="K214" s="92">
        <v>0</v>
      </c>
      <c r="L214" s="92">
        <f>SUM(K214:K214)</f>
        <v>0</v>
      </c>
      <c r="N214" s="92">
        <f>SUM(C214+F214+I214+L214)</f>
        <v>2</v>
      </c>
    </row>
    <row r="215" spans="1:14" ht="15.75" customHeight="1">
      <c r="A215" s="93">
        <v>0.61458333333333337</v>
      </c>
      <c r="B215" s="94">
        <v>0</v>
      </c>
      <c r="C215" s="94">
        <f>SUM(B215:B215)</f>
        <v>0</v>
      </c>
      <c r="E215" s="94">
        <v>0</v>
      </c>
      <c r="F215" s="94">
        <f>SUM(E215:E215)</f>
        <v>0</v>
      </c>
      <c r="H215" s="94">
        <v>0</v>
      </c>
      <c r="I215" s="94">
        <f>SUM(H215:H215)</f>
        <v>0</v>
      </c>
      <c r="K215" s="94">
        <v>0</v>
      </c>
      <c r="L215" s="94">
        <f>SUM(K215:K215)</f>
        <v>0</v>
      </c>
      <c r="N215" s="94">
        <f>SUM(C215+F215+I215+L215)</f>
        <v>0</v>
      </c>
    </row>
    <row r="216" spans="1:14" ht="15.75" customHeight="1">
      <c r="A216" s="95" t="s">
        <v>29</v>
      </c>
      <c r="B216" s="95">
        <f>SUM(B212:B215)</f>
        <v>6</v>
      </c>
      <c r="C216" s="95">
        <f>SUM(C212:C215)</f>
        <v>6</v>
      </c>
      <c r="E216" s="95">
        <f>SUM(E212:E215)</f>
        <v>0</v>
      </c>
      <c r="F216" s="95">
        <f>SUM(F212:F215)</f>
        <v>0</v>
      </c>
      <c r="H216" s="95">
        <f>SUM(H212:H215)</f>
        <v>0</v>
      </c>
      <c r="I216" s="95">
        <f>SUM(I212:I215)</f>
        <v>0</v>
      </c>
      <c r="K216" s="95">
        <f>SUM(K212:K215)</f>
        <v>5</v>
      </c>
      <c r="L216" s="95">
        <f>SUM(L212:L215)</f>
        <v>5</v>
      </c>
      <c r="N216" s="95">
        <f>SUM(N212:N215)</f>
        <v>11</v>
      </c>
    </row>
    <row r="217" spans="1:14" ht="15.75" customHeight="1">
      <c r="A217" s="89">
        <v>0.625</v>
      </c>
      <c r="B217" s="90">
        <v>4</v>
      </c>
      <c r="C217" s="90">
        <f>SUM(B217:B217)</f>
        <v>4</v>
      </c>
      <c r="E217" s="90">
        <v>0</v>
      </c>
      <c r="F217" s="90">
        <f>SUM(E217:E217)</f>
        <v>0</v>
      </c>
      <c r="H217" s="90">
        <v>0</v>
      </c>
      <c r="I217" s="90">
        <f>SUM(H217:H217)</f>
        <v>0</v>
      </c>
      <c r="K217" s="90">
        <v>1</v>
      </c>
      <c r="L217" s="90">
        <f>SUM(K217:K217)</f>
        <v>1</v>
      </c>
      <c r="N217" s="90">
        <f>SUM(C217+F217+I217+L217)</f>
        <v>5</v>
      </c>
    </row>
    <row r="218" spans="1:14" ht="15.75" customHeight="1">
      <c r="A218" s="91">
        <v>0.63541666666666663</v>
      </c>
      <c r="B218" s="92">
        <v>1</v>
      </c>
      <c r="C218" s="92">
        <f>SUM(B218:B218)</f>
        <v>1</v>
      </c>
      <c r="E218" s="92">
        <v>0</v>
      </c>
      <c r="F218" s="92">
        <f>SUM(E218:E218)</f>
        <v>0</v>
      </c>
      <c r="H218" s="92">
        <v>0</v>
      </c>
      <c r="I218" s="92">
        <f>SUM(H218:H218)</f>
        <v>0</v>
      </c>
      <c r="K218" s="92">
        <v>0</v>
      </c>
      <c r="L218" s="92">
        <f>SUM(K218:K218)</f>
        <v>0</v>
      </c>
      <c r="N218" s="92">
        <f>SUM(C218+F218+I218+L218)</f>
        <v>1</v>
      </c>
    </row>
    <row r="219" spans="1:14" ht="15.75" customHeight="1">
      <c r="A219" s="91">
        <v>0.64583333333333337</v>
      </c>
      <c r="B219" s="92">
        <v>3</v>
      </c>
      <c r="C219" s="92">
        <f>SUM(B219:B219)</f>
        <v>3</v>
      </c>
      <c r="E219" s="92">
        <v>0</v>
      </c>
      <c r="F219" s="92">
        <f>SUM(E219:E219)</f>
        <v>0</v>
      </c>
      <c r="H219" s="92">
        <v>0</v>
      </c>
      <c r="I219" s="92">
        <f>SUM(H219:H219)</f>
        <v>0</v>
      </c>
      <c r="K219" s="92">
        <v>2</v>
      </c>
      <c r="L219" s="92">
        <f>SUM(K219:K219)</f>
        <v>2</v>
      </c>
      <c r="N219" s="92">
        <f>SUM(C219+F219+I219+L219)</f>
        <v>5</v>
      </c>
    </row>
    <row r="220" spans="1:14" ht="15.75" customHeight="1">
      <c r="A220" s="93">
        <v>0.65625</v>
      </c>
      <c r="B220" s="94">
        <v>7</v>
      </c>
      <c r="C220" s="94">
        <f>SUM(B220:B220)</f>
        <v>7</v>
      </c>
      <c r="E220" s="94">
        <v>0</v>
      </c>
      <c r="F220" s="94">
        <f>SUM(E220:E220)</f>
        <v>0</v>
      </c>
      <c r="H220" s="94">
        <v>0</v>
      </c>
      <c r="I220" s="94">
        <f>SUM(H220:H220)</f>
        <v>0</v>
      </c>
      <c r="K220" s="94">
        <v>0</v>
      </c>
      <c r="L220" s="94">
        <f>SUM(K220:K220)</f>
        <v>0</v>
      </c>
      <c r="N220" s="94">
        <f>SUM(C220+F220+I220+L220)</f>
        <v>7</v>
      </c>
    </row>
    <row r="221" spans="1:14" ht="15.75" customHeight="1">
      <c r="A221" s="95" t="s">
        <v>29</v>
      </c>
      <c r="B221" s="95">
        <f>SUM(B217:B220)</f>
        <v>15</v>
      </c>
      <c r="C221" s="95">
        <f>SUM(C217:C220)</f>
        <v>15</v>
      </c>
      <c r="E221" s="95">
        <f>SUM(E217:E220)</f>
        <v>0</v>
      </c>
      <c r="F221" s="95">
        <f>SUM(F217:F220)</f>
        <v>0</v>
      </c>
      <c r="H221" s="95">
        <f>SUM(H217:H220)</f>
        <v>0</v>
      </c>
      <c r="I221" s="95">
        <f>SUM(I217:I220)</f>
        <v>0</v>
      </c>
      <c r="K221" s="95">
        <f>SUM(K217:K220)</f>
        <v>3</v>
      </c>
      <c r="L221" s="95">
        <f>SUM(L217:L220)</f>
        <v>3</v>
      </c>
      <c r="N221" s="95">
        <f>SUM(N217:N220)</f>
        <v>18</v>
      </c>
    </row>
    <row r="222" spans="1:14" ht="15.75" customHeight="1">
      <c r="A222" s="89">
        <v>0.66666666666666663</v>
      </c>
      <c r="B222" s="90">
        <v>3</v>
      </c>
      <c r="C222" s="90">
        <f>SUM(B222:B222)</f>
        <v>3</v>
      </c>
      <c r="E222" s="90">
        <v>0</v>
      </c>
      <c r="F222" s="90">
        <f>SUM(E222:E222)</f>
        <v>0</v>
      </c>
      <c r="H222" s="90">
        <v>0</v>
      </c>
      <c r="I222" s="90">
        <f>SUM(H222:H222)</f>
        <v>0</v>
      </c>
      <c r="K222" s="90">
        <v>3</v>
      </c>
      <c r="L222" s="90">
        <f>SUM(K222:K222)</f>
        <v>3</v>
      </c>
      <c r="N222" s="90">
        <f>SUM(C222+F222+I222+L222)</f>
        <v>6</v>
      </c>
    </row>
    <row r="223" spans="1:14" ht="15.75" customHeight="1">
      <c r="A223" s="91">
        <v>0.67708333333333337</v>
      </c>
      <c r="B223" s="92">
        <v>7</v>
      </c>
      <c r="C223" s="92">
        <f>SUM(B223:B223)</f>
        <v>7</v>
      </c>
      <c r="E223" s="92">
        <v>0</v>
      </c>
      <c r="F223" s="92">
        <f>SUM(E223:E223)</f>
        <v>0</v>
      </c>
      <c r="H223" s="92">
        <v>0</v>
      </c>
      <c r="I223" s="92">
        <f>SUM(H223:H223)</f>
        <v>0</v>
      </c>
      <c r="K223" s="92">
        <v>2</v>
      </c>
      <c r="L223" s="92">
        <f>SUM(K223:K223)</f>
        <v>2</v>
      </c>
      <c r="N223" s="92">
        <f>SUM(C223+F223+I223+L223)</f>
        <v>9</v>
      </c>
    </row>
    <row r="224" spans="1:14" ht="15.75" customHeight="1">
      <c r="A224" s="91">
        <v>0.6875</v>
      </c>
      <c r="B224" s="92">
        <v>4</v>
      </c>
      <c r="C224" s="92">
        <f>SUM(B224:B224)</f>
        <v>4</v>
      </c>
      <c r="E224" s="92">
        <v>2</v>
      </c>
      <c r="F224" s="92">
        <f>SUM(E224:E224)</f>
        <v>2</v>
      </c>
      <c r="H224" s="92">
        <v>0</v>
      </c>
      <c r="I224" s="92">
        <f>SUM(H224:H224)</f>
        <v>0</v>
      </c>
      <c r="K224" s="92">
        <v>3</v>
      </c>
      <c r="L224" s="92">
        <f>SUM(K224:K224)</f>
        <v>3</v>
      </c>
      <c r="N224" s="92">
        <f>SUM(C224+F224+I224+L224)</f>
        <v>9</v>
      </c>
    </row>
    <row r="225" spans="1:14" ht="15.75" customHeight="1">
      <c r="A225" s="93">
        <v>0.69791666666666663</v>
      </c>
      <c r="B225" s="94">
        <v>8</v>
      </c>
      <c r="C225" s="94">
        <f>SUM(B225:B225)</f>
        <v>8</v>
      </c>
      <c r="E225" s="94">
        <v>1</v>
      </c>
      <c r="F225" s="94">
        <f>SUM(E225:E225)</f>
        <v>1</v>
      </c>
      <c r="H225" s="94">
        <v>0</v>
      </c>
      <c r="I225" s="94">
        <f>SUM(H225:H225)</f>
        <v>0</v>
      </c>
      <c r="K225" s="94">
        <v>6</v>
      </c>
      <c r="L225" s="94">
        <f>SUM(K225:K225)</f>
        <v>6</v>
      </c>
      <c r="N225" s="94">
        <f>SUM(C225+F225+I225+L225)</f>
        <v>15</v>
      </c>
    </row>
    <row r="226" spans="1:14" ht="15.75" customHeight="1">
      <c r="A226" s="95" t="s">
        <v>29</v>
      </c>
      <c r="B226" s="95">
        <f>SUM(B222:B225)</f>
        <v>22</v>
      </c>
      <c r="C226" s="95">
        <f>SUM(C222:C225)</f>
        <v>22</v>
      </c>
      <c r="E226" s="95">
        <f>SUM(E222:E225)</f>
        <v>3</v>
      </c>
      <c r="F226" s="95">
        <f>SUM(F222:F225)</f>
        <v>3</v>
      </c>
      <c r="H226" s="95">
        <f>SUM(H222:H225)</f>
        <v>0</v>
      </c>
      <c r="I226" s="95">
        <f>SUM(I222:I225)</f>
        <v>0</v>
      </c>
      <c r="K226" s="95">
        <f>SUM(K222:K225)</f>
        <v>14</v>
      </c>
      <c r="L226" s="95">
        <f>SUM(L222:L225)</f>
        <v>14</v>
      </c>
      <c r="N226" s="95">
        <f>SUM(N222:N225)</f>
        <v>39</v>
      </c>
    </row>
    <row r="227" spans="1:14" ht="15.75" customHeight="1">
      <c r="A227" s="89">
        <v>0.70833333333333337</v>
      </c>
      <c r="B227" s="90">
        <v>8</v>
      </c>
      <c r="C227" s="90">
        <f>SUM(B227:B227)</f>
        <v>8</v>
      </c>
      <c r="E227" s="90">
        <v>1</v>
      </c>
      <c r="F227" s="90">
        <f>SUM(E227:E227)</f>
        <v>1</v>
      </c>
      <c r="H227" s="90">
        <v>0</v>
      </c>
      <c r="I227" s="90">
        <f>SUM(H227:H227)</f>
        <v>0</v>
      </c>
      <c r="K227" s="90">
        <v>4</v>
      </c>
      <c r="L227" s="90">
        <f>SUM(K227:K227)</f>
        <v>4</v>
      </c>
      <c r="N227" s="90">
        <f>SUM(C227+F227+I227+L227)</f>
        <v>13</v>
      </c>
    </row>
    <row r="228" spans="1:14" ht="15.75" customHeight="1">
      <c r="A228" s="91">
        <v>0.71875</v>
      </c>
      <c r="B228" s="92">
        <v>2</v>
      </c>
      <c r="C228" s="92">
        <f>SUM(B228:B228)</f>
        <v>2</v>
      </c>
      <c r="E228" s="92">
        <v>0</v>
      </c>
      <c r="F228" s="92">
        <f>SUM(E228:E228)</f>
        <v>0</v>
      </c>
      <c r="H228" s="92">
        <v>0</v>
      </c>
      <c r="I228" s="92">
        <f>SUM(H228:H228)</f>
        <v>0</v>
      </c>
      <c r="K228" s="92">
        <v>2</v>
      </c>
      <c r="L228" s="92">
        <f>SUM(K228:K228)</f>
        <v>2</v>
      </c>
      <c r="N228" s="92">
        <f>SUM(C228+F228+I228+L228)</f>
        <v>4</v>
      </c>
    </row>
    <row r="229" spans="1:14" ht="15.75" customHeight="1">
      <c r="A229" s="91">
        <v>0.72916666666666663</v>
      </c>
      <c r="B229" s="92">
        <v>2</v>
      </c>
      <c r="C229" s="92">
        <f>SUM(B229:B229)</f>
        <v>2</v>
      </c>
      <c r="E229" s="92">
        <v>2</v>
      </c>
      <c r="F229" s="92">
        <f>SUM(E229:E229)</f>
        <v>2</v>
      </c>
      <c r="H229" s="92">
        <v>0</v>
      </c>
      <c r="I229" s="92">
        <f>SUM(H229:H229)</f>
        <v>0</v>
      </c>
      <c r="K229" s="92">
        <v>0</v>
      </c>
      <c r="L229" s="92">
        <f>SUM(K229:K229)</f>
        <v>0</v>
      </c>
      <c r="N229" s="92">
        <f>SUM(C229+F229+I229+L229)</f>
        <v>4</v>
      </c>
    </row>
    <row r="230" spans="1:14" ht="15.75" customHeight="1">
      <c r="A230" s="93">
        <v>0.73958333333333337</v>
      </c>
      <c r="B230" s="94">
        <v>9</v>
      </c>
      <c r="C230" s="94">
        <f>SUM(B230:B230)</f>
        <v>9</v>
      </c>
      <c r="E230" s="94">
        <v>0</v>
      </c>
      <c r="F230" s="94">
        <f>SUM(E230:E230)</f>
        <v>0</v>
      </c>
      <c r="H230" s="94">
        <v>0</v>
      </c>
      <c r="I230" s="94">
        <f>SUM(H230:H230)</f>
        <v>0</v>
      </c>
      <c r="K230" s="94">
        <v>3</v>
      </c>
      <c r="L230" s="94">
        <f>SUM(K230:K230)</f>
        <v>3</v>
      </c>
      <c r="N230" s="94">
        <f>SUM(C230+F230+I230+L230)</f>
        <v>12</v>
      </c>
    </row>
    <row r="231" spans="1:14" ht="15.75" customHeight="1">
      <c r="A231" s="95" t="s">
        <v>29</v>
      </c>
      <c r="B231" s="95">
        <f>SUM(B227:B230)</f>
        <v>21</v>
      </c>
      <c r="C231" s="95">
        <f>SUM(C227:C230)</f>
        <v>21</v>
      </c>
      <c r="E231" s="95">
        <f>SUM(E227:E230)</f>
        <v>3</v>
      </c>
      <c r="F231" s="95">
        <f>SUM(F227:F230)</f>
        <v>3</v>
      </c>
      <c r="H231" s="95">
        <f>SUM(H227:H230)</f>
        <v>0</v>
      </c>
      <c r="I231" s="95">
        <f>SUM(I227:I230)</f>
        <v>0</v>
      </c>
      <c r="K231" s="95">
        <f>SUM(K227:K230)</f>
        <v>9</v>
      </c>
      <c r="L231" s="95">
        <f>SUM(L227:L230)</f>
        <v>9</v>
      </c>
      <c r="N231" s="95">
        <f>SUM(N227:N230)</f>
        <v>33</v>
      </c>
    </row>
    <row r="232" spans="1:14" ht="15.75" customHeight="1">
      <c r="A232" s="89">
        <v>0.75</v>
      </c>
      <c r="B232" s="90">
        <v>6</v>
      </c>
      <c r="C232" s="90">
        <f>SUM(B232:B232)</f>
        <v>6</v>
      </c>
      <c r="E232" s="90">
        <v>0</v>
      </c>
      <c r="F232" s="90">
        <f>SUM(E232:E232)</f>
        <v>0</v>
      </c>
      <c r="H232" s="90">
        <v>0</v>
      </c>
      <c r="I232" s="90">
        <f>SUM(H232:H232)</f>
        <v>0</v>
      </c>
      <c r="K232" s="90">
        <v>1</v>
      </c>
      <c r="L232" s="90">
        <f>SUM(K232:K232)</f>
        <v>1</v>
      </c>
      <c r="N232" s="90">
        <f>SUM(C232+F232+I232+L232)</f>
        <v>7</v>
      </c>
    </row>
    <row r="233" spans="1:14" ht="15.75" customHeight="1">
      <c r="A233" s="91">
        <v>0.76041666666666663</v>
      </c>
      <c r="B233" s="92">
        <v>3</v>
      </c>
      <c r="C233" s="92">
        <f>SUM(B233:B233)</f>
        <v>3</v>
      </c>
      <c r="E233" s="92">
        <v>0</v>
      </c>
      <c r="F233" s="92">
        <f>SUM(E233:E233)</f>
        <v>0</v>
      </c>
      <c r="H233" s="92">
        <v>0</v>
      </c>
      <c r="I233" s="92">
        <f>SUM(H233:H233)</f>
        <v>0</v>
      </c>
      <c r="K233" s="92">
        <v>7</v>
      </c>
      <c r="L233" s="92">
        <f>SUM(K233:K233)</f>
        <v>7</v>
      </c>
      <c r="N233" s="92">
        <f>SUM(C233+F233+I233+L233)</f>
        <v>10</v>
      </c>
    </row>
    <row r="234" spans="1:14" ht="15.75" customHeight="1">
      <c r="A234" s="91">
        <v>0.77083333333333337</v>
      </c>
      <c r="B234" s="92">
        <v>0</v>
      </c>
      <c r="C234" s="92">
        <f>SUM(B234:B234)</f>
        <v>0</v>
      </c>
      <c r="E234" s="92">
        <v>0</v>
      </c>
      <c r="F234" s="92">
        <f>SUM(E234:E234)</f>
        <v>0</v>
      </c>
      <c r="H234" s="92">
        <v>0</v>
      </c>
      <c r="I234" s="92">
        <f>SUM(H234:H234)</f>
        <v>0</v>
      </c>
      <c r="K234" s="92">
        <v>4</v>
      </c>
      <c r="L234" s="92">
        <f>SUM(K234:K234)</f>
        <v>4</v>
      </c>
      <c r="N234" s="92">
        <f>SUM(C234+F234+I234+L234)</f>
        <v>4</v>
      </c>
    </row>
    <row r="235" spans="1:14" ht="15.75" customHeight="1">
      <c r="A235" s="93">
        <v>0.78125</v>
      </c>
      <c r="B235" s="94">
        <v>3</v>
      </c>
      <c r="C235" s="94">
        <f>SUM(B235:B235)</f>
        <v>3</v>
      </c>
      <c r="E235" s="94">
        <v>0</v>
      </c>
      <c r="F235" s="94">
        <f>SUM(E235:E235)</f>
        <v>0</v>
      </c>
      <c r="H235" s="94">
        <v>0</v>
      </c>
      <c r="I235" s="94">
        <f>SUM(H235:H235)</f>
        <v>0</v>
      </c>
      <c r="K235" s="94">
        <v>3</v>
      </c>
      <c r="L235" s="94">
        <f>SUM(K235:K235)</f>
        <v>3</v>
      </c>
      <c r="N235" s="94">
        <f>SUM(C235+F235+I235+L235)</f>
        <v>6</v>
      </c>
    </row>
    <row r="236" spans="1:14" ht="15.75" customHeight="1">
      <c r="A236" s="95" t="s">
        <v>29</v>
      </c>
      <c r="B236" s="95">
        <f>SUM(B232:B235)</f>
        <v>12</v>
      </c>
      <c r="C236" s="95">
        <f>SUM(C232:C235)</f>
        <v>12</v>
      </c>
      <c r="E236" s="95">
        <f>SUM(E232:E235)</f>
        <v>0</v>
      </c>
      <c r="F236" s="95">
        <f>SUM(F232:F235)</f>
        <v>0</v>
      </c>
      <c r="H236" s="95">
        <f>SUM(H232:H235)</f>
        <v>0</v>
      </c>
      <c r="I236" s="95">
        <f>SUM(I232:I235)</f>
        <v>0</v>
      </c>
      <c r="K236" s="95">
        <f>SUM(K232:K235)</f>
        <v>15</v>
      </c>
      <c r="L236" s="95">
        <f>SUM(L232:L235)</f>
        <v>15</v>
      </c>
      <c r="N236" s="95">
        <f>SUM(N232:N235)</f>
        <v>27</v>
      </c>
    </row>
    <row r="238" spans="1:14" ht="15.75" customHeight="1">
      <c r="A238" s="95" t="s">
        <v>30</v>
      </c>
      <c r="B238" s="95">
        <f>SUM(B236+B231+B226+B221+B216+B211)</f>
        <v>89</v>
      </c>
      <c r="C238" s="95">
        <f>SUM(C236+C231+C226+C221+C216+C211)</f>
        <v>89</v>
      </c>
      <c r="E238" s="95">
        <f>SUM(E236+E231+E226+E221+E216+E211)</f>
        <v>8</v>
      </c>
      <c r="F238" s="95">
        <f>SUM(F236+F231+F226+F221+F216+F211)</f>
        <v>8</v>
      </c>
      <c r="H238" s="95">
        <f>SUM(H236+H231+H226+H221+H216+H211)</f>
        <v>0</v>
      </c>
      <c r="I238" s="95">
        <f>SUM(I236+I231+I226+I221+I216+I211)</f>
        <v>0</v>
      </c>
      <c r="K238" s="95">
        <f>SUM(K236+K231+K226+K221+K216+K211)</f>
        <v>54</v>
      </c>
      <c r="L238" s="95">
        <f>SUM(L236+L231+L226+L221+L216+L211)</f>
        <v>54</v>
      </c>
      <c r="N238" s="95">
        <f>SUM(N236+N231+N226+N221+N216+N211)</f>
        <v>151</v>
      </c>
    </row>
    <row r="240" spans="1:14" ht="15.75" customHeight="1">
      <c r="A240" s="95" t="s">
        <v>24</v>
      </c>
      <c r="B240" s="95">
        <f>SUM(B200+B238)</f>
        <v>309</v>
      </c>
      <c r="C240" s="95">
        <f>SUM(C200+C238)</f>
        <v>309</v>
      </c>
      <c r="E240" s="95">
        <f>SUM(E200+E238)</f>
        <v>18</v>
      </c>
      <c r="F240" s="95">
        <f>SUM(F200+F238)</f>
        <v>18</v>
      </c>
      <c r="H240" s="95">
        <f>SUM(H200+H238)</f>
        <v>0</v>
      </c>
      <c r="I240" s="95">
        <f>SUM(I200+I238)</f>
        <v>0</v>
      </c>
      <c r="K240" s="95">
        <f>SUM(K200+K238)</f>
        <v>75</v>
      </c>
      <c r="L240" s="95">
        <f>SUM(L200+L238)</f>
        <v>75</v>
      </c>
      <c r="N240" s="95">
        <f>SUM(N200+N238)</f>
        <v>402</v>
      </c>
    </row>
    <row r="242" spans="1:14" ht="15.75" customHeight="1">
      <c r="A242" s="72" t="s">
        <v>14</v>
      </c>
      <c r="B242" s="72" t="str">
        <f>$K$10</f>
        <v>Arm D - Cumberland Road</v>
      </c>
    </row>
    <row r="243" spans="1:14" ht="15.75" customHeight="1">
      <c r="A243" s="72"/>
      <c r="B243" s="79" t="s">
        <v>16</v>
      </c>
      <c r="C243" s="80"/>
      <c r="E243" s="79" t="s">
        <v>16</v>
      </c>
      <c r="F243" s="80"/>
      <c r="H243" s="79" t="s">
        <v>16</v>
      </c>
      <c r="I243" s="80"/>
      <c r="K243" s="79" t="s">
        <v>16</v>
      </c>
      <c r="L243" s="80"/>
    </row>
    <row r="244" spans="1:14" ht="42.75">
      <c r="B244" s="81" t="s">
        <v>42</v>
      </c>
      <c r="C244" s="82"/>
      <c r="D244" s="83"/>
      <c r="E244" s="81" t="s">
        <v>43</v>
      </c>
      <c r="F244" s="82"/>
      <c r="G244" s="83"/>
      <c r="H244" s="81" t="s">
        <v>44</v>
      </c>
      <c r="I244" s="82"/>
      <c r="J244" s="83"/>
      <c r="K244" s="81" t="s">
        <v>45</v>
      </c>
      <c r="L244" s="82"/>
      <c r="N244" s="84" t="s">
        <v>28</v>
      </c>
    </row>
    <row r="245" spans="1:14" s="85" customFormat="1" ht="15.75" customHeight="1">
      <c r="B245" s="86" t="s">
        <v>36</v>
      </c>
      <c r="C245" s="87" t="s">
        <v>24</v>
      </c>
      <c r="E245" s="86" t="str">
        <f>$B$11</f>
        <v>PEDS</v>
      </c>
      <c r="F245" s="87" t="s">
        <v>24</v>
      </c>
      <c r="H245" s="86" t="str">
        <f>$B$11</f>
        <v>PEDS</v>
      </c>
      <c r="I245" s="87" t="s">
        <v>24</v>
      </c>
      <c r="K245" s="86" t="str">
        <f>$B$11</f>
        <v>PEDS</v>
      </c>
      <c r="L245" s="87" t="s">
        <v>24</v>
      </c>
      <c r="N245" s="88"/>
    </row>
    <row r="247" spans="1:14" ht="15.75" customHeight="1">
      <c r="A247" s="89">
        <v>0.29166666666666669</v>
      </c>
      <c r="B247" s="90">
        <v>42</v>
      </c>
      <c r="C247" s="90">
        <f>SUM(B247:B247)</f>
        <v>42</v>
      </c>
      <c r="E247" s="90">
        <v>8</v>
      </c>
      <c r="F247" s="90">
        <f>SUM(E247:E247)</f>
        <v>8</v>
      </c>
      <c r="H247" s="90">
        <v>1</v>
      </c>
      <c r="I247" s="90">
        <f>SUM(H247:H247)</f>
        <v>1</v>
      </c>
      <c r="K247" s="90">
        <v>0</v>
      </c>
      <c r="L247" s="90">
        <f>SUM(K247:K247)</f>
        <v>0</v>
      </c>
      <c r="N247" s="90">
        <f>SUM(C247+F247+I247+L247)</f>
        <v>51</v>
      </c>
    </row>
    <row r="248" spans="1:14" ht="15.75" customHeight="1">
      <c r="A248" s="91">
        <v>0.30208333333333331</v>
      </c>
      <c r="B248" s="92">
        <v>47</v>
      </c>
      <c r="C248" s="92">
        <f>SUM(B248:B248)</f>
        <v>47</v>
      </c>
      <c r="E248" s="92">
        <v>8</v>
      </c>
      <c r="F248" s="92">
        <f>SUM(E248:E248)</f>
        <v>8</v>
      </c>
      <c r="H248" s="92">
        <v>6</v>
      </c>
      <c r="I248" s="92">
        <f>SUM(H248:H248)</f>
        <v>6</v>
      </c>
      <c r="K248" s="92">
        <v>0</v>
      </c>
      <c r="L248" s="92">
        <f>SUM(K248:K248)</f>
        <v>0</v>
      </c>
      <c r="N248" s="92">
        <f>SUM(C248+F248+I248+L248)</f>
        <v>61</v>
      </c>
    </row>
    <row r="249" spans="1:14" ht="15.75" customHeight="1">
      <c r="A249" s="91">
        <v>0.3125</v>
      </c>
      <c r="B249" s="92">
        <v>25</v>
      </c>
      <c r="C249" s="92">
        <f>SUM(B249:B249)</f>
        <v>25</v>
      </c>
      <c r="E249" s="92">
        <v>23</v>
      </c>
      <c r="F249" s="92">
        <f>SUM(E249:E249)</f>
        <v>23</v>
      </c>
      <c r="H249" s="92">
        <v>2</v>
      </c>
      <c r="I249" s="92">
        <f>SUM(H249:H249)</f>
        <v>2</v>
      </c>
      <c r="K249" s="92">
        <v>0</v>
      </c>
      <c r="L249" s="92">
        <f>SUM(K249:K249)</f>
        <v>0</v>
      </c>
      <c r="N249" s="92">
        <f>SUM(C249+F249+I249+L249)</f>
        <v>50</v>
      </c>
    </row>
    <row r="250" spans="1:14" ht="15.75" customHeight="1">
      <c r="A250" s="93">
        <v>0.32291666666666669</v>
      </c>
      <c r="B250" s="94">
        <v>97</v>
      </c>
      <c r="C250" s="94">
        <f>SUM(B250:B250)</f>
        <v>97</v>
      </c>
      <c r="E250" s="94">
        <v>28</v>
      </c>
      <c r="F250" s="94">
        <f>SUM(E250:E250)</f>
        <v>28</v>
      </c>
      <c r="H250" s="94">
        <v>3</v>
      </c>
      <c r="I250" s="94">
        <f>SUM(H250:H250)</f>
        <v>3</v>
      </c>
      <c r="K250" s="94">
        <v>0</v>
      </c>
      <c r="L250" s="94">
        <f>SUM(K250:K250)</f>
        <v>0</v>
      </c>
      <c r="N250" s="94">
        <f>SUM(C250+F250+I250+L250)</f>
        <v>128</v>
      </c>
    </row>
    <row r="251" spans="1:14" ht="15.75" customHeight="1">
      <c r="A251" s="95" t="s">
        <v>29</v>
      </c>
      <c r="B251" s="95">
        <f>SUM(B247:B250)</f>
        <v>211</v>
      </c>
      <c r="C251" s="95">
        <f>SUM(C247:C250)</f>
        <v>211</v>
      </c>
      <c r="E251" s="95">
        <f>SUM(E247:E250)</f>
        <v>67</v>
      </c>
      <c r="F251" s="95">
        <f>SUM(F247:F250)</f>
        <v>67</v>
      </c>
      <c r="H251" s="95">
        <f>SUM(H247:H250)</f>
        <v>12</v>
      </c>
      <c r="I251" s="95">
        <f>SUM(I247:I250)</f>
        <v>12</v>
      </c>
      <c r="K251" s="95">
        <f>SUM(K247:K250)</f>
        <v>0</v>
      </c>
      <c r="L251" s="95">
        <f>SUM(L247:L250)</f>
        <v>0</v>
      </c>
      <c r="N251" s="95">
        <f>SUM(N247:N250)</f>
        <v>290</v>
      </c>
    </row>
    <row r="252" spans="1:14" ht="15.75" customHeight="1">
      <c r="A252" s="89">
        <v>0.33333333333333331</v>
      </c>
      <c r="B252" s="90">
        <v>126</v>
      </c>
      <c r="C252" s="90">
        <f>SUM(B252:B252)</f>
        <v>126</v>
      </c>
      <c r="E252" s="90">
        <v>30</v>
      </c>
      <c r="F252" s="90">
        <f>SUM(E252:E252)</f>
        <v>30</v>
      </c>
      <c r="H252" s="90">
        <v>2</v>
      </c>
      <c r="I252" s="90">
        <f>SUM(H252:H252)</f>
        <v>2</v>
      </c>
      <c r="K252" s="90">
        <v>0</v>
      </c>
      <c r="L252" s="90">
        <f>SUM(K252:K252)</f>
        <v>0</v>
      </c>
      <c r="N252" s="90">
        <f>SUM(C252+F252+I252+L252)</f>
        <v>158</v>
      </c>
    </row>
    <row r="253" spans="1:14" ht="15.75" customHeight="1">
      <c r="A253" s="91">
        <v>0.34375</v>
      </c>
      <c r="B253" s="92">
        <v>140</v>
      </c>
      <c r="C253" s="92">
        <f>SUM(B253:B253)</f>
        <v>140</v>
      </c>
      <c r="E253" s="92">
        <v>61</v>
      </c>
      <c r="F253" s="92">
        <f>SUM(E253:E253)</f>
        <v>61</v>
      </c>
      <c r="H253" s="92">
        <v>1</v>
      </c>
      <c r="I253" s="92">
        <f>SUM(H253:H253)</f>
        <v>1</v>
      </c>
      <c r="K253" s="92">
        <v>0</v>
      </c>
      <c r="L253" s="92">
        <f>SUM(K253:K253)</f>
        <v>0</v>
      </c>
      <c r="N253" s="92">
        <f>SUM(C253+F253+I253+L253)</f>
        <v>202</v>
      </c>
    </row>
    <row r="254" spans="1:14" ht="15.75" customHeight="1">
      <c r="A254" s="91">
        <v>0.35416666666666669</v>
      </c>
      <c r="B254" s="92">
        <v>152</v>
      </c>
      <c r="C254" s="92">
        <f>SUM(B254:B254)</f>
        <v>152</v>
      </c>
      <c r="E254" s="92">
        <v>43</v>
      </c>
      <c r="F254" s="92">
        <f>SUM(E254:E254)</f>
        <v>43</v>
      </c>
      <c r="H254" s="92">
        <v>3</v>
      </c>
      <c r="I254" s="92">
        <f>SUM(H254:H254)</f>
        <v>3</v>
      </c>
      <c r="K254" s="92">
        <v>1</v>
      </c>
      <c r="L254" s="92">
        <f>SUM(K254:K254)</f>
        <v>1</v>
      </c>
      <c r="N254" s="92">
        <f>SUM(C254+F254+I254+L254)</f>
        <v>199</v>
      </c>
    </row>
    <row r="255" spans="1:14" ht="15.75" customHeight="1">
      <c r="A255" s="93">
        <v>0.36458333333333331</v>
      </c>
      <c r="B255" s="94">
        <v>186</v>
      </c>
      <c r="C255" s="94">
        <f>SUM(B255:B255)</f>
        <v>186</v>
      </c>
      <c r="E255" s="94">
        <v>38</v>
      </c>
      <c r="F255" s="94">
        <f>SUM(E255:E255)</f>
        <v>38</v>
      </c>
      <c r="H255" s="94">
        <v>0</v>
      </c>
      <c r="I255" s="94">
        <f>SUM(H255:H255)</f>
        <v>0</v>
      </c>
      <c r="K255" s="94">
        <v>0</v>
      </c>
      <c r="L255" s="94">
        <f>SUM(K255:K255)</f>
        <v>0</v>
      </c>
      <c r="N255" s="94">
        <f>SUM(C255+F255+I255+L255)</f>
        <v>224</v>
      </c>
    </row>
    <row r="256" spans="1:14" ht="15.75" customHeight="1">
      <c r="A256" s="95" t="s">
        <v>29</v>
      </c>
      <c r="B256" s="95">
        <f>SUM(B252:B255)</f>
        <v>604</v>
      </c>
      <c r="C256" s="95">
        <f>SUM(C252:C255)</f>
        <v>604</v>
      </c>
      <c r="E256" s="95">
        <f>SUM(E252:E255)</f>
        <v>172</v>
      </c>
      <c r="F256" s="95">
        <f>SUM(F252:F255)</f>
        <v>172</v>
      </c>
      <c r="H256" s="95">
        <f>SUM(H252:H255)</f>
        <v>6</v>
      </c>
      <c r="I256" s="95">
        <f>SUM(I252:I255)</f>
        <v>6</v>
      </c>
      <c r="K256" s="95">
        <f>SUM(K252:K255)</f>
        <v>1</v>
      </c>
      <c r="L256" s="95">
        <f>SUM(L252:L255)</f>
        <v>1</v>
      </c>
      <c r="N256" s="95">
        <f>SUM(N252:N255)</f>
        <v>783</v>
      </c>
    </row>
    <row r="257" spans="1:14" ht="15.75" customHeight="1">
      <c r="A257" s="89">
        <v>0.375</v>
      </c>
      <c r="B257" s="90">
        <v>104</v>
      </c>
      <c r="C257" s="90">
        <f>SUM(B257:B257)</f>
        <v>104</v>
      </c>
      <c r="E257" s="90">
        <v>17</v>
      </c>
      <c r="F257" s="90">
        <f>SUM(E257:E257)</f>
        <v>17</v>
      </c>
      <c r="H257" s="90">
        <v>0</v>
      </c>
      <c r="I257" s="90">
        <f>SUM(H257:H257)</f>
        <v>0</v>
      </c>
      <c r="K257" s="90">
        <v>0</v>
      </c>
      <c r="L257" s="90">
        <f>SUM(K257:K257)</f>
        <v>0</v>
      </c>
      <c r="N257" s="90">
        <f>SUM(C257+F257+I257+L257)</f>
        <v>121</v>
      </c>
    </row>
    <row r="258" spans="1:14" ht="15.75" customHeight="1">
      <c r="A258" s="91">
        <v>0.38541666666666669</v>
      </c>
      <c r="B258" s="92">
        <v>84</v>
      </c>
      <c r="C258" s="92">
        <f>SUM(B258:B258)</f>
        <v>84</v>
      </c>
      <c r="E258" s="92">
        <v>4</v>
      </c>
      <c r="F258" s="92">
        <f>SUM(E258:E258)</f>
        <v>4</v>
      </c>
      <c r="H258" s="92">
        <v>0</v>
      </c>
      <c r="I258" s="92">
        <f>SUM(H258:H258)</f>
        <v>0</v>
      </c>
      <c r="K258" s="92">
        <v>0</v>
      </c>
      <c r="L258" s="92">
        <f>SUM(K258:K258)</f>
        <v>0</v>
      </c>
      <c r="N258" s="92">
        <f>SUM(C258+F258+I258+L258)</f>
        <v>88</v>
      </c>
    </row>
    <row r="259" spans="1:14" ht="15.75" customHeight="1">
      <c r="A259" s="91">
        <v>0.39583333333333331</v>
      </c>
      <c r="B259" s="92">
        <v>41</v>
      </c>
      <c r="C259" s="92">
        <f>SUM(B259:B259)</f>
        <v>41</v>
      </c>
      <c r="E259" s="92">
        <v>9</v>
      </c>
      <c r="F259" s="92">
        <f>SUM(E259:E259)</f>
        <v>9</v>
      </c>
      <c r="H259" s="92">
        <v>0</v>
      </c>
      <c r="I259" s="92">
        <f>SUM(H259:H259)</f>
        <v>0</v>
      </c>
      <c r="K259" s="92">
        <v>0</v>
      </c>
      <c r="L259" s="92">
        <f>SUM(K259:K259)</f>
        <v>0</v>
      </c>
      <c r="N259" s="92">
        <f>SUM(C259+F259+I259+L259)</f>
        <v>50</v>
      </c>
    </row>
    <row r="260" spans="1:14" ht="15.75" customHeight="1">
      <c r="A260" s="93">
        <v>0.40625</v>
      </c>
      <c r="B260" s="94">
        <v>41</v>
      </c>
      <c r="C260" s="94">
        <f>SUM(B260:B260)</f>
        <v>41</v>
      </c>
      <c r="E260" s="94">
        <v>6</v>
      </c>
      <c r="F260" s="94">
        <f>SUM(E260:E260)</f>
        <v>6</v>
      </c>
      <c r="H260" s="94">
        <v>1</v>
      </c>
      <c r="I260" s="94">
        <f>SUM(H260:H260)</f>
        <v>1</v>
      </c>
      <c r="K260" s="94">
        <v>0</v>
      </c>
      <c r="L260" s="94">
        <f>SUM(K260:K260)</f>
        <v>0</v>
      </c>
      <c r="N260" s="94">
        <f>SUM(C260+F260+I260+L260)</f>
        <v>48</v>
      </c>
    </row>
    <row r="261" spans="1:14" ht="15.75" customHeight="1">
      <c r="A261" s="95" t="s">
        <v>29</v>
      </c>
      <c r="B261" s="95">
        <f>SUM(B257:B260)</f>
        <v>270</v>
      </c>
      <c r="C261" s="95">
        <f>SUM(C257:C260)</f>
        <v>270</v>
      </c>
      <c r="E261" s="95">
        <f>SUM(E257:E260)</f>
        <v>36</v>
      </c>
      <c r="F261" s="95">
        <f>SUM(F257:F260)</f>
        <v>36</v>
      </c>
      <c r="H261" s="95">
        <f>SUM(H257:H260)</f>
        <v>1</v>
      </c>
      <c r="I261" s="95">
        <f>SUM(I257:I260)</f>
        <v>1</v>
      </c>
      <c r="K261" s="95">
        <f>SUM(K257:K260)</f>
        <v>0</v>
      </c>
      <c r="L261" s="95">
        <f>SUM(L257:L260)</f>
        <v>0</v>
      </c>
      <c r="N261" s="95">
        <f>SUM(N257:N260)</f>
        <v>307</v>
      </c>
    </row>
    <row r="262" spans="1:14" ht="15.75" customHeight="1">
      <c r="A262" s="89">
        <v>0.41666666666666669</v>
      </c>
      <c r="B262" s="90">
        <v>40</v>
      </c>
      <c r="C262" s="90">
        <f>SUM(B262:B262)</f>
        <v>40</v>
      </c>
      <c r="E262" s="90">
        <v>1</v>
      </c>
      <c r="F262" s="90">
        <f>SUM(E262:E262)</f>
        <v>1</v>
      </c>
      <c r="H262" s="90">
        <v>1</v>
      </c>
      <c r="I262" s="90">
        <f>SUM(H262:H262)</f>
        <v>1</v>
      </c>
      <c r="K262" s="90">
        <v>0</v>
      </c>
      <c r="L262" s="90">
        <f>SUM(K262:K262)</f>
        <v>0</v>
      </c>
      <c r="N262" s="90">
        <f>SUM(C262+F262+I262+L262)</f>
        <v>42</v>
      </c>
    </row>
    <row r="263" spans="1:14" ht="15.75" customHeight="1">
      <c r="A263" s="91">
        <v>0.42708333333333331</v>
      </c>
      <c r="B263" s="92">
        <v>25</v>
      </c>
      <c r="C263" s="92">
        <f>SUM(B263:B263)</f>
        <v>25</v>
      </c>
      <c r="E263" s="92">
        <v>4</v>
      </c>
      <c r="F263" s="92">
        <f>SUM(E263:E263)</f>
        <v>4</v>
      </c>
      <c r="H263" s="92">
        <v>3</v>
      </c>
      <c r="I263" s="92">
        <f>SUM(H263:H263)</f>
        <v>3</v>
      </c>
      <c r="K263" s="92">
        <v>0</v>
      </c>
      <c r="L263" s="92">
        <f>SUM(K263:K263)</f>
        <v>0</v>
      </c>
      <c r="N263" s="92">
        <f>SUM(C263+F263+I263+L263)</f>
        <v>32</v>
      </c>
    </row>
    <row r="264" spans="1:14" ht="15.75" customHeight="1">
      <c r="A264" s="91">
        <v>0.4375</v>
      </c>
      <c r="B264" s="92">
        <v>26</v>
      </c>
      <c r="C264" s="92">
        <f>SUM(B264:B264)</f>
        <v>26</v>
      </c>
      <c r="E264" s="92">
        <v>6</v>
      </c>
      <c r="F264" s="92">
        <f>SUM(E264:E264)</f>
        <v>6</v>
      </c>
      <c r="H264" s="92">
        <v>1</v>
      </c>
      <c r="I264" s="92">
        <f>SUM(H264:H264)</f>
        <v>1</v>
      </c>
      <c r="K264" s="92">
        <v>0</v>
      </c>
      <c r="L264" s="92">
        <f>SUM(K264:K264)</f>
        <v>0</v>
      </c>
      <c r="N264" s="92">
        <f>SUM(C264+F264+I264+L264)</f>
        <v>33</v>
      </c>
    </row>
    <row r="265" spans="1:14" ht="15.75" customHeight="1">
      <c r="A265" s="93">
        <v>0.44791666666666669</v>
      </c>
      <c r="B265" s="94">
        <v>24</v>
      </c>
      <c r="C265" s="94">
        <f>SUM(B265:B265)</f>
        <v>24</v>
      </c>
      <c r="E265" s="94">
        <v>6</v>
      </c>
      <c r="F265" s="94">
        <f>SUM(E265:E265)</f>
        <v>6</v>
      </c>
      <c r="H265" s="94">
        <v>1</v>
      </c>
      <c r="I265" s="94">
        <f>SUM(H265:H265)</f>
        <v>1</v>
      </c>
      <c r="K265" s="94">
        <v>0</v>
      </c>
      <c r="L265" s="94">
        <f>SUM(K265:K265)</f>
        <v>0</v>
      </c>
      <c r="N265" s="94">
        <f>SUM(C265+F265+I265+L265)</f>
        <v>31</v>
      </c>
    </row>
    <row r="266" spans="1:14" ht="15.75" customHeight="1">
      <c r="A266" s="95" t="s">
        <v>29</v>
      </c>
      <c r="B266" s="95">
        <f>SUM(B262:B265)</f>
        <v>115</v>
      </c>
      <c r="C266" s="95">
        <f>SUM(C262:C265)</f>
        <v>115</v>
      </c>
      <c r="E266" s="95">
        <f>SUM(E262:E265)</f>
        <v>17</v>
      </c>
      <c r="F266" s="95">
        <f>SUM(F262:F265)</f>
        <v>17</v>
      </c>
      <c r="H266" s="95">
        <f>SUM(H262:H265)</f>
        <v>6</v>
      </c>
      <c r="I266" s="95">
        <f>SUM(I262:I265)</f>
        <v>6</v>
      </c>
      <c r="K266" s="95">
        <f>SUM(K262:K265)</f>
        <v>0</v>
      </c>
      <c r="L266" s="95">
        <f>SUM(L262:L265)</f>
        <v>0</v>
      </c>
      <c r="N266" s="95">
        <f>SUM(N262:N265)</f>
        <v>138</v>
      </c>
    </row>
    <row r="267" spans="1:14" ht="15.75" customHeight="1">
      <c r="A267" s="89">
        <v>0.45833333333333331</v>
      </c>
      <c r="B267" s="90">
        <v>18</v>
      </c>
      <c r="C267" s="90">
        <f>SUM(B267:B267)</f>
        <v>18</v>
      </c>
      <c r="E267" s="90">
        <v>2</v>
      </c>
      <c r="F267" s="90">
        <f>SUM(E267:E267)</f>
        <v>2</v>
      </c>
      <c r="H267" s="90">
        <v>1</v>
      </c>
      <c r="I267" s="90">
        <f>SUM(H267:H267)</f>
        <v>1</v>
      </c>
      <c r="K267" s="90">
        <v>0</v>
      </c>
      <c r="L267" s="90">
        <f>SUM(K267:K267)</f>
        <v>0</v>
      </c>
      <c r="N267" s="90">
        <f>SUM(C267+F267+I267+L267)</f>
        <v>21</v>
      </c>
    </row>
    <row r="268" spans="1:14" ht="15.75" customHeight="1">
      <c r="A268" s="91">
        <v>0.46875</v>
      </c>
      <c r="B268" s="92">
        <v>16</v>
      </c>
      <c r="C268" s="92">
        <f>SUM(B268:B268)</f>
        <v>16</v>
      </c>
      <c r="E268" s="92">
        <v>2</v>
      </c>
      <c r="F268" s="92">
        <f>SUM(E268:E268)</f>
        <v>2</v>
      </c>
      <c r="H268" s="92">
        <v>1</v>
      </c>
      <c r="I268" s="92">
        <f>SUM(H268:H268)</f>
        <v>1</v>
      </c>
      <c r="K268" s="92">
        <v>0</v>
      </c>
      <c r="L268" s="92">
        <f>SUM(K268:K268)</f>
        <v>0</v>
      </c>
      <c r="N268" s="92">
        <f>SUM(C268+F268+I268+L268)</f>
        <v>19</v>
      </c>
    </row>
    <row r="269" spans="1:14" ht="15.75" customHeight="1">
      <c r="A269" s="91">
        <v>0.47916666666666669</v>
      </c>
      <c r="B269" s="92">
        <v>22</v>
      </c>
      <c r="C269" s="92">
        <f>SUM(B269:B269)</f>
        <v>22</v>
      </c>
      <c r="E269" s="92">
        <v>3</v>
      </c>
      <c r="F269" s="92">
        <f>SUM(E269:E269)</f>
        <v>3</v>
      </c>
      <c r="H269" s="92">
        <v>2</v>
      </c>
      <c r="I269" s="92">
        <f>SUM(H269:H269)</f>
        <v>2</v>
      </c>
      <c r="K269" s="92">
        <v>0</v>
      </c>
      <c r="L269" s="92">
        <f>SUM(K269:K269)</f>
        <v>0</v>
      </c>
      <c r="N269" s="92">
        <f>SUM(C269+F269+I269+L269)</f>
        <v>27</v>
      </c>
    </row>
    <row r="270" spans="1:14" ht="15.75" customHeight="1">
      <c r="A270" s="93">
        <v>0.48958333333333331</v>
      </c>
      <c r="B270" s="94">
        <v>28</v>
      </c>
      <c r="C270" s="94">
        <f>SUM(B270:B270)</f>
        <v>28</v>
      </c>
      <c r="E270" s="94">
        <v>2</v>
      </c>
      <c r="F270" s="94">
        <f>SUM(E270:E270)</f>
        <v>2</v>
      </c>
      <c r="H270" s="94">
        <v>0</v>
      </c>
      <c r="I270" s="94">
        <f>SUM(H270:H270)</f>
        <v>0</v>
      </c>
      <c r="K270" s="94">
        <v>0</v>
      </c>
      <c r="L270" s="94">
        <f>SUM(K270:K270)</f>
        <v>0</v>
      </c>
      <c r="N270" s="94">
        <f>SUM(C270+F270+I270+L270)</f>
        <v>30</v>
      </c>
    </row>
    <row r="271" spans="1:14" ht="15.75" customHeight="1">
      <c r="A271" s="95" t="s">
        <v>29</v>
      </c>
      <c r="B271" s="95">
        <f>SUM(B267:B270)</f>
        <v>84</v>
      </c>
      <c r="C271" s="95">
        <f>SUM(C267:C270)</f>
        <v>84</v>
      </c>
      <c r="E271" s="95">
        <f>SUM(E267:E270)</f>
        <v>9</v>
      </c>
      <c r="F271" s="95">
        <f>SUM(F267:F270)</f>
        <v>9</v>
      </c>
      <c r="H271" s="95">
        <f>SUM(H267:H270)</f>
        <v>4</v>
      </c>
      <c r="I271" s="95">
        <f>SUM(I267:I270)</f>
        <v>4</v>
      </c>
      <c r="K271" s="95">
        <f>SUM(K267:K270)</f>
        <v>0</v>
      </c>
      <c r="L271" s="95">
        <f>SUM(L267:L270)</f>
        <v>0</v>
      </c>
      <c r="N271" s="95">
        <f>SUM(N267:N270)</f>
        <v>97</v>
      </c>
    </row>
    <row r="272" spans="1:14" ht="15.75" customHeight="1">
      <c r="A272" s="89">
        <v>0.5</v>
      </c>
      <c r="B272" s="90">
        <v>22</v>
      </c>
      <c r="C272" s="90">
        <f>SUM(B272:B272)</f>
        <v>22</v>
      </c>
      <c r="E272" s="90">
        <v>2</v>
      </c>
      <c r="F272" s="90">
        <f>SUM(E272:E272)</f>
        <v>2</v>
      </c>
      <c r="H272" s="90">
        <v>0</v>
      </c>
      <c r="I272" s="90">
        <f>SUM(H272:H272)</f>
        <v>0</v>
      </c>
      <c r="K272" s="90">
        <v>0</v>
      </c>
      <c r="L272" s="90">
        <f>SUM(K272:K272)</f>
        <v>0</v>
      </c>
      <c r="N272" s="90">
        <f>SUM(C272+F272+I272+L272)</f>
        <v>24</v>
      </c>
    </row>
    <row r="273" spans="1:14" ht="15.75" customHeight="1">
      <c r="A273" s="91">
        <v>0.51041666666666663</v>
      </c>
      <c r="B273" s="92">
        <v>14</v>
      </c>
      <c r="C273" s="92">
        <f>SUM(B273:B273)</f>
        <v>14</v>
      </c>
      <c r="E273" s="92">
        <v>7</v>
      </c>
      <c r="F273" s="92">
        <f>SUM(E273:E273)</f>
        <v>7</v>
      </c>
      <c r="H273" s="92">
        <v>0</v>
      </c>
      <c r="I273" s="92">
        <f>SUM(H273:H273)</f>
        <v>0</v>
      </c>
      <c r="K273" s="92">
        <v>0</v>
      </c>
      <c r="L273" s="92">
        <f>SUM(K273:K273)</f>
        <v>0</v>
      </c>
      <c r="N273" s="92">
        <f>SUM(C273+F273+I273+L273)</f>
        <v>21</v>
      </c>
    </row>
    <row r="274" spans="1:14" ht="15.75" customHeight="1">
      <c r="A274" s="91">
        <v>0.52083333333333337</v>
      </c>
      <c r="B274" s="92">
        <v>19</v>
      </c>
      <c r="C274" s="92">
        <f>SUM(B274:B274)</f>
        <v>19</v>
      </c>
      <c r="E274" s="92">
        <v>3</v>
      </c>
      <c r="F274" s="92">
        <f>SUM(E274:E274)</f>
        <v>3</v>
      </c>
      <c r="H274" s="92">
        <v>1</v>
      </c>
      <c r="I274" s="92">
        <f>SUM(H274:H274)</f>
        <v>1</v>
      </c>
      <c r="K274" s="92">
        <v>0</v>
      </c>
      <c r="L274" s="92">
        <f>SUM(K274:K274)</f>
        <v>0</v>
      </c>
      <c r="N274" s="92">
        <f>SUM(C274+F274+I274+L274)</f>
        <v>23</v>
      </c>
    </row>
    <row r="275" spans="1:14" ht="15.75" customHeight="1">
      <c r="A275" s="93">
        <v>0.53125</v>
      </c>
      <c r="B275" s="94">
        <v>17</v>
      </c>
      <c r="C275" s="94">
        <f>SUM(B275:B275)</f>
        <v>17</v>
      </c>
      <c r="E275" s="94">
        <v>2</v>
      </c>
      <c r="F275" s="94">
        <f>SUM(E275:E275)</f>
        <v>2</v>
      </c>
      <c r="H275" s="94">
        <v>0</v>
      </c>
      <c r="I275" s="94">
        <f>SUM(H275:H275)</f>
        <v>0</v>
      </c>
      <c r="K275" s="94">
        <v>0</v>
      </c>
      <c r="L275" s="94">
        <f>SUM(K275:K275)</f>
        <v>0</v>
      </c>
      <c r="N275" s="94">
        <f>SUM(C275+F275+I275+L275)</f>
        <v>19</v>
      </c>
    </row>
    <row r="276" spans="1:14" ht="15.75" customHeight="1">
      <c r="A276" s="95" t="s">
        <v>29</v>
      </c>
      <c r="B276" s="95">
        <f>SUM(B272:B275)</f>
        <v>72</v>
      </c>
      <c r="C276" s="95">
        <f>SUM(C272:C275)</f>
        <v>72</v>
      </c>
      <c r="E276" s="95">
        <f>SUM(E272:E275)</f>
        <v>14</v>
      </c>
      <c r="F276" s="95">
        <f>SUM(F272:F275)</f>
        <v>14</v>
      </c>
      <c r="H276" s="95">
        <f>SUM(H272:H275)</f>
        <v>1</v>
      </c>
      <c r="I276" s="95">
        <f>SUM(I272:I275)</f>
        <v>1</v>
      </c>
      <c r="K276" s="95">
        <f>SUM(K272:K275)</f>
        <v>0</v>
      </c>
      <c r="L276" s="95">
        <f>SUM(L272:L275)</f>
        <v>0</v>
      </c>
      <c r="N276" s="95">
        <f>SUM(N272:N275)</f>
        <v>87</v>
      </c>
    </row>
    <row r="278" spans="1:14" ht="15.75" customHeight="1">
      <c r="A278" s="95" t="s">
        <v>30</v>
      </c>
      <c r="B278" s="95">
        <f>SUM(B276+B271+B266+B261+B256+B251)</f>
        <v>1356</v>
      </c>
      <c r="C278" s="95">
        <f>SUM(C276+C271+C266+C261+C256+C251)</f>
        <v>1356</v>
      </c>
      <c r="E278" s="95">
        <f>SUM(E276+E271+E266+E261+E256+E251)</f>
        <v>315</v>
      </c>
      <c r="F278" s="95">
        <f>SUM(F276+F271+F266+F261+F256+F251)</f>
        <v>315</v>
      </c>
      <c r="H278" s="95">
        <f>SUM(H276+H271+H266+H261+H256+H251)</f>
        <v>30</v>
      </c>
      <c r="I278" s="95">
        <f>SUM(I276+I271+I266+I261+I256+I251)</f>
        <v>30</v>
      </c>
      <c r="K278" s="95">
        <f>SUM(K276+K271+K266+K261+K256+K251)</f>
        <v>1</v>
      </c>
      <c r="L278" s="95">
        <f>SUM(L276+L271+L266+L261+L256+L251)</f>
        <v>1</v>
      </c>
      <c r="N278" s="95">
        <f>SUM(N276+N271+N266+N261+N256+N251)</f>
        <v>1702</v>
      </c>
    </row>
    <row r="280" spans="1:14" ht="15.75" customHeight="1">
      <c r="A280" s="72" t="s">
        <v>14</v>
      </c>
      <c r="B280" s="72" t="str">
        <f>$K$10</f>
        <v>Arm D - Cumberland Road</v>
      </c>
    </row>
    <row r="281" spans="1:14" ht="15.75" customHeight="1">
      <c r="A281" s="72"/>
      <c r="B281" s="79" t="s">
        <v>16</v>
      </c>
      <c r="C281" s="80"/>
      <c r="E281" s="79" t="s">
        <v>16</v>
      </c>
      <c r="F281" s="80"/>
      <c r="H281" s="79" t="s">
        <v>16</v>
      </c>
      <c r="I281" s="80"/>
      <c r="K281" s="79" t="s">
        <v>16</v>
      </c>
      <c r="L281" s="80"/>
    </row>
    <row r="282" spans="1:14" ht="42.75">
      <c r="B282" s="81" t="s">
        <v>42</v>
      </c>
      <c r="C282" s="82"/>
      <c r="D282" s="83"/>
      <c r="E282" s="81" t="s">
        <v>43</v>
      </c>
      <c r="F282" s="82"/>
      <c r="G282" s="83"/>
      <c r="H282" s="81" t="s">
        <v>44</v>
      </c>
      <c r="I282" s="82"/>
      <c r="J282" s="83"/>
      <c r="K282" s="81" t="s">
        <v>45</v>
      </c>
      <c r="L282" s="82"/>
      <c r="N282" s="84" t="s">
        <v>28</v>
      </c>
    </row>
    <row r="283" spans="1:14" s="85" customFormat="1" ht="15.75" customHeight="1">
      <c r="B283" s="86" t="s">
        <v>36</v>
      </c>
      <c r="C283" s="87" t="s">
        <v>24</v>
      </c>
      <c r="E283" s="86" t="str">
        <f>$B$11</f>
        <v>PEDS</v>
      </c>
      <c r="F283" s="87" t="s">
        <v>24</v>
      </c>
      <c r="H283" s="86" t="str">
        <f>$B$11</f>
        <v>PEDS</v>
      </c>
      <c r="I283" s="87" t="s">
        <v>24</v>
      </c>
      <c r="K283" s="86" t="str">
        <f>$B$11</f>
        <v>PEDS</v>
      </c>
      <c r="L283" s="87" t="s">
        <v>24</v>
      </c>
      <c r="N283" s="88"/>
    </row>
    <row r="285" spans="1:14" ht="15.75" customHeight="1">
      <c r="A285" s="89">
        <v>0.54166666666666663</v>
      </c>
      <c r="B285" s="90">
        <v>25</v>
      </c>
      <c r="C285" s="90">
        <f>SUM(B285:B285)</f>
        <v>25</v>
      </c>
      <c r="E285" s="90">
        <v>2</v>
      </c>
      <c r="F285" s="90">
        <f>SUM(E285:E285)</f>
        <v>2</v>
      </c>
      <c r="H285" s="90">
        <v>3</v>
      </c>
      <c r="I285" s="90">
        <f>SUM(H285:H285)</f>
        <v>3</v>
      </c>
      <c r="K285" s="90">
        <v>0</v>
      </c>
      <c r="L285" s="90">
        <f>SUM(K285:K285)</f>
        <v>0</v>
      </c>
      <c r="N285" s="90">
        <f>SUM(C285+F285+I285+L285)</f>
        <v>30</v>
      </c>
    </row>
    <row r="286" spans="1:14" ht="15.75" customHeight="1">
      <c r="A286" s="91">
        <v>0.55208333333333337</v>
      </c>
      <c r="B286" s="92">
        <v>27</v>
      </c>
      <c r="C286" s="92">
        <f>SUM(B286:B286)</f>
        <v>27</v>
      </c>
      <c r="E286" s="92">
        <v>1</v>
      </c>
      <c r="F286" s="92">
        <f>SUM(E286:E286)</f>
        <v>1</v>
      </c>
      <c r="H286" s="92">
        <v>0</v>
      </c>
      <c r="I286" s="92">
        <f>SUM(H286:H286)</f>
        <v>0</v>
      </c>
      <c r="K286" s="92">
        <v>0</v>
      </c>
      <c r="L286" s="92">
        <f>SUM(K286:K286)</f>
        <v>0</v>
      </c>
      <c r="N286" s="92">
        <f>SUM(C286+F286+I286+L286)</f>
        <v>28</v>
      </c>
    </row>
    <row r="287" spans="1:14" ht="15.75" customHeight="1">
      <c r="A287" s="91">
        <v>0.5625</v>
      </c>
      <c r="B287" s="92">
        <v>14</v>
      </c>
      <c r="C287" s="92">
        <f>SUM(B287:B287)</f>
        <v>14</v>
      </c>
      <c r="E287" s="92">
        <v>1</v>
      </c>
      <c r="F287" s="92">
        <f>SUM(E287:E287)</f>
        <v>1</v>
      </c>
      <c r="H287" s="92">
        <v>0</v>
      </c>
      <c r="I287" s="92">
        <f>SUM(H287:H287)</f>
        <v>0</v>
      </c>
      <c r="K287" s="92">
        <v>0</v>
      </c>
      <c r="L287" s="92">
        <f>SUM(K287:K287)</f>
        <v>0</v>
      </c>
      <c r="N287" s="92">
        <f>SUM(C287+F287+I287+L287)</f>
        <v>15</v>
      </c>
    </row>
    <row r="288" spans="1:14" ht="15.75" customHeight="1">
      <c r="A288" s="93">
        <v>0.57291666666666663</v>
      </c>
      <c r="B288" s="94">
        <v>17</v>
      </c>
      <c r="C288" s="94">
        <f>SUM(B288:B288)</f>
        <v>17</v>
      </c>
      <c r="E288" s="94">
        <v>2</v>
      </c>
      <c r="F288" s="94">
        <f>SUM(E288:E288)</f>
        <v>2</v>
      </c>
      <c r="H288" s="94">
        <v>2</v>
      </c>
      <c r="I288" s="94">
        <f>SUM(H288:H288)</f>
        <v>2</v>
      </c>
      <c r="K288" s="94">
        <v>0</v>
      </c>
      <c r="L288" s="94">
        <f>SUM(K288:K288)</f>
        <v>0</v>
      </c>
      <c r="N288" s="94">
        <f>SUM(C288+F288+I288+L288)</f>
        <v>21</v>
      </c>
    </row>
    <row r="289" spans="1:14" ht="15.75" customHeight="1">
      <c r="A289" s="95" t="s">
        <v>29</v>
      </c>
      <c r="B289" s="95">
        <f>SUM(B285:B288)</f>
        <v>83</v>
      </c>
      <c r="C289" s="95">
        <f>SUM(C285:C288)</f>
        <v>83</v>
      </c>
      <c r="E289" s="95">
        <f>SUM(E285:E288)</f>
        <v>6</v>
      </c>
      <c r="F289" s="95">
        <f>SUM(F285:F288)</f>
        <v>6</v>
      </c>
      <c r="H289" s="95">
        <f>SUM(H285:H288)</f>
        <v>5</v>
      </c>
      <c r="I289" s="95">
        <f>SUM(I285:I288)</f>
        <v>5</v>
      </c>
      <c r="K289" s="95">
        <f>SUM(K285:K288)</f>
        <v>0</v>
      </c>
      <c r="L289" s="95">
        <f>SUM(L285:L288)</f>
        <v>0</v>
      </c>
      <c r="N289" s="95">
        <f>SUM(N285:N288)</f>
        <v>94</v>
      </c>
    </row>
    <row r="290" spans="1:14" ht="15.75" customHeight="1">
      <c r="A290" s="89">
        <v>0.58333333333333337</v>
      </c>
      <c r="B290" s="90">
        <v>16</v>
      </c>
      <c r="C290" s="90">
        <f>SUM(B290:B290)</f>
        <v>16</v>
      </c>
      <c r="E290" s="90">
        <v>1</v>
      </c>
      <c r="F290" s="90">
        <f>SUM(E290:E290)</f>
        <v>1</v>
      </c>
      <c r="H290" s="90">
        <v>1</v>
      </c>
      <c r="I290" s="90">
        <f>SUM(H290:H290)</f>
        <v>1</v>
      </c>
      <c r="K290" s="90">
        <v>0</v>
      </c>
      <c r="L290" s="90">
        <f>SUM(K290:K290)</f>
        <v>0</v>
      </c>
      <c r="N290" s="90">
        <f>SUM(C290+F290+I290+L290)</f>
        <v>18</v>
      </c>
    </row>
    <row r="291" spans="1:14" ht="15.75" customHeight="1">
      <c r="A291" s="91">
        <v>0.59375</v>
      </c>
      <c r="B291" s="92">
        <v>15</v>
      </c>
      <c r="C291" s="92">
        <f>SUM(B291:B291)</f>
        <v>15</v>
      </c>
      <c r="E291" s="92">
        <v>0</v>
      </c>
      <c r="F291" s="92">
        <f>SUM(E291:E291)</f>
        <v>0</v>
      </c>
      <c r="H291" s="92">
        <v>3</v>
      </c>
      <c r="I291" s="92">
        <f>SUM(H291:H291)</f>
        <v>3</v>
      </c>
      <c r="K291" s="92">
        <v>0</v>
      </c>
      <c r="L291" s="92">
        <f>SUM(K291:K291)</f>
        <v>0</v>
      </c>
      <c r="N291" s="92">
        <f>SUM(C291+F291+I291+L291)</f>
        <v>18</v>
      </c>
    </row>
    <row r="292" spans="1:14" ht="15.75" customHeight="1">
      <c r="A292" s="91">
        <v>0.60416666666666663</v>
      </c>
      <c r="B292" s="92">
        <v>10</v>
      </c>
      <c r="C292" s="92">
        <f>SUM(B292:B292)</f>
        <v>10</v>
      </c>
      <c r="E292" s="92">
        <v>2</v>
      </c>
      <c r="F292" s="92">
        <f>SUM(E292:E292)</f>
        <v>2</v>
      </c>
      <c r="H292" s="92">
        <v>1</v>
      </c>
      <c r="I292" s="92">
        <f>SUM(H292:H292)</f>
        <v>1</v>
      </c>
      <c r="K292" s="92">
        <v>0</v>
      </c>
      <c r="L292" s="92">
        <f>SUM(K292:K292)</f>
        <v>0</v>
      </c>
      <c r="N292" s="92">
        <f>SUM(C292+F292+I292+L292)</f>
        <v>13</v>
      </c>
    </row>
    <row r="293" spans="1:14" ht="15.75" customHeight="1">
      <c r="A293" s="93">
        <v>0.61458333333333337</v>
      </c>
      <c r="B293" s="94">
        <v>13</v>
      </c>
      <c r="C293" s="94">
        <f>SUM(B293:B293)</f>
        <v>13</v>
      </c>
      <c r="E293" s="94">
        <v>3</v>
      </c>
      <c r="F293" s="94">
        <f>SUM(E293:E293)</f>
        <v>3</v>
      </c>
      <c r="H293" s="94">
        <v>0</v>
      </c>
      <c r="I293" s="94">
        <f>SUM(H293:H293)</f>
        <v>0</v>
      </c>
      <c r="K293" s="94">
        <v>0</v>
      </c>
      <c r="L293" s="94">
        <f>SUM(K293:K293)</f>
        <v>0</v>
      </c>
      <c r="N293" s="94">
        <f>SUM(C293+F293+I293+L293)</f>
        <v>16</v>
      </c>
    </row>
    <row r="294" spans="1:14" ht="15.75" customHeight="1">
      <c r="A294" s="95" t="s">
        <v>29</v>
      </c>
      <c r="B294" s="95">
        <f>SUM(B290:B293)</f>
        <v>54</v>
      </c>
      <c r="C294" s="95">
        <f>SUM(C290:C293)</f>
        <v>54</v>
      </c>
      <c r="E294" s="95">
        <f>SUM(E290:E293)</f>
        <v>6</v>
      </c>
      <c r="F294" s="95">
        <f>SUM(F290:F293)</f>
        <v>6</v>
      </c>
      <c r="H294" s="95">
        <f>SUM(H290:H293)</f>
        <v>5</v>
      </c>
      <c r="I294" s="95">
        <f>SUM(I290:I293)</f>
        <v>5</v>
      </c>
      <c r="K294" s="95">
        <f>SUM(K290:K293)</f>
        <v>0</v>
      </c>
      <c r="L294" s="95">
        <f>SUM(L290:L293)</f>
        <v>0</v>
      </c>
      <c r="N294" s="95">
        <f>SUM(N290:N293)</f>
        <v>65</v>
      </c>
    </row>
    <row r="295" spans="1:14" ht="15.75" customHeight="1">
      <c r="A295" s="89">
        <v>0.625</v>
      </c>
      <c r="B295" s="90">
        <v>17</v>
      </c>
      <c r="C295" s="90">
        <f>SUM(B295:B295)</f>
        <v>17</v>
      </c>
      <c r="E295" s="90">
        <v>1</v>
      </c>
      <c r="F295" s="90">
        <f>SUM(E295:E295)</f>
        <v>1</v>
      </c>
      <c r="H295" s="90">
        <v>2</v>
      </c>
      <c r="I295" s="90">
        <f>SUM(H295:H295)</f>
        <v>2</v>
      </c>
      <c r="K295" s="90">
        <v>0</v>
      </c>
      <c r="L295" s="90">
        <f>SUM(K295:K295)</f>
        <v>0</v>
      </c>
      <c r="N295" s="90">
        <f>SUM(C295+F295+I295+L295)</f>
        <v>20</v>
      </c>
    </row>
    <row r="296" spans="1:14" ht="15.75" customHeight="1">
      <c r="A296" s="91">
        <v>0.63541666666666663</v>
      </c>
      <c r="B296" s="92">
        <v>14</v>
      </c>
      <c r="C296" s="92">
        <f>SUM(B296:B296)</f>
        <v>14</v>
      </c>
      <c r="E296" s="92">
        <v>1</v>
      </c>
      <c r="F296" s="92">
        <f>SUM(E296:E296)</f>
        <v>1</v>
      </c>
      <c r="H296" s="92">
        <v>1</v>
      </c>
      <c r="I296" s="92">
        <f>SUM(H296:H296)</f>
        <v>1</v>
      </c>
      <c r="K296" s="92">
        <v>0</v>
      </c>
      <c r="L296" s="92">
        <f>SUM(K296:K296)</f>
        <v>0</v>
      </c>
      <c r="N296" s="92">
        <f>SUM(C296+F296+I296+L296)</f>
        <v>16</v>
      </c>
    </row>
    <row r="297" spans="1:14" ht="15.75" customHeight="1">
      <c r="A297" s="91">
        <v>0.64583333333333337</v>
      </c>
      <c r="B297" s="92">
        <v>23</v>
      </c>
      <c r="C297" s="92">
        <f>SUM(B297:B297)</f>
        <v>23</v>
      </c>
      <c r="E297" s="92">
        <v>1</v>
      </c>
      <c r="F297" s="92">
        <f>SUM(E297:E297)</f>
        <v>1</v>
      </c>
      <c r="H297" s="92">
        <v>0</v>
      </c>
      <c r="I297" s="92">
        <f>SUM(H297:H297)</f>
        <v>0</v>
      </c>
      <c r="K297" s="92">
        <v>0</v>
      </c>
      <c r="L297" s="92">
        <f>SUM(K297:K297)</f>
        <v>0</v>
      </c>
      <c r="N297" s="92">
        <f>SUM(C297+F297+I297+L297)</f>
        <v>24</v>
      </c>
    </row>
    <row r="298" spans="1:14" ht="15.75" customHeight="1">
      <c r="A298" s="93">
        <v>0.65625</v>
      </c>
      <c r="B298" s="94">
        <v>18</v>
      </c>
      <c r="C298" s="94">
        <f>SUM(B298:B298)</f>
        <v>18</v>
      </c>
      <c r="E298" s="94">
        <v>7</v>
      </c>
      <c r="F298" s="94">
        <f>SUM(E298:E298)</f>
        <v>7</v>
      </c>
      <c r="H298" s="94">
        <v>0</v>
      </c>
      <c r="I298" s="94">
        <f>SUM(H298:H298)</f>
        <v>0</v>
      </c>
      <c r="K298" s="94">
        <v>0</v>
      </c>
      <c r="L298" s="94">
        <f>SUM(K298:K298)</f>
        <v>0</v>
      </c>
      <c r="N298" s="94">
        <f>SUM(C298+F298+I298+L298)</f>
        <v>25</v>
      </c>
    </row>
    <row r="299" spans="1:14" ht="15.75" customHeight="1">
      <c r="A299" s="95" t="s">
        <v>29</v>
      </c>
      <c r="B299" s="95">
        <f>SUM(B295:B298)</f>
        <v>72</v>
      </c>
      <c r="C299" s="95">
        <f>SUM(C295:C298)</f>
        <v>72</v>
      </c>
      <c r="E299" s="95">
        <f>SUM(E295:E298)</f>
        <v>10</v>
      </c>
      <c r="F299" s="95">
        <f>SUM(F295:F298)</f>
        <v>10</v>
      </c>
      <c r="H299" s="95">
        <f>SUM(H295:H298)</f>
        <v>3</v>
      </c>
      <c r="I299" s="95">
        <f>SUM(I295:I298)</f>
        <v>3</v>
      </c>
      <c r="K299" s="95">
        <f>SUM(K295:K298)</f>
        <v>0</v>
      </c>
      <c r="L299" s="95">
        <f>SUM(L295:L298)</f>
        <v>0</v>
      </c>
      <c r="N299" s="95">
        <f>SUM(N295:N298)</f>
        <v>85</v>
      </c>
    </row>
    <row r="300" spans="1:14" ht="15.75" customHeight="1">
      <c r="A300" s="89">
        <v>0.66666666666666663</v>
      </c>
      <c r="B300" s="90">
        <v>18</v>
      </c>
      <c r="C300" s="90">
        <f>SUM(B300:B300)</f>
        <v>18</v>
      </c>
      <c r="E300" s="90">
        <v>2</v>
      </c>
      <c r="F300" s="90">
        <f>SUM(E300:E300)</f>
        <v>2</v>
      </c>
      <c r="H300" s="90">
        <v>1</v>
      </c>
      <c r="I300" s="90">
        <f>SUM(H300:H300)</f>
        <v>1</v>
      </c>
      <c r="K300" s="90">
        <v>0</v>
      </c>
      <c r="L300" s="90">
        <f>SUM(K300:K300)</f>
        <v>0</v>
      </c>
      <c r="N300" s="90">
        <f>SUM(C300+F300+I300+L300)</f>
        <v>21</v>
      </c>
    </row>
    <row r="301" spans="1:14" ht="15.75" customHeight="1">
      <c r="A301" s="91">
        <v>0.67708333333333337</v>
      </c>
      <c r="B301" s="92">
        <v>14</v>
      </c>
      <c r="C301" s="92">
        <f>SUM(B301:B301)</f>
        <v>14</v>
      </c>
      <c r="E301" s="92">
        <v>5</v>
      </c>
      <c r="F301" s="92">
        <f>SUM(E301:E301)</f>
        <v>5</v>
      </c>
      <c r="H301" s="92">
        <v>4</v>
      </c>
      <c r="I301" s="92">
        <f>SUM(H301:H301)</f>
        <v>4</v>
      </c>
      <c r="K301" s="92">
        <v>0</v>
      </c>
      <c r="L301" s="92">
        <f>SUM(K301:K301)</f>
        <v>0</v>
      </c>
      <c r="N301" s="92">
        <f>SUM(C301+F301+I301+L301)</f>
        <v>23</v>
      </c>
    </row>
    <row r="302" spans="1:14" ht="15.75" customHeight="1">
      <c r="A302" s="91">
        <v>0.6875</v>
      </c>
      <c r="B302" s="92">
        <v>17</v>
      </c>
      <c r="C302" s="92">
        <f>SUM(B302:B302)</f>
        <v>17</v>
      </c>
      <c r="E302" s="92">
        <v>2</v>
      </c>
      <c r="F302" s="92">
        <f>SUM(E302:E302)</f>
        <v>2</v>
      </c>
      <c r="H302" s="92">
        <v>2</v>
      </c>
      <c r="I302" s="92">
        <f>SUM(H302:H302)</f>
        <v>2</v>
      </c>
      <c r="K302" s="92">
        <v>0</v>
      </c>
      <c r="L302" s="92">
        <f>SUM(K302:K302)</f>
        <v>0</v>
      </c>
      <c r="N302" s="92">
        <f>SUM(C302+F302+I302+L302)</f>
        <v>21</v>
      </c>
    </row>
    <row r="303" spans="1:14" ht="15.75" customHeight="1">
      <c r="A303" s="93">
        <v>0.69791666666666663</v>
      </c>
      <c r="B303" s="94">
        <v>14</v>
      </c>
      <c r="C303" s="94">
        <f>SUM(B303:B303)</f>
        <v>14</v>
      </c>
      <c r="E303" s="94">
        <v>2</v>
      </c>
      <c r="F303" s="94">
        <f>SUM(E303:E303)</f>
        <v>2</v>
      </c>
      <c r="H303" s="94">
        <v>1</v>
      </c>
      <c r="I303" s="94">
        <f>SUM(H303:H303)</f>
        <v>1</v>
      </c>
      <c r="K303" s="94">
        <v>0</v>
      </c>
      <c r="L303" s="94">
        <f>SUM(K303:K303)</f>
        <v>0</v>
      </c>
      <c r="N303" s="94">
        <f>SUM(C303+F303+I303+L303)</f>
        <v>17</v>
      </c>
    </row>
    <row r="304" spans="1:14" ht="15.75" customHeight="1">
      <c r="A304" s="95" t="s">
        <v>29</v>
      </c>
      <c r="B304" s="95">
        <f>SUM(B300:B303)</f>
        <v>63</v>
      </c>
      <c r="C304" s="95">
        <f>SUM(C300:C303)</f>
        <v>63</v>
      </c>
      <c r="E304" s="95">
        <f>SUM(E300:E303)</f>
        <v>11</v>
      </c>
      <c r="F304" s="95">
        <f>SUM(F300:F303)</f>
        <v>11</v>
      </c>
      <c r="H304" s="95">
        <f>SUM(H300:H303)</f>
        <v>8</v>
      </c>
      <c r="I304" s="95">
        <f>SUM(I300:I303)</f>
        <v>8</v>
      </c>
      <c r="K304" s="95">
        <f>SUM(K300:K303)</f>
        <v>0</v>
      </c>
      <c r="L304" s="95">
        <f>SUM(L300:L303)</f>
        <v>0</v>
      </c>
      <c r="N304" s="95">
        <f>SUM(N300:N303)</f>
        <v>82</v>
      </c>
    </row>
    <row r="305" spans="1:14" ht="15.75" customHeight="1">
      <c r="A305" s="89">
        <v>0.70833333333333337</v>
      </c>
      <c r="B305" s="90">
        <v>22</v>
      </c>
      <c r="C305" s="90">
        <f>SUM(B305:B305)</f>
        <v>22</v>
      </c>
      <c r="E305" s="90">
        <v>1</v>
      </c>
      <c r="F305" s="90">
        <f>SUM(E305:E305)</f>
        <v>1</v>
      </c>
      <c r="H305" s="90">
        <v>0</v>
      </c>
      <c r="I305" s="90">
        <f>SUM(H305:H305)</f>
        <v>0</v>
      </c>
      <c r="K305" s="90">
        <v>0</v>
      </c>
      <c r="L305" s="90">
        <f>SUM(K305:K305)</f>
        <v>0</v>
      </c>
      <c r="N305" s="90">
        <f>SUM(C305+F305+I305+L305)</f>
        <v>23</v>
      </c>
    </row>
    <row r="306" spans="1:14" ht="15.75" customHeight="1">
      <c r="A306" s="91">
        <v>0.71875</v>
      </c>
      <c r="B306" s="92">
        <v>12</v>
      </c>
      <c r="C306" s="92">
        <f>SUM(B306:B306)</f>
        <v>12</v>
      </c>
      <c r="E306" s="92">
        <v>4</v>
      </c>
      <c r="F306" s="92">
        <f>SUM(E306:E306)</f>
        <v>4</v>
      </c>
      <c r="H306" s="92">
        <v>2</v>
      </c>
      <c r="I306" s="92">
        <f>SUM(H306:H306)</f>
        <v>2</v>
      </c>
      <c r="K306" s="92">
        <v>0</v>
      </c>
      <c r="L306" s="92">
        <f>SUM(K306:K306)</f>
        <v>0</v>
      </c>
      <c r="N306" s="92">
        <f>SUM(C306+F306+I306+L306)</f>
        <v>18</v>
      </c>
    </row>
    <row r="307" spans="1:14" ht="15.75" customHeight="1">
      <c r="A307" s="91">
        <v>0.72916666666666663</v>
      </c>
      <c r="B307" s="92">
        <v>24</v>
      </c>
      <c r="C307" s="92">
        <f>SUM(B307:B307)</f>
        <v>24</v>
      </c>
      <c r="E307" s="92">
        <v>3</v>
      </c>
      <c r="F307" s="92">
        <f>SUM(E307:E307)</f>
        <v>3</v>
      </c>
      <c r="H307" s="92">
        <v>2</v>
      </c>
      <c r="I307" s="92">
        <f>SUM(H307:H307)</f>
        <v>2</v>
      </c>
      <c r="K307" s="92">
        <v>0</v>
      </c>
      <c r="L307" s="92">
        <f>SUM(K307:K307)</f>
        <v>0</v>
      </c>
      <c r="N307" s="92">
        <f>SUM(C307+F307+I307+L307)</f>
        <v>29</v>
      </c>
    </row>
    <row r="308" spans="1:14" ht="15.75" customHeight="1">
      <c r="A308" s="93">
        <v>0.73958333333333337</v>
      </c>
      <c r="B308" s="94">
        <v>22</v>
      </c>
      <c r="C308" s="94">
        <f>SUM(B308:B308)</f>
        <v>22</v>
      </c>
      <c r="E308" s="94">
        <v>3</v>
      </c>
      <c r="F308" s="94">
        <f>SUM(E308:E308)</f>
        <v>3</v>
      </c>
      <c r="H308" s="94">
        <v>1</v>
      </c>
      <c r="I308" s="94">
        <f>SUM(H308:H308)</f>
        <v>1</v>
      </c>
      <c r="K308" s="94">
        <v>0</v>
      </c>
      <c r="L308" s="94">
        <f>SUM(K308:K308)</f>
        <v>0</v>
      </c>
      <c r="N308" s="94">
        <f>SUM(C308+F308+I308+L308)</f>
        <v>26</v>
      </c>
    </row>
    <row r="309" spans="1:14" ht="15.75" customHeight="1">
      <c r="A309" s="95" t="s">
        <v>29</v>
      </c>
      <c r="B309" s="95">
        <f>SUM(B305:B308)</f>
        <v>80</v>
      </c>
      <c r="C309" s="95">
        <f>SUM(C305:C308)</f>
        <v>80</v>
      </c>
      <c r="E309" s="95">
        <f>SUM(E305:E308)</f>
        <v>11</v>
      </c>
      <c r="F309" s="95">
        <f>SUM(F305:F308)</f>
        <v>11</v>
      </c>
      <c r="H309" s="95">
        <f>SUM(H305:H308)</f>
        <v>5</v>
      </c>
      <c r="I309" s="95">
        <f>SUM(I305:I308)</f>
        <v>5</v>
      </c>
      <c r="K309" s="95">
        <f>SUM(K305:K308)</f>
        <v>0</v>
      </c>
      <c r="L309" s="95">
        <f>SUM(L305:L308)</f>
        <v>0</v>
      </c>
      <c r="N309" s="95">
        <f>SUM(N305:N308)</f>
        <v>96</v>
      </c>
    </row>
    <row r="310" spans="1:14" ht="15.75" customHeight="1">
      <c r="A310" s="89">
        <v>0.75</v>
      </c>
      <c r="B310" s="90">
        <v>17</v>
      </c>
      <c r="C310" s="90">
        <f>SUM(B310:B310)</f>
        <v>17</v>
      </c>
      <c r="E310" s="90">
        <v>2</v>
      </c>
      <c r="F310" s="90">
        <f>SUM(E310:E310)</f>
        <v>2</v>
      </c>
      <c r="H310" s="90">
        <v>1</v>
      </c>
      <c r="I310" s="90">
        <f>SUM(H310:H310)</f>
        <v>1</v>
      </c>
      <c r="K310" s="90">
        <v>0</v>
      </c>
      <c r="L310" s="90">
        <f>SUM(K310:K310)</f>
        <v>0</v>
      </c>
      <c r="N310" s="90">
        <f>SUM(C310+F310+I310+L310)</f>
        <v>20</v>
      </c>
    </row>
    <row r="311" spans="1:14" ht="15.75" customHeight="1">
      <c r="A311" s="91">
        <v>0.76041666666666663</v>
      </c>
      <c r="B311" s="92">
        <v>30</v>
      </c>
      <c r="C311" s="92">
        <f>SUM(B311:B311)</f>
        <v>30</v>
      </c>
      <c r="E311" s="92">
        <v>2</v>
      </c>
      <c r="F311" s="92">
        <f>SUM(E311:E311)</f>
        <v>2</v>
      </c>
      <c r="H311" s="92">
        <v>1</v>
      </c>
      <c r="I311" s="92">
        <f>SUM(H311:H311)</f>
        <v>1</v>
      </c>
      <c r="K311" s="92">
        <v>0</v>
      </c>
      <c r="L311" s="92">
        <f>SUM(K311:K311)</f>
        <v>0</v>
      </c>
      <c r="N311" s="92">
        <f>SUM(C311+F311+I311+L311)</f>
        <v>33</v>
      </c>
    </row>
    <row r="312" spans="1:14" ht="15.75" customHeight="1">
      <c r="A312" s="91">
        <v>0.77083333333333337</v>
      </c>
      <c r="B312" s="92">
        <v>19</v>
      </c>
      <c r="C312" s="92">
        <f>SUM(B312:B312)</f>
        <v>19</v>
      </c>
      <c r="E312" s="92">
        <v>0</v>
      </c>
      <c r="F312" s="92">
        <f>SUM(E312:E312)</f>
        <v>0</v>
      </c>
      <c r="H312" s="92">
        <v>2</v>
      </c>
      <c r="I312" s="92">
        <f>SUM(H312:H312)</f>
        <v>2</v>
      </c>
      <c r="K312" s="92">
        <v>0</v>
      </c>
      <c r="L312" s="92">
        <f>SUM(K312:K312)</f>
        <v>0</v>
      </c>
      <c r="N312" s="92">
        <f>SUM(C312+F312+I312+L312)</f>
        <v>21</v>
      </c>
    </row>
    <row r="313" spans="1:14" ht="15.75" customHeight="1">
      <c r="A313" s="93">
        <v>0.78125</v>
      </c>
      <c r="B313" s="94">
        <v>33</v>
      </c>
      <c r="C313" s="94">
        <f>SUM(B313:B313)</f>
        <v>33</v>
      </c>
      <c r="E313" s="94">
        <v>1</v>
      </c>
      <c r="F313" s="94">
        <f>SUM(E313:E313)</f>
        <v>1</v>
      </c>
      <c r="H313" s="94">
        <v>4</v>
      </c>
      <c r="I313" s="94">
        <f>SUM(H313:H313)</f>
        <v>4</v>
      </c>
      <c r="K313" s="94">
        <v>0</v>
      </c>
      <c r="L313" s="94">
        <f>SUM(K313:K313)</f>
        <v>0</v>
      </c>
      <c r="N313" s="94">
        <f>SUM(C313+F313+I313+L313)</f>
        <v>38</v>
      </c>
    </row>
    <row r="314" spans="1:14" ht="15.75" customHeight="1">
      <c r="A314" s="95" t="s">
        <v>29</v>
      </c>
      <c r="B314" s="95">
        <f>SUM(B310:B313)</f>
        <v>99</v>
      </c>
      <c r="C314" s="95">
        <f>SUM(C310:C313)</f>
        <v>99</v>
      </c>
      <c r="E314" s="95">
        <f>SUM(E310:E313)</f>
        <v>5</v>
      </c>
      <c r="F314" s="95">
        <f>SUM(F310:F313)</f>
        <v>5</v>
      </c>
      <c r="H314" s="95">
        <f>SUM(H310:H313)</f>
        <v>8</v>
      </c>
      <c r="I314" s="95">
        <f>SUM(I310:I313)</f>
        <v>8</v>
      </c>
      <c r="K314" s="95">
        <f>SUM(K310:K313)</f>
        <v>0</v>
      </c>
      <c r="L314" s="95">
        <f>SUM(L310:L313)</f>
        <v>0</v>
      </c>
      <c r="N314" s="95">
        <f>SUM(N310:N313)</f>
        <v>112</v>
      </c>
    </row>
    <row r="316" spans="1:14" ht="15.75" customHeight="1">
      <c r="A316" s="95" t="s">
        <v>30</v>
      </c>
      <c r="B316" s="95">
        <f>SUM(B314+B309+B304+B299+B294+B289)</f>
        <v>451</v>
      </c>
      <c r="C316" s="95">
        <f>SUM(C314+C309+C304+C299+C294+C289)</f>
        <v>451</v>
      </c>
      <c r="E316" s="95">
        <f>SUM(E314+E309+E304+E299+E294+E289)</f>
        <v>49</v>
      </c>
      <c r="F316" s="95">
        <f>SUM(F314+F309+F304+F299+F294+F289)</f>
        <v>49</v>
      </c>
      <c r="H316" s="95">
        <f>SUM(H314+H309+H304+H299+H294+H289)</f>
        <v>34</v>
      </c>
      <c r="I316" s="95">
        <f>SUM(I314+I309+I304+I299+I294+I289)</f>
        <v>34</v>
      </c>
      <c r="K316" s="95">
        <f>SUM(K314+K309+K304+K299+K294+K289)</f>
        <v>0</v>
      </c>
      <c r="L316" s="95">
        <f>SUM(L314+L309+L304+L299+L294+L289)</f>
        <v>0</v>
      </c>
      <c r="N316" s="95">
        <f>SUM(N314+N309+N304+N299+N294+N289)</f>
        <v>534</v>
      </c>
    </row>
    <row r="318" spans="1:14" ht="15.75" customHeight="1">
      <c r="A318" s="95" t="s">
        <v>24</v>
      </c>
      <c r="B318" s="95">
        <f>SUM(B278+B316)</f>
        <v>1807</v>
      </c>
      <c r="C318" s="95">
        <f>SUM(C278+C316)</f>
        <v>1807</v>
      </c>
      <c r="E318" s="95">
        <f>SUM(E278+E316)</f>
        <v>364</v>
      </c>
      <c r="F318" s="95">
        <f>SUM(F278+F316)</f>
        <v>364</v>
      </c>
      <c r="H318" s="95">
        <f>SUM(H278+H316)</f>
        <v>64</v>
      </c>
      <c r="I318" s="95">
        <f>SUM(I278+I316)</f>
        <v>64</v>
      </c>
      <c r="K318" s="95">
        <f>SUM(K278+K316)</f>
        <v>1</v>
      </c>
      <c r="L318" s="95">
        <f>SUM(L278+L316)</f>
        <v>1</v>
      </c>
      <c r="N318" s="95">
        <f>SUM(N278+N316)</f>
        <v>2236</v>
      </c>
    </row>
    <row r="320" spans="1:14" ht="15.75" customHeight="1">
      <c r="A320" s="72" t="s">
        <v>31</v>
      </c>
    </row>
    <row r="321" spans="1:14" ht="15.75" customHeight="1">
      <c r="A321" s="72"/>
      <c r="B321" s="79" t="s">
        <v>32</v>
      </c>
      <c r="C321" s="80"/>
      <c r="E321" s="79" t="s">
        <v>32</v>
      </c>
      <c r="F321" s="80"/>
      <c r="H321" s="79" t="s">
        <v>32</v>
      </c>
      <c r="I321" s="80"/>
      <c r="K321" s="79" t="s">
        <v>32</v>
      </c>
      <c r="L321" s="80"/>
    </row>
    <row r="322" spans="1:14" ht="15.75" customHeight="1">
      <c r="B322" s="96" t="s">
        <v>15</v>
      </c>
      <c r="C322" s="97"/>
      <c r="E322" s="96" t="s">
        <v>25</v>
      </c>
      <c r="F322" s="97"/>
      <c r="H322" s="96" t="s">
        <v>26</v>
      </c>
      <c r="I322" s="97"/>
      <c r="K322" s="96" t="s">
        <v>27</v>
      </c>
      <c r="L322" s="97"/>
      <c r="N322" s="84" t="s">
        <v>33</v>
      </c>
    </row>
    <row r="323" spans="1:14" s="85" customFormat="1" ht="15.75" customHeight="1">
      <c r="B323" s="86" t="s">
        <v>36</v>
      </c>
      <c r="C323" s="87" t="s">
        <v>24</v>
      </c>
      <c r="E323" s="86" t="str">
        <f>$B$11</f>
        <v>PEDS</v>
      </c>
      <c r="F323" s="87" t="s">
        <v>24</v>
      </c>
      <c r="H323" s="86" t="str">
        <f>$B$11</f>
        <v>PEDS</v>
      </c>
      <c r="I323" s="87" t="s">
        <v>24</v>
      </c>
      <c r="K323" s="86" t="str">
        <f>$B$11</f>
        <v>PEDS</v>
      </c>
      <c r="L323" s="87" t="s">
        <v>24</v>
      </c>
      <c r="N323" s="88"/>
    </row>
    <row r="325" spans="1:14" ht="15.75" customHeight="1">
      <c r="A325" s="89">
        <v>0.29166666666666669</v>
      </c>
      <c r="B325" s="90">
        <f>SUM(B13+E13+H13+K13)</f>
        <v>3</v>
      </c>
      <c r="C325" s="90">
        <f>SUM(B325:B325)</f>
        <v>3</v>
      </c>
      <c r="E325" s="90">
        <f>SUM(B91+E91+H91+K91)</f>
        <v>0</v>
      </c>
      <c r="F325" s="90">
        <f>SUM(E325:E325)</f>
        <v>0</v>
      </c>
      <c r="H325" s="90">
        <f>SUM(B169+E169+H169+K169)</f>
        <v>5</v>
      </c>
      <c r="I325" s="90">
        <f>SUM(H325:H325)</f>
        <v>5</v>
      </c>
      <c r="K325" s="90">
        <f>SUM(B247+E247+H247+K247)</f>
        <v>51</v>
      </c>
      <c r="L325" s="90">
        <f>SUM(K325:K325)</f>
        <v>51</v>
      </c>
      <c r="N325" s="90">
        <f>SUM(C325+F325+I325+L325)</f>
        <v>59</v>
      </c>
    </row>
    <row r="326" spans="1:14" ht="15.75" customHeight="1">
      <c r="A326" s="91">
        <v>0.30208333333333331</v>
      </c>
      <c r="B326" s="92">
        <f>SUM(B14+E14+H14+K14)</f>
        <v>6</v>
      </c>
      <c r="C326" s="92">
        <f>SUM(B326:B326)</f>
        <v>6</v>
      </c>
      <c r="E326" s="92">
        <f>SUM(B92+E92+H92+K92)</f>
        <v>1</v>
      </c>
      <c r="F326" s="92">
        <f>SUM(E326:E326)</f>
        <v>1</v>
      </c>
      <c r="H326" s="92">
        <f>SUM(B170+E170+H170+K170)</f>
        <v>5</v>
      </c>
      <c r="I326" s="92">
        <f>SUM(H326:H326)</f>
        <v>5</v>
      </c>
      <c r="K326" s="92">
        <f>SUM(B248+E248+H248+K248)</f>
        <v>61</v>
      </c>
      <c r="L326" s="92">
        <f>SUM(K326:K326)</f>
        <v>61</v>
      </c>
      <c r="N326" s="92">
        <f>SUM(C326+F326+I326+L326)</f>
        <v>73</v>
      </c>
    </row>
    <row r="327" spans="1:14" ht="15.75" customHeight="1">
      <c r="A327" s="91">
        <v>0.3125</v>
      </c>
      <c r="B327" s="92">
        <f>SUM(B15+E15+H15+K15)</f>
        <v>1</v>
      </c>
      <c r="C327" s="92">
        <f>SUM(B327:B327)</f>
        <v>1</v>
      </c>
      <c r="E327" s="92">
        <f>SUM(B93+E93+H93+K93)</f>
        <v>2</v>
      </c>
      <c r="F327" s="92">
        <f>SUM(E327:E327)</f>
        <v>2</v>
      </c>
      <c r="H327" s="92">
        <f>SUM(B171+E171+H171+K171)</f>
        <v>5</v>
      </c>
      <c r="I327" s="92">
        <f>SUM(H327:H327)</f>
        <v>5</v>
      </c>
      <c r="K327" s="92">
        <f>SUM(B249+E249+H249+K249)</f>
        <v>50</v>
      </c>
      <c r="L327" s="92">
        <f>SUM(K327:K327)</f>
        <v>50</v>
      </c>
      <c r="N327" s="92">
        <f>SUM(C327+F327+I327+L327)</f>
        <v>58</v>
      </c>
    </row>
    <row r="328" spans="1:14" ht="15.75" customHeight="1">
      <c r="A328" s="93">
        <v>0.32291666666666669</v>
      </c>
      <c r="B328" s="94">
        <f>SUM(B16+E16+H16+K16)</f>
        <v>17</v>
      </c>
      <c r="C328" s="94">
        <f>SUM(B328:B328)</f>
        <v>17</v>
      </c>
      <c r="E328" s="94">
        <f>SUM(B94+E94+H94+K94)</f>
        <v>2</v>
      </c>
      <c r="F328" s="94">
        <f>SUM(E328:E328)</f>
        <v>2</v>
      </c>
      <c r="H328" s="94">
        <f>SUM(B172+E172+H172+K172)</f>
        <v>5</v>
      </c>
      <c r="I328" s="94">
        <f>SUM(H328:H328)</f>
        <v>5</v>
      </c>
      <c r="K328" s="94">
        <f>SUM(B250+E250+H250+K250)</f>
        <v>128</v>
      </c>
      <c r="L328" s="94">
        <f>SUM(K328:K328)</f>
        <v>128</v>
      </c>
      <c r="N328" s="94">
        <f>SUM(C328+F328+I328+L328)</f>
        <v>152</v>
      </c>
    </row>
    <row r="329" spans="1:14" ht="15.75" customHeight="1">
      <c r="A329" s="95" t="s">
        <v>29</v>
      </c>
      <c r="B329" s="95">
        <f>SUM(B325:B328)</f>
        <v>27</v>
      </c>
      <c r="C329" s="95">
        <f>SUM(C325:C328)</f>
        <v>27</v>
      </c>
      <c r="E329" s="95">
        <f>SUM(E325:E328)</f>
        <v>5</v>
      </c>
      <c r="F329" s="95">
        <f>SUM(F325:F328)</f>
        <v>5</v>
      </c>
      <c r="H329" s="95">
        <f>SUM(H325:H328)</f>
        <v>20</v>
      </c>
      <c r="I329" s="95">
        <f>SUM(I325:I328)</f>
        <v>20</v>
      </c>
      <c r="K329" s="95">
        <f>SUM(K325:K328)</f>
        <v>290</v>
      </c>
      <c r="L329" s="95">
        <f>SUM(L325:L328)</f>
        <v>290</v>
      </c>
      <c r="N329" s="95">
        <f>SUM(N325:N328)</f>
        <v>342</v>
      </c>
    </row>
    <row r="330" spans="1:14" ht="15.75" customHeight="1">
      <c r="A330" s="89">
        <v>0.33333333333333331</v>
      </c>
      <c r="B330" s="90">
        <f>SUM(B18+E18+H18+K18)</f>
        <v>10</v>
      </c>
      <c r="C330" s="90">
        <f>SUM(B330:B330)</f>
        <v>10</v>
      </c>
      <c r="E330" s="90">
        <f>SUM(B96+E96+H96+K96)</f>
        <v>0</v>
      </c>
      <c r="F330" s="90">
        <f>SUM(E330:E330)</f>
        <v>0</v>
      </c>
      <c r="H330" s="90">
        <f>SUM(B174+E174+H174+K174)</f>
        <v>20</v>
      </c>
      <c r="I330" s="90">
        <f>SUM(H330:H330)</f>
        <v>20</v>
      </c>
      <c r="K330" s="90">
        <f>SUM(B252+E252+H252+K252)</f>
        <v>158</v>
      </c>
      <c r="L330" s="90">
        <f>SUM(K330:K330)</f>
        <v>158</v>
      </c>
      <c r="N330" s="90">
        <f>SUM(C330+F330+I330+L330)</f>
        <v>188</v>
      </c>
    </row>
    <row r="331" spans="1:14" ht="15.75" customHeight="1">
      <c r="A331" s="91">
        <v>0.34375</v>
      </c>
      <c r="B331" s="92">
        <f>SUM(B19+E19+H19+K19)</f>
        <v>10</v>
      </c>
      <c r="C331" s="92">
        <f>SUM(B331:B331)</f>
        <v>10</v>
      </c>
      <c r="E331" s="92">
        <f>SUM(B97+E97+H97+K97)</f>
        <v>5</v>
      </c>
      <c r="F331" s="92">
        <f>SUM(E331:E331)</f>
        <v>5</v>
      </c>
      <c r="H331" s="92">
        <f>SUM(B175+E175+H175+K175)</f>
        <v>23</v>
      </c>
      <c r="I331" s="92">
        <f>SUM(H331:H331)</f>
        <v>23</v>
      </c>
      <c r="K331" s="92">
        <f>SUM(B253+E253+H253+K253)</f>
        <v>202</v>
      </c>
      <c r="L331" s="92">
        <f>SUM(K331:K331)</f>
        <v>202</v>
      </c>
      <c r="N331" s="92">
        <f>SUM(C331+F331+I331+L331)</f>
        <v>240</v>
      </c>
    </row>
    <row r="332" spans="1:14" ht="15.75" customHeight="1">
      <c r="A332" s="91">
        <v>0.35416666666666669</v>
      </c>
      <c r="B332" s="92">
        <f>SUM(B20+E20+H20+K20)</f>
        <v>21</v>
      </c>
      <c r="C332" s="92">
        <f>SUM(B332:B332)</f>
        <v>21</v>
      </c>
      <c r="E332" s="92">
        <f>SUM(B98+E98+H98+K98)</f>
        <v>8</v>
      </c>
      <c r="F332" s="92">
        <f>SUM(E332:E332)</f>
        <v>8</v>
      </c>
      <c r="H332" s="92">
        <f>SUM(B176+E176+H176+K176)</f>
        <v>34</v>
      </c>
      <c r="I332" s="92">
        <f>SUM(H332:H332)</f>
        <v>34</v>
      </c>
      <c r="K332" s="92">
        <f>SUM(B254+E254+H254+K254)</f>
        <v>199</v>
      </c>
      <c r="L332" s="92">
        <f>SUM(K332:K332)</f>
        <v>199</v>
      </c>
      <c r="N332" s="92">
        <f>SUM(C332+F332+I332+L332)</f>
        <v>262</v>
      </c>
    </row>
    <row r="333" spans="1:14" ht="15.75" customHeight="1">
      <c r="A333" s="93">
        <v>0.36458333333333331</v>
      </c>
      <c r="B333" s="94">
        <f>SUM(B21+E21+H21+K21)</f>
        <v>6</v>
      </c>
      <c r="C333" s="94">
        <f>SUM(B333:B333)</f>
        <v>6</v>
      </c>
      <c r="E333" s="94">
        <f>SUM(B99+E99+H99+K99)</f>
        <v>6</v>
      </c>
      <c r="F333" s="94">
        <f>SUM(E333:E333)</f>
        <v>6</v>
      </c>
      <c r="H333" s="94">
        <f>SUM(B177+E177+H177+K177)</f>
        <v>22</v>
      </c>
      <c r="I333" s="94">
        <f>SUM(H333:H333)</f>
        <v>22</v>
      </c>
      <c r="K333" s="94">
        <f>SUM(B255+E255+H255+K255)</f>
        <v>224</v>
      </c>
      <c r="L333" s="94">
        <f>SUM(K333:K333)</f>
        <v>224</v>
      </c>
      <c r="N333" s="94">
        <f>SUM(C333+F333+I333+L333)</f>
        <v>258</v>
      </c>
    </row>
    <row r="334" spans="1:14" ht="15.75" customHeight="1">
      <c r="A334" s="95" t="s">
        <v>29</v>
      </c>
      <c r="B334" s="95">
        <f>SUM(B330:B333)</f>
        <v>47</v>
      </c>
      <c r="C334" s="95">
        <f>SUM(C330:C333)</f>
        <v>47</v>
      </c>
      <c r="E334" s="95">
        <f>SUM(E330:E333)</f>
        <v>19</v>
      </c>
      <c r="F334" s="95">
        <f>SUM(F330:F333)</f>
        <v>19</v>
      </c>
      <c r="H334" s="95">
        <f>SUM(H330:H333)</f>
        <v>99</v>
      </c>
      <c r="I334" s="95">
        <f>SUM(I330:I333)</f>
        <v>99</v>
      </c>
      <c r="K334" s="95">
        <f>SUM(K330:K333)</f>
        <v>783</v>
      </c>
      <c r="L334" s="95">
        <f>SUM(L330:L333)</f>
        <v>783</v>
      </c>
      <c r="N334" s="95">
        <f>SUM(N330:N333)</f>
        <v>948</v>
      </c>
    </row>
    <row r="335" spans="1:14" ht="15.75" customHeight="1">
      <c r="A335" s="89">
        <v>0.375</v>
      </c>
      <c r="B335" s="90">
        <f>SUM(B23+E23+H23+K23)</f>
        <v>14</v>
      </c>
      <c r="C335" s="90">
        <f>SUM(B335:B335)</f>
        <v>14</v>
      </c>
      <c r="E335" s="90">
        <f>SUM(B101+E101+H101+K101)</f>
        <v>0</v>
      </c>
      <c r="F335" s="90">
        <f>SUM(E335:E335)</f>
        <v>0</v>
      </c>
      <c r="H335" s="90">
        <f>SUM(B179+E179+H179+K179)</f>
        <v>14</v>
      </c>
      <c r="I335" s="90">
        <f>SUM(H335:H335)</f>
        <v>14</v>
      </c>
      <c r="K335" s="90">
        <f>SUM(B257+E257+H257+K257)</f>
        <v>121</v>
      </c>
      <c r="L335" s="90">
        <f>SUM(K335:K335)</f>
        <v>121</v>
      </c>
      <c r="N335" s="90">
        <f>SUM(C335+F335+I335+L335)</f>
        <v>149</v>
      </c>
    </row>
    <row r="336" spans="1:14" ht="15.75" customHeight="1">
      <c r="A336" s="91">
        <v>0.38541666666666669</v>
      </c>
      <c r="B336" s="92">
        <f>SUM(B24+E24+H24+K24)</f>
        <v>10</v>
      </c>
      <c r="C336" s="92">
        <f>SUM(B336:B336)</f>
        <v>10</v>
      </c>
      <c r="E336" s="92">
        <f>SUM(B102+E102+H102+K102)</f>
        <v>0</v>
      </c>
      <c r="F336" s="92">
        <f>SUM(E336:E336)</f>
        <v>0</v>
      </c>
      <c r="H336" s="92">
        <f>SUM(B180+E180+H180+K180)</f>
        <v>18</v>
      </c>
      <c r="I336" s="92">
        <f>SUM(H336:H336)</f>
        <v>18</v>
      </c>
      <c r="K336" s="92">
        <f>SUM(B258+E258+H258+K258)</f>
        <v>88</v>
      </c>
      <c r="L336" s="92">
        <f>SUM(K336:K336)</f>
        <v>88</v>
      </c>
      <c r="N336" s="92">
        <f>SUM(C336+F336+I336+L336)</f>
        <v>116</v>
      </c>
    </row>
    <row r="337" spans="1:14" ht="15.75" customHeight="1">
      <c r="A337" s="91">
        <v>0.39583333333333331</v>
      </c>
      <c r="B337" s="92">
        <f>SUM(B25+E25+H25+K25)</f>
        <v>8</v>
      </c>
      <c r="C337" s="92">
        <f>SUM(B337:B337)</f>
        <v>8</v>
      </c>
      <c r="E337" s="92">
        <f>SUM(B103+E103+H103+K103)</f>
        <v>1</v>
      </c>
      <c r="F337" s="92">
        <f>SUM(E337:E337)</f>
        <v>1</v>
      </c>
      <c r="H337" s="92">
        <f>SUM(B181+E181+H181+K181)</f>
        <v>14</v>
      </c>
      <c r="I337" s="92">
        <f>SUM(H337:H337)</f>
        <v>14</v>
      </c>
      <c r="K337" s="92">
        <f>SUM(B259+E259+H259+K259)</f>
        <v>50</v>
      </c>
      <c r="L337" s="92">
        <f>SUM(K337:K337)</f>
        <v>50</v>
      </c>
      <c r="N337" s="92">
        <f>SUM(C337+F337+I337+L337)</f>
        <v>73</v>
      </c>
    </row>
    <row r="338" spans="1:14" ht="15.75" customHeight="1">
      <c r="A338" s="93">
        <v>0.40625</v>
      </c>
      <c r="B338" s="94">
        <f>SUM(B26+E26+H26+K26)</f>
        <v>11</v>
      </c>
      <c r="C338" s="94">
        <f>SUM(B338:B338)</f>
        <v>11</v>
      </c>
      <c r="E338" s="94">
        <f>SUM(B104+E104+H104+K104)</f>
        <v>0</v>
      </c>
      <c r="F338" s="94">
        <f>SUM(E338:E338)</f>
        <v>0</v>
      </c>
      <c r="H338" s="94">
        <f>SUM(B182+E182+H182+K182)</f>
        <v>8</v>
      </c>
      <c r="I338" s="94">
        <f>SUM(H338:H338)</f>
        <v>8</v>
      </c>
      <c r="K338" s="94">
        <f>SUM(B260+E260+H260+K260)</f>
        <v>48</v>
      </c>
      <c r="L338" s="94">
        <f>SUM(K338:K338)</f>
        <v>48</v>
      </c>
      <c r="N338" s="94">
        <f>SUM(C338+F338+I338+L338)</f>
        <v>67</v>
      </c>
    </row>
    <row r="339" spans="1:14" ht="15.75" customHeight="1">
      <c r="A339" s="95" t="s">
        <v>29</v>
      </c>
      <c r="B339" s="95">
        <f>SUM(B335:B338)</f>
        <v>43</v>
      </c>
      <c r="C339" s="95">
        <f>SUM(C335:C338)</f>
        <v>43</v>
      </c>
      <c r="E339" s="95">
        <f>SUM(E335:E338)</f>
        <v>1</v>
      </c>
      <c r="F339" s="95">
        <f>SUM(F335:F338)</f>
        <v>1</v>
      </c>
      <c r="H339" s="95">
        <f>SUM(H335:H338)</f>
        <v>54</v>
      </c>
      <c r="I339" s="95">
        <f>SUM(I335:I338)</f>
        <v>54</v>
      </c>
      <c r="K339" s="95">
        <f>SUM(K335:K338)</f>
        <v>307</v>
      </c>
      <c r="L339" s="95">
        <f>SUM(L335:L338)</f>
        <v>307</v>
      </c>
      <c r="N339" s="95">
        <f>SUM(N335:N338)</f>
        <v>405</v>
      </c>
    </row>
    <row r="340" spans="1:14" ht="15.75" customHeight="1">
      <c r="A340" s="89">
        <v>0.41666666666666669</v>
      </c>
      <c r="B340" s="90">
        <f>SUM(B28+E28+H28+K28)</f>
        <v>7</v>
      </c>
      <c r="C340" s="90">
        <f>SUM(B340:B340)</f>
        <v>7</v>
      </c>
      <c r="E340" s="90">
        <f>SUM(B106+E106+H106+K106)</f>
        <v>3</v>
      </c>
      <c r="F340" s="90">
        <f>SUM(E340:E340)</f>
        <v>3</v>
      </c>
      <c r="H340" s="90">
        <f>SUM(B184+E184+H184+K184)</f>
        <v>9</v>
      </c>
      <c r="I340" s="90">
        <f>SUM(H340:H340)</f>
        <v>9</v>
      </c>
      <c r="K340" s="90">
        <f>SUM(B262+E262+H262+K262)</f>
        <v>42</v>
      </c>
      <c r="L340" s="90">
        <f>SUM(K340:K340)</f>
        <v>42</v>
      </c>
      <c r="N340" s="90">
        <f>SUM(C340+F340+I340+L340)</f>
        <v>61</v>
      </c>
    </row>
    <row r="341" spans="1:14" ht="15.75" customHeight="1">
      <c r="A341" s="91">
        <v>0.42708333333333331</v>
      </c>
      <c r="B341" s="92">
        <f>SUM(B29+E29+H29+K29)</f>
        <v>7</v>
      </c>
      <c r="C341" s="92">
        <f>SUM(B341:B341)</f>
        <v>7</v>
      </c>
      <c r="E341" s="92">
        <f>SUM(B107+E107+H107+K107)</f>
        <v>1</v>
      </c>
      <c r="F341" s="92">
        <f>SUM(E341:E341)</f>
        <v>1</v>
      </c>
      <c r="H341" s="92">
        <f>SUM(B185+E185+H185+K185)</f>
        <v>8</v>
      </c>
      <c r="I341" s="92">
        <f>SUM(H341:H341)</f>
        <v>8</v>
      </c>
      <c r="K341" s="92">
        <f>SUM(B263+E263+H263+K263)</f>
        <v>32</v>
      </c>
      <c r="L341" s="92">
        <f>SUM(K341:K341)</f>
        <v>32</v>
      </c>
      <c r="N341" s="92">
        <f>SUM(C341+F341+I341+L341)</f>
        <v>48</v>
      </c>
    </row>
    <row r="342" spans="1:14" ht="15.75" customHeight="1">
      <c r="A342" s="91">
        <v>0.4375</v>
      </c>
      <c r="B342" s="92">
        <f>SUM(B30+E30+H30+K30)</f>
        <v>11</v>
      </c>
      <c r="C342" s="92">
        <f>SUM(B342:B342)</f>
        <v>11</v>
      </c>
      <c r="E342" s="92">
        <f>SUM(B108+E108+H108+K108)</f>
        <v>2</v>
      </c>
      <c r="F342" s="92">
        <f>SUM(E342:E342)</f>
        <v>2</v>
      </c>
      <c r="H342" s="92">
        <f>SUM(B186+E186+H186+K186)</f>
        <v>6</v>
      </c>
      <c r="I342" s="92">
        <f>SUM(H342:H342)</f>
        <v>6</v>
      </c>
      <c r="K342" s="92">
        <f>SUM(B264+E264+H264+K264)</f>
        <v>33</v>
      </c>
      <c r="L342" s="92">
        <f>SUM(K342:K342)</f>
        <v>33</v>
      </c>
      <c r="N342" s="92">
        <f>SUM(C342+F342+I342+L342)</f>
        <v>52</v>
      </c>
    </row>
    <row r="343" spans="1:14" ht="15.75" customHeight="1">
      <c r="A343" s="93">
        <v>0.44791666666666669</v>
      </c>
      <c r="B343" s="94">
        <f>SUM(B31+E31+H31+K31)</f>
        <v>12</v>
      </c>
      <c r="C343" s="94">
        <f>SUM(B343:B343)</f>
        <v>12</v>
      </c>
      <c r="E343" s="94">
        <f>SUM(B109+E109+H109+K109)</f>
        <v>1</v>
      </c>
      <c r="F343" s="94">
        <f>SUM(E343:E343)</f>
        <v>1</v>
      </c>
      <c r="H343" s="94">
        <f>SUM(B187+E187+H187+K187)</f>
        <v>4</v>
      </c>
      <c r="I343" s="94">
        <f>SUM(H343:H343)</f>
        <v>4</v>
      </c>
      <c r="K343" s="94">
        <f>SUM(B265+E265+H265+K265)</f>
        <v>31</v>
      </c>
      <c r="L343" s="94">
        <f>SUM(K343:K343)</f>
        <v>31</v>
      </c>
      <c r="N343" s="94">
        <f>SUM(C343+F343+I343+L343)</f>
        <v>48</v>
      </c>
    </row>
    <row r="344" spans="1:14" ht="15.75" customHeight="1">
      <c r="A344" s="95" t="s">
        <v>29</v>
      </c>
      <c r="B344" s="95">
        <f>SUM(B340:B343)</f>
        <v>37</v>
      </c>
      <c r="C344" s="95">
        <f>SUM(C340:C343)</f>
        <v>37</v>
      </c>
      <c r="E344" s="95">
        <f>SUM(E340:E343)</f>
        <v>7</v>
      </c>
      <c r="F344" s="95">
        <f>SUM(F340:F343)</f>
        <v>7</v>
      </c>
      <c r="H344" s="95">
        <f>SUM(H340:H343)</f>
        <v>27</v>
      </c>
      <c r="I344" s="95">
        <f>SUM(I340:I343)</f>
        <v>27</v>
      </c>
      <c r="K344" s="95">
        <f>SUM(K340:K343)</f>
        <v>138</v>
      </c>
      <c r="L344" s="95">
        <f>SUM(L340:L343)</f>
        <v>138</v>
      </c>
      <c r="N344" s="95">
        <f>SUM(N340:N343)</f>
        <v>209</v>
      </c>
    </row>
    <row r="345" spans="1:14" ht="15.75" customHeight="1">
      <c r="A345" s="89">
        <v>0.45833333333333331</v>
      </c>
      <c r="B345" s="90">
        <f>SUM(B33+E33+H33+K33)</f>
        <v>13</v>
      </c>
      <c r="C345" s="90">
        <f>SUM(B345:B345)</f>
        <v>13</v>
      </c>
      <c r="E345" s="90">
        <f>SUM(B111+E111+H111+K111)</f>
        <v>0</v>
      </c>
      <c r="F345" s="90">
        <f>SUM(E345:E345)</f>
        <v>0</v>
      </c>
      <c r="H345" s="90">
        <f>SUM(B189+E189+H189+K189)</f>
        <v>1</v>
      </c>
      <c r="I345" s="90">
        <f>SUM(H345:H345)</f>
        <v>1</v>
      </c>
      <c r="K345" s="90">
        <f>SUM(B267+E267+H267+K267)</f>
        <v>21</v>
      </c>
      <c r="L345" s="90">
        <f>SUM(K345:K345)</f>
        <v>21</v>
      </c>
      <c r="N345" s="90">
        <f>SUM(C345+F345+I345+L345)</f>
        <v>35</v>
      </c>
    </row>
    <row r="346" spans="1:14" ht="15.75" customHeight="1">
      <c r="A346" s="91">
        <v>0.46875</v>
      </c>
      <c r="B346" s="92">
        <f>SUM(B34+E34+H34+K34)</f>
        <v>12</v>
      </c>
      <c r="C346" s="92">
        <f>SUM(B346:B346)</f>
        <v>12</v>
      </c>
      <c r="E346" s="92">
        <f>SUM(B112+E112+H112+K112)</f>
        <v>0</v>
      </c>
      <c r="F346" s="92">
        <f>SUM(E346:E346)</f>
        <v>0</v>
      </c>
      <c r="H346" s="92">
        <f>SUM(B190+E190+H190+K190)</f>
        <v>7</v>
      </c>
      <c r="I346" s="92">
        <f>SUM(H346:H346)</f>
        <v>7</v>
      </c>
      <c r="K346" s="92">
        <f>SUM(B268+E268+H268+K268)</f>
        <v>19</v>
      </c>
      <c r="L346" s="92">
        <f>SUM(K346:K346)</f>
        <v>19</v>
      </c>
      <c r="N346" s="92">
        <f>SUM(C346+F346+I346+L346)</f>
        <v>38</v>
      </c>
    </row>
    <row r="347" spans="1:14" ht="15.75" customHeight="1">
      <c r="A347" s="91">
        <v>0.47916666666666669</v>
      </c>
      <c r="B347" s="92">
        <f>SUM(B35+E35+H35+K35)</f>
        <v>15</v>
      </c>
      <c r="C347" s="92">
        <f>SUM(B347:B347)</f>
        <v>15</v>
      </c>
      <c r="E347" s="92">
        <f>SUM(B113+E113+H113+K113)</f>
        <v>1</v>
      </c>
      <c r="F347" s="92">
        <f>SUM(E347:E347)</f>
        <v>1</v>
      </c>
      <c r="H347" s="92">
        <f>SUM(B191+E191+H191+K191)</f>
        <v>8</v>
      </c>
      <c r="I347" s="92">
        <f>SUM(H347:H347)</f>
        <v>8</v>
      </c>
      <c r="K347" s="92">
        <f>SUM(B269+E269+H269+K269)</f>
        <v>27</v>
      </c>
      <c r="L347" s="92">
        <f>SUM(K347:K347)</f>
        <v>27</v>
      </c>
      <c r="N347" s="92">
        <f>SUM(C347+F347+I347+L347)</f>
        <v>51</v>
      </c>
    </row>
    <row r="348" spans="1:14" ht="15.75" customHeight="1">
      <c r="A348" s="93">
        <v>0.48958333333333331</v>
      </c>
      <c r="B348" s="94">
        <f>SUM(B36+E36+H36+K36)</f>
        <v>18</v>
      </c>
      <c r="C348" s="94">
        <f>SUM(B348:B348)</f>
        <v>18</v>
      </c>
      <c r="E348" s="94">
        <f>SUM(B114+E114+H114+K114)</f>
        <v>1</v>
      </c>
      <c r="F348" s="94">
        <f>SUM(E348:E348)</f>
        <v>1</v>
      </c>
      <c r="H348" s="94">
        <f>SUM(B192+E192+H192+K192)</f>
        <v>4</v>
      </c>
      <c r="I348" s="94">
        <f>SUM(H348:H348)</f>
        <v>4</v>
      </c>
      <c r="K348" s="94">
        <f>SUM(B270+E270+H270+K270)</f>
        <v>30</v>
      </c>
      <c r="L348" s="94">
        <f>SUM(K348:K348)</f>
        <v>30</v>
      </c>
      <c r="N348" s="94">
        <f>SUM(C348+F348+I348+L348)</f>
        <v>53</v>
      </c>
    </row>
    <row r="349" spans="1:14" ht="15.75" customHeight="1">
      <c r="A349" s="95" t="s">
        <v>29</v>
      </c>
      <c r="B349" s="95">
        <f>SUM(B345:B348)</f>
        <v>58</v>
      </c>
      <c r="C349" s="95">
        <f>SUM(C345:C348)</f>
        <v>58</v>
      </c>
      <c r="E349" s="95">
        <f>SUM(E345:E348)</f>
        <v>2</v>
      </c>
      <c r="F349" s="95">
        <f>SUM(F345:F348)</f>
        <v>2</v>
      </c>
      <c r="H349" s="95">
        <f>SUM(H345:H348)</f>
        <v>20</v>
      </c>
      <c r="I349" s="95">
        <f>SUM(I345:I348)</f>
        <v>20</v>
      </c>
      <c r="K349" s="95">
        <f>SUM(K345:K348)</f>
        <v>97</v>
      </c>
      <c r="L349" s="95">
        <f>SUM(L345:L348)</f>
        <v>97</v>
      </c>
      <c r="N349" s="95">
        <f>SUM(N345:N348)</f>
        <v>177</v>
      </c>
    </row>
    <row r="350" spans="1:14" ht="15.75" customHeight="1">
      <c r="A350" s="89">
        <v>0.5</v>
      </c>
      <c r="B350" s="90">
        <f>SUM(B38+E38+H38+K38)</f>
        <v>20</v>
      </c>
      <c r="C350" s="90">
        <f>SUM(B350:B350)</f>
        <v>20</v>
      </c>
      <c r="E350" s="90">
        <f>SUM(B116+E116+H116+K116)</f>
        <v>4</v>
      </c>
      <c r="F350" s="90">
        <f>SUM(E350:E350)</f>
        <v>4</v>
      </c>
      <c r="H350" s="90">
        <f>SUM(B194+E194+H194+K194)</f>
        <v>4</v>
      </c>
      <c r="I350" s="90">
        <f>SUM(H350:H350)</f>
        <v>4</v>
      </c>
      <c r="K350" s="90">
        <f>SUM(B272+E272+H272+K272)</f>
        <v>24</v>
      </c>
      <c r="L350" s="90">
        <f>SUM(K350:K350)</f>
        <v>24</v>
      </c>
      <c r="N350" s="90">
        <f>SUM(C350+F350+I350+L350)</f>
        <v>52</v>
      </c>
    </row>
    <row r="351" spans="1:14" ht="15.75" customHeight="1">
      <c r="A351" s="91">
        <v>0.51041666666666663</v>
      </c>
      <c r="B351" s="92">
        <f>SUM(B39+E39+H39+K39)</f>
        <v>22</v>
      </c>
      <c r="C351" s="92">
        <f>SUM(B351:B351)</f>
        <v>22</v>
      </c>
      <c r="E351" s="92">
        <f>SUM(B117+E117+H117+K117)</f>
        <v>8</v>
      </c>
      <c r="F351" s="92">
        <f>SUM(E351:E351)</f>
        <v>8</v>
      </c>
      <c r="H351" s="92">
        <f>SUM(B195+E195+H195+K195)</f>
        <v>11</v>
      </c>
      <c r="I351" s="92">
        <f>SUM(H351:H351)</f>
        <v>11</v>
      </c>
      <c r="K351" s="92">
        <f>SUM(B273+E273+H273+K273)</f>
        <v>21</v>
      </c>
      <c r="L351" s="92">
        <f>SUM(K351:K351)</f>
        <v>21</v>
      </c>
      <c r="N351" s="92">
        <f>SUM(C351+F351+I351+L351)</f>
        <v>62</v>
      </c>
    </row>
    <row r="352" spans="1:14" ht="15.75" customHeight="1">
      <c r="A352" s="91">
        <v>0.52083333333333337</v>
      </c>
      <c r="B352" s="92">
        <f>SUM(B40+E40+H40+K40)</f>
        <v>29</v>
      </c>
      <c r="C352" s="92">
        <f>SUM(B352:B352)</f>
        <v>29</v>
      </c>
      <c r="E352" s="92">
        <f>SUM(B118+E118+H118+K118)</f>
        <v>5</v>
      </c>
      <c r="F352" s="92">
        <f>SUM(E352:E352)</f>
        <v>5</v>
      </c>
      <c r="H352" s="92">
        <f>SUM(B196+E196+H196+K196)</f>
        <v>8</v>
      </c>
      <c r="I352" s="92">
        <f>SUM(H352:H352)</f>
        <v>8</v>
      </c>
      <c r="K352" s="92">
        <f>SUM(B274+E274+H274+K274)</f>
        <v>23</v>
      </c>
      <c r="L352" s="92">
        <f>SUM(K352:K352)</f>
        <v>23</v>
      </c>
      <c r="N352" s="92">
        <f>SUM(C352+F352+I352+L352)</f>
        <v>65</v>
      </c>
    </row>
    <row r="353" spans="1:14" ht="15.75" customHeight="1">
      <c r="A353" s="93">
        <v>0.53125</v>
      </c>
      <c r="B353" s="94">
        <f>SUM(B41+E41+H41+K41)</f>
        <v>30</v>
      </c>
      <c r="C353" s="94">
        <f>SUM(B353:B353)</f>
        <v>30</v>
      </c>
      <c r="E353" s="94">
        <f>SUM(B119+E119+H119+K119)</f>
        <v>13</v>
      </c>
      <c r="F353" s="94">
        <f>SUM(E353:E353)</f>
        <v>13</v>
      </c>
      <c r="H353" s="94">
        <f>SUM(B197+E197+H197+K197)</f>
        <v>8</v>
      </c>
      <c r="I353" s="94">
        <f>SUM(H353:H353)</f>
        <v>8</v>
      </c>
      <c r="K353" s="94">
        <f>SUM(B275+E275+H275+K275)</f>
        <v>19</v>
      </c>
      <c r="L353" s="94">
        <f>SUM(K353:K353)</f>
        <v>19</v>
      </c>
      <c r="N353" s="94">
        <f>SUM(C353+F353+I353+L353)</f>
        <v>70</v>
      </c>
    </row>
    <row r="354" spans="1:14" ht="15.75" customHeight="1">
      <c r="A354" s="95" t="s">
        <v>29</v>
      </c>
      <c r="B354" s="95">
        <f>SUM(B350:B353)</f>
        <v>101</v>
      </c>
      <c r="C354" s="95">
        <f>SUM(C350:C353)</f>
        <v>101</v>
      </c>
      <c r="E354" s="95">
        <f>SUM(E350:E353)</f>
        <v>30</v>
      </c>
      <c r="F354" s="95">
        <f>SUM(F350:F353)</f>
        <v>30</v>
      </c>
      <c r="H354" s="95">
        <f>SUM(H350:H353)</f>
        <v>31</v>
      </c>
      <c r="I354" s="95">
        <f>SUM(I350:I353)</f>
        <v>31</v>
      </c>
      <c r="K354" s="95">
        <f>SUM(K350:K353)</f>
        <v>87</v>
      </c>
      <c r="L354" s="95">
        <f>SUM(L350:L353)</f>
        <v>87</v>
      </c>
      <c r="N354" s="95">
        <f>SUM(N350:N353)</f>
        <v>249</v>
      </c>
    </row>
    <row r="356" spans="1:14" ht="15.75" customHeight="1">
      <c r="A356" s="95" t="s">
        <v>30</v>
      </c>
      <c r="B356" s="95">
        <f>SUM(B354+B349+B344+B339+B334+B329)</f>
        <v>313</v>
      </c>
      <c r="C356" s="95">
        <f>SUM(C354+C349+C344+C339+C334+C329)</f>
        <v>313</v>
      </c>
      <c r="E356" s="95">
        <f>SUM(E354+E349+E344+E339+E334+E329)</f>
        <v>64</v>
      </c>
      <c r="F356" s="95">
        <f>SUM(F354+F349+F344+F339+F334+F329)</f>
        <v>64</v>
      </c>
      <c r="H356" s="95">
        <f>SUM(H354+H349+H344+H339+H334+H329)</f>
        <v>251</v>
      </c>
      <c r="I356" s="95">
        <f>SUM(I354+I349+I344+I339+I334+I329)</f>
        <v>251</v>
      </c>
      <c r="K356" s="95">
        <f>SUM(K354+K349+K344+K339+K334+K329)</f>
        <v>1702</v>
      </c>
      <c r="L356" s="95">
        <f>SUM(L354+L349+L344+L339+L334+L329)</f>
        <v>1702</v>
      </c>
      <c r="N356" s="95">
        <f>SUM(N354+N349+N344+N339+N334+N329)</f>
        <v>2330</v>
      </c>
    </row>
    <row r="358" spans="1:14" ht="15.75" customHeight="1">
      <c r="A358" s="72" t="s">
        <v>31</v>
      </c>
    </row>
    <row r="359" spans="1:14" ht="15.75" customHeight="1">
      <c r="A359" s="72"/>
      <c r="B359" s="79" t="s">
        <v>32</v>
      </c>
      <c r="C359" s="80"/>
      <c r="E359" s="79" t="s">
        <v>32</v>
      </c>
      <c r="F359" s="80"/>
      <c r="H359" s="79" t="s">
        <v>32</v>
      </c>
      <c r="I359" s="80"/>
      <c r="K359" s="79" t="s">
        <v>32</v>
      </c>
      <c r="L359" s="80"/>
    </row>
    <row r="360" spans="1:14" ht="15.75" customHeight="1">
      <c r="B360" s="96" t="s">
        <v>15</v>
      </c>
      <c r="C360" s="97"/>
      <c r="E360" s="96" t="s">
        <v>25</v>
      </c>
      <c r="F360" s="97"/>
      <c r="H360" s="96" t="s">
        <v>26</v>
      </c>
      <c r="I360" s="97"/>
      <c r="K360" s="96" t="s">
        <v>27</v>
      </c>
      <c r="L360" s="97"/>
      <c r="N360" s="84" t="s">
        <v>33</v>
      </c>
    </row>
    <row r="361" spans="1:14" s="85" customFormat="1" ht="15.75" customHeight="1">
      <c r="B361" s="86" t="str">
        <f>$B$11</f>
        <v>PEDS</v>
      </c>
      <c r="C361" s="87" t="s">
        <v>24</v>
      </c>
      <c r="E361" s="86" t="str">
        <f>$B$11</f>
        <v>PEDS</v>
      </c>
      <c r="F361" s="87" t="s">
        <v>24</v>
      </c>
      <c r="H361" s="86" t="str">
        <f>$B$11</f>
        <v>PEDS</v>
      </c>
      <c r="I361" s="87" t="s">
        <v>24</v>
      </c>
      <c r="K361" s="86" t="str">
        <f>$B$11</f>
        <v>PEDS</v>
      </c>
      <c r="L361" s="87" t="s">
        <v>24</v>
      </c>
      <c r="N361" s="88"/>
    </row>
    <row r="363" spans="1:14" ht="15.75" customHeight="1">
      <c r="A363" s="89">
        <v>0.54166666666666663</v>
      </c>
      <c r="B363" s="90">
        <f>SUM(B51+E51+H51+K51)</f>
        <v>29</v>
      </c>
      <c r="C363" s="90">
        <f>SUM(B363:B363)</f>
        <v>29</v>
      </c>
      <c r="E363" s="90">
        <f>SUM(B129+E129+H129+K129)</f>
        <v>3</v>
      </c>
      <c r="F363" s="90">
        <f>SUM(E363:E363)</f>
        <v>3</v>
      </c>
      <c r="H363" s="90">
        <f>SUM(B207+E207+H207+K207)</f>
        <v>3</v>
      </c>
      <c r="I363" s="90">
        <f>SUM(H363:H363)</f>
        <v>3</v>
      </c>
      <c r="K363" s="90">
        <f>SUM(B285+E285+H285+K285)</f>
        <v>30</v>
      </c>
      <c r="L363" s="90">
        <f>SUM(K363:K363)</f>
        <v>30</v>
      </c>
      <c r="N363" s="90">
        <f>SUM(C363+F363+I363+L363)</f>
        <v>65</v>
      </c>
    </row>
    <row r="364" spans="1:14" ht="15.75" customHeight="1">
      <c r="A364" s="91">
        <v>0.55208333333333337</v>
      </c>
      <c r="B364" s="92">
        <f>SUM(B52+E52+H52+K52)</f>
        <v>19</v>
      </c>
      <c r="C364" s="92">
        <f>SUM(B364:B364)</f>
        <v>19</v>
      </c>
      <c r="E364" s="92">
        <f>SUM(B130+E130+H130+K130)</f>
        <v>1</v>
      </c>
      <c r="F364" s="92">
        <f>SUM(E364:E364)</f>
        <v>1</v>
      </c>
      <c r="H364" s="92">
        <f>SUM(B208+E208+H208+K208)</f>
        <v>9</v>
      </c>
      <c r="I364" s="92">
        <f>SUM(H364:H364)</f>
        <v>9</v>
      </c>
      <c r="K364" s="92">
        <f>SUM(B286+E286+H286+K286)</f>
        <v>28</v>
      </c>
      <c r="L364" s="92">
        <f>SUM(K364:K364)</f>
        <v>28</v>
      </c>
      <c r="N364" s="92">
        <f>SUM(C364+F364+I364+L364)</f>
        <v>57</v>
      </c>
    </row>
    <row r="365" spans="1:14" ht="15.75" customHeight="1">
      <c r="A365" s="91">
        <v>0.5625</v>
      </c>
      <c r="B365" s="92">
        <f>SUM(B53+E53+H53+K53)</f>
        <v>25</v>
      </c>
      <c r="C365" s="92">
        <f>SUM(B365:B365)</f>
        <v>25</v>
      </c>
      <c r="E365" s="92">
        <f>SUM(B131+E131+H131+K131)</f>
        <v>6</v>
      </c>
      <c r="F365" s="92">
        <f>SUM(E365:E365)</f>
        <v>6</v>
      </c>
      <c r="H365" s="92">
        <f>SUM(B209+E209+H209+K209)</f>
        <v>5</v>
      </c>
      <c r="I365" s="92">
        <f>SUM(H365:H365)</f>
        <v>5</v>
      </c>
      <c r="K365" s="92">
        <f>SUM(B287+E287+H287+K287)</f>
        <v>15</v>
      </c>
      <c r="L365" s="92">
        <f>SUM(K365:K365)</f>
        <v>15</v>
      </c>
      <c r="N365" s="92">
        <f>SUM(C365+F365+I365+L365)</f>
        <v>51</v>
      </c>
    </row>
    <row r="366" spans="1:14" ht="15.75" customHeight="1">
      <c r="A366" s="93">
        <v>0.57291666666666663</v>
      </c>
      <c r="B366" s="94">
        <f>SUM(B54+E54+H54+K54)</f>
        <v>18</v>
      </c>
      <c r="C366" s="94">
        <f>SUM(B366:B366)</f>
        <v>18</v>
      </c>
      <c r="E366" s="94">
        <f>SUM(B132+E132+H132+K132)</f>
        <v>3</v>
      </c>
      <c r="F366" s="94">
        <f>SUM(E366:E366)</f>
        <v>3</v>
      </c>
      <c r="H366" s="94">
        <f>SUM(B210+E210+H210+K210)</f>
        <v>6</v>
      </c>
      <c r="I366" s="94">
        <f>SUM(H366:H366)</f>
        <v>6</v>
      </c>
      <c r="K366" s="94">
        <f>SUM(B288+E288+H288+K288)</f>
        <v>21</v>
      </c>
      <c r="L366" s="94">
        <f>SUM(K366:K366)</f>
        <v>21</v>
      </c>
      <c r="N366" s="94">
        <f>SUM(C366+F366+I366+L366)</f>
        <v>48</v>
      </c>
    </row>
    <row r="367" spans="1:14" ht="15.75" customHeight="1">
      <c r="A367" s="95" t="s">
        <v>29</v>
      </c>
      <c r="B367" s="95">
        <f>SUM(B363:B366)</f>
        <v>91</v>
      </c>
      <c r="C367" s="95">
        <f>SUM(C363:C366)</f>
        <v>91</v>
      </c>
      <c r="E367" s="95">
        <f>SUM(E363:E366)</f>
        <v>13</v>
      </c>
      <c r="F367" s="95">
        <f>SUM(F363:F366)</f>
        <v>13</v>
      </c>
      <c r="H367" s="95">
        <f>SUM(H363:H366)</f>
        <v>23</v>
      </c>
      <c r="I367" s="95">
        <f>SUM(I363:I366)</f>
        <v>23</v>
      </c>
      <c r="K367" s="95">
        <f>SUM(K363:K366)</f>
        <v>94</v>
      </c>
      <c r="L367" s="95">
        <f>SUM(L363:L366)</f>
        <v>94</v>
      </c>
      <c r="N367" s="95">
        <f>SUM(N363:N366)</f>
        <v>221</v>
      </c>
    </row>
    <row r="368" spans="1:14" ht="15.75" customHeight="1">
      <c r="A368" s="89">
        <v>0.58333333333333337</v>
      </c>
      <c r="B368" s="90">
        <f>SUM(B56+E56+H56+K56)</f>
        <v>23</v>
      </c>
      <c r="C368" s="90">
        <f>SUM(B368:B368)</f>
        <v>23</v>
      </c>
      <c r="E368" s="90">
        <f>SUM(B134+E134+H134+K134)</f>
        <v>3</v>
      </c>
      <c r="F368" s="90">
        <f>SUM(E368:E368)</f>
        <v>3</v>
      </c>
      <c r="H368" s="90">
        <f>SUM(B212+E212+H212+K212)</f>
        <v>7</v>
      </c>
      <c r="I368" s="90">
        <f>SUM(H368:H368)</f>
        <v>7</v>
      </c>
      <c r="K368" s="90">
        <f>SUM(B290+E290+H290+K290)</f>
        <v>18</v>
      </c>
      <c r="L368" s="90">
        <f>SUM(K368:K368)</f>
        <v>18</v>
      </c>
      <c r="N368" s="90">
        <f>SUM(C368+F368+I368+L368)</f>
        <v>51</v>
      </c>
    </row>
    <row r="369" spans="1:14" ht="15.75" customHeight="1">
      <c r="A369" s="91">
        <v>0.59375</v>
      </c>
      <c r="B369" s="92">
        <f>SUM(B57+E57+H57+K57)</f>
        <v>36</v>
      </c>
      <c r="C369" s="92">
        <f>SUM(B369:B369)</f>
        <v>36</v>
      </c>
      <c r="E369" s="92">
        <f>SUM(B135+E135+H135+K135)</f>
        <v>1</v>
      </c>
      <c r="F369" s="92">
        <f>SUM(E369:E369)</f>
        <v>1</v>
      </c>
      <c r="H369" s="92">
        <f>SUM(B213+E213+H213+K213)</f>
        <v>2</v>
      </c>
      <c r="I369" s="92">
        <f>SUM(H369:H369)</f>
        <v>2</v>
      </c>
      <c r="K369" s="92">
        <f>SUM(B291+E291+H291+K291)</f>
        <v>18</v>
      </c>
      <c r="L369" s="92">
        <f>SUM(K369:K369)</f>
        <v>18</v>
      </c>
      <c r="N369" s="92">
        <f>SUM(C369+F369+I369+L369)</f>
        <v>57</v>
      </c>
    </row>
    <row r="370" spans="1:14" ht="15.75" customHeight="1">
      <c r="A370" s="91">
        <v>0.60416666666666663</v>
      </c>
      <c r="B370" s="92">
        <f>SUM(B58+E58+H58+K58)</f>
        <v>17</v>
      </c>
      <c r="C370" s="92">
        <f>SUM(B370:B370)</f>
        <v>17</v>
      </c>
      <c r="E370" s="92">
        <f>SUM(B136+E136+H136+K136)</f>
        <v>4</v>
      </c>
      <c r="F370" s="92">
        <f>SUM(E370:E370)</f>
        <v>4</v>
      </c>
      <c r="H370" s="92">
        <f>SUM(B214+E214+H214+K214)</f>
        <v>2</v>
      </c>
      <c r="I370" s="92">
        <f>SUM(H370:H370)</f>
        <v>2</v>
      </c>
      <c r="K370" s="92">
        <f>SUM(B292+E292+H292+K292)</f>
        <v>13</v>
      </c>
      <c r="L370" s="92">
        <f>SUM(K370:K370)</f>
        <v>13</v>
      </c>
      <c r="N370" s="92">
        <f>SUM(C370+F370+I370+L370)</f>
        <v>36</v>
      </c>
    </row>
    <row r="371" spans="1:14" ht="15.75" customHeight="1">
      <c r="A371" s="93">
        <v>0.61458333333333337</v>
      </c>
      <c r="B371" s="94">
        <f>SUM(B59+E59+H59+K59)</f>
        <v>31</v>
      </c>
      <c r="C371" s="94">
        <f>SUM(B371:B371)</f>
        <v>31</v>
      </c>
      <c r="E371" s="94">
        <f>SUM(B137+E137+H137+K137)</f>
        <v>1</v>
      </c>
      <c r="F371" s="94">
        <f>SUM(E371:E371)</f>
        <v>1</v>
      </c>
      <c r="H371" s="94">
        <f>SUM(B215+E215+H215+K215)</f>
        <v>0</v>
      </c>
      <c r="I371" s="94">
        <f>SUM(H371:H371)</f>
        <v>0</v>
      </c>
      <c r="K371" s="94">
        <f>SUM(B293+E293+H293+K293)</f>
        <v>16</v>
      </c>
      <c r="L371" s="94">
        <f>SUM(K371:K371)</f>
        <v>16</v>
      </c>
      <c r="N371" s="94">
        <f>SUM(C371+F371+I371+L371)</f>
        <v>48</v>
      </c>
    </row>
    <row r="372" spans="1:14" ht="15.75" customHeight="1">
      <c r="A372" s="95" t="s">
        <v>29</v>
      </c>
      <c r="B372" s="95">
        <f>SUM(B368:B371)</f>
        <v>107</v>
      </c>
      <c r="C372" s="95">
        <f>SUM(C368:C371)</f>
        <v>107</v>
      </c>
      <c r="E372" s="95">
        <f>SUM(E368:E371)</f>
        <v>9</v>
      </c>
      <c r="F372" s="95">
        <f>SUM(F368:F371)</f>
        <v>9</v>
      </c>
      <c r="H372" s="95">
        <f>SUM(H368:H371)</f>
        <v>11</v>
      </c>
      <c r="I372" s="95">
        <f>SUM(I368:I371)</f>
        <v>11</v>
      </c>
      <c r="K372" s="95">
        <f>SUM(K368:K371)</f>
        <v>65</v>
      </c>
      <c r="L372" s="95">
        <f>SUM(L368:L371)</f>
        <v>65</v>
      </c>
      <c r="N372" s="95">
        <f>SUM(N368:N371)</f>
        <v>192</v>
      </c>
    </row>
    <row r="373" spans="1:14" ht="15.75" customHeight="1">
      <c r="A373" s="89">
        <v>0.625</v>
      </c>
      <c r="B373" s="90">
        <f>SUM(B61+E61+H61+K61)</f>
        <v>40</v>
      </c>
      <c r="C373" s="90">
        <f>SUM(B373:B373)</f>
        <v>40</v>
      </c>
      <c r="E373" s="90">
        <f>SUM(B139+E139+H139+K139)</f>
        <v>6</v>
      </c>
      <c r="F373" s="90">
        <f>SUM(E373:E373)</f>
        <v>6</v>
      </c>
      <c r="H373" s="90">
        <f>SUM(B217+E217+H217+K217)</f>
        <v>5</v>
      </c>
      <c r="I373" s="90">
        <f>SUM(H373:H373)</f>
        <v>5</v>
      </c>
      <c r="K373" s="90">
        <f>SUM(B295+E295+H295+K295)</f>
        <v>20</v>
      </c>
      <c r="L373" s="90">
        <f>SUM(K373:K373)</f>
        <v>20</v>
      </c>
      <c r="N373" s="90">
        <f>SUM(C373+F373+I373+L373)</f>
        <v>71</v>
      </c>
    </row>
    <row r="374" spans="1:14" ht="15.75" customHeight="1">
      <c r="A374" s="91">
        <v>0.63541666666666663</v>
      </c>
      <c r="B374" s="92">
        <f>SUM(B62+E62+H62+K62)</f>
        <v>51</v>
      </c>
      <c r="C374" s="92">
        <f>SUM(B374:B374)</f>
        <v>51</v>
      </c>
      <c r="E374" s="92">
        <f>SUM(B140+E140+H140+K140)</f>
        <v>7</v>
      </c>
      <c r="F374" s="92">
        <f>SUM(E374:E374)</f>
        <v>7</v>
      </c>
      <c r="H374" s="92">
        <f>SUM(B218+E218+H218+K218)</f>
        <v>1</v>
      </c>
      <c r="I374" s="92">
        <f>SUM(H374:H374)</f>
        <v>1</v>
      </c>
      <c r="K374" s="92">
        <f>SUM(B296+E296+H296+K296)</f>
        <v>16</v>
      </c>
      <c r="L374" s="92">
        <f>SUM(K374:K374)</f>
        <v>16</v>
      </c>
      <c r="N374" s="92">
        <f>SUM(C374+F374+I374+L374)</f>
        <v>75</v>
      </c>
    </row>
    <row r="375" spans="1:14" ht="15.75" customHeight="1">
      <c r="A375" s="91">
        <v>0.64583333333333337</v>
      </c>
      <c r="B375" s="92">
        <f>SUM(B63+E63+H63+K63)</f>
        <v>51</v>
      </c>
      <c r="C375" s="92">
        <f>SUM(B375:B375)</f>
        <v>51</v>
      </c>
      <c r="E375" s="92">
        <f>SUM(B141+E141+H141+K141)</f>
        <v>6</v>
      </c>
      <c r="F375" s="92">
        <f>SUM(E375:E375)</f>
        <v>6</v>
      </c>
      <c r="H375" s="92">
        <f>SUM(B219+E219+H219+K219)</f>
        <v>5</v>
      </c>
      <c r="I375" s="92">
        <f>SUM(H375:H375)</f>
        <v>5</v>
      </c>
      <c r="K375" s="92">
        <f>SUM(B297+E297+H297+K297)</f>
        <v>24</v>
      </c>
      <c r="L375" s="92">
        <f>SUM(K375:K375)</f>
        <v>24</v>
      </c>
      <c r="N375" s="92">
        <f>SUM(C375+F375+I375+L375)</f>
        <v>86</v>
      </c>
    </row>
    <row r="376" spans="1:14" ht="15.75" customHeight="1">
      <c r="A376" s="93">
        <v>0.65625</v>
      </c>
      <c r="B376" s="94">
        <f>SUM(B64+E64+H64+K64)</f>
        <v>55</v>
      </c>
      <c r="C376" s="94">
        <f>SUM(B376:B376)</f>
        <v>55</v>
      </c>
      <c r="E376" s="94">
        <f>SUM(B142+E142+H142+K142)</f>
        <v>2</v>
      </c>
      <c r="F376" s="94">
        <f>SUM(E376:E376)</f>
        <v>2</v>
      </c>
      <c r="H376" s="94">
        <f>SUM(B220+E220+H220+K220)</f>
        <v>7</v>
      </c>
      <c r="I376" s="94">
        <f>SUM(H376:H376)</f>
        <v>7</v>
      </c>
      <c r="K376" s="94">
        <f>SUM(B298+E298+H298+K298)</f>
        <v>25</v>
      </c>
      <c r="L376" s="94">
        <f>SUM(K376:K376)</f>
        <v>25</v>
      </c>
      <c r="N376" s="94">
        <f>SUM(C376+F376+I376+L376)</f>
        <v>89</v>
      </c>
    </row>
    <row r="377" spans="1:14" ht="15.75" customHeight="1">
      <c r="A377" s="95" t="s">
        <v>29</v>
      </c>
      <c r="B377" s="95">
        <f>SUM(B373:B376)</f>
        <v>197</v>
      </c>
      <c r="C377" s="95">
        <f>SUM(C373:C376)</f>
        <v>197</v>
      </c>
      <c r="E377" s="95">
        <f>SUM(E373:E376)</f>
        <v>21</v>
      </c>
      <c r="F377" s="95">
        <f>SUM(F373:F376)</f>
        <v>21</v>
      </c>
      <c r="H377" s="95">
        <f>SUM(H373:H376)</f>
        <v>18</v>
      </c>
      <c r="I377" s="95">
        <f>SUM(I373:I376)</f>
        <v>18</v>
      </c>
      <c r="K377" s="95">
        <f>SUM(K373:K376)</f>
        <v>85</v>
      </c>
      <c r="L377" s="95">
        <f>SUM(L373:L376)</f>
        <v>85</v>
      </c>
      <c r="N377" s="95">
        <f>SUM(N373:N376)</f>
        <v>321</v>
      </c>
    </row>
    <row r="378" spans="1:14" ht="15.75" customHeight="1">
      <c r="A378" s="89">
        <v>0.66666666666666663</v>
      </c>
      <c r="B378" s="90">
        <f>SUM(B66+E66+H66+K66)</f>
        <v>54</v>
      </c>
      <c r="C378" s="90">
        <f>SUM(B378:B378)</f>
        <v>54</v>
      </c>
      <c r="E378" s="90">
        <f>SUM(B144+E144+H144+K144)</f>
        <v>7</v>
      </c>
      <c r="F378" s="90">
        <f>SUM(E378:E378)</f>
        <v>7</v>
      </c>
      <c r="H378" s="90">
        <f>SUM(B222+E222+H222+K222)</f>
        <v>6</v>
      </c>
      <c r="I378" s="90">
        <f>SUM(H378:H378)</f>
        <v>6</v>
      </c>
      <c r="K378" s="90">
        <f>SUM(B300+E300+H300+K300)</f>
        <v>21</v>
      </c>
      <c r="L378" s="90">
        <f>SUM(K378:K378)</f>
        <v>21</v>
      </c>
      <c r="N378" s="90">
        <f>SUM(C378+F378+I378+L378)</f>
        <v>88</v>
      </c>
    </row>
    <row r="379" spans="1:14" ht="15.75" customHeight="1">
      <c r="A379" s="91">
        <v>0.67708333333333337</v>
      </c>
      <c r="B379" s="92">
        <f>SUM(B67+E67+H67+K67)</f>
        <v>79</v>
      </c>
      <c r="C379" s="92">
        <f>SUM(B379:B379)</f>
        <v>79</v>
      </c>
      <c r="E379" s="92">
        <f>SUM(B145+E145+H145+K145)</f>
        <v>12</v>
      </c>
      <c r="F379" s="92">
        <f>SUM(E379:E379)</f>
        <v>12</v>
      </c>
      <c r="H379" s="92">
        <f>SUM(B223+E223+H223+K223)</f>
        <v>9</v>
      </c>
      <c r="I379" s="92">
        <f>SUM(H379:H379)</f>
        <v>9</v>
      </c>
      <c r="K379" s="92">
        <f>SUM(B301+E301+H301+K301)</f>
        <v>23</v>
      </c>
      <c r="L379" s="92">
        <f>SUM(K379:K379)</f>
        <v>23</v>
      </c>
      <c r="N379" s="92">
        <f>SUM(C379+F379+I379+L379)</f>
        <v>123</v>
      </c>
    </row>
    <row r="380" spans="1:14" ht="15.75" customHeight="1">
      <c r="A380" s="91">
        <v>0.6875</v>
      </c>
      <c r="B380" s="92">
        <f>SUM(B68+E68+H68+K68)</f>
        <v>103</v>
      </c>
      <c r="C380" s="92">
        <f>SUM(B380:B380)</f>
        <v>103</v>
      </c>
      <c r="E380" s="92">
        <f>SUM(B146+E146+H146+K146)</f>
        <v>8</v>
      </c>
      <c r="F380" s="92">
        <f>SUM(E380:E380)</f>
        <v>8</v>
      </c>
      <c r="H380" s="92">
        <f>SUM(B224+E224+H224+K224)</f>
        <v>9</v>
      </c>
      <c r="I380" s="92">
        <f>SUM(H380:H380)</f>
        <v>9</v>
      </c>
      <c r="K380" s="92">
        <f>SUM(B302+E302+H302+K302)</f>
        <v>21</v>
      </c>
      <c r="L380" s="92">
        <f>SUM(K380:K380)</f>
        <v>21</v>
      </c>
      <c r="N380" s="92">
        <f>SUM(C380+F380+I380+L380)</f>
        <v>141</v>
      </c>
    </row>
    <row r="381" spans="1:14" ht="15.75" customHeight="1">
      <c r="A381" s="93">
        <v>0.69791666666666663</v>
      </c>
      <c r="B381" s="94">
        <f>SUM(B69+E69+H69+K69)</f>
        <v>98</v>
      </c>
      <c r="C381" s="94">
        <f>SUM(B381:B381)</f>
        <v>98</v>
      </c>
      <c r="E381" s="94">
        <f>SUM(B147+E147+H147+K147)</f>
        <v>8</v>
      </c>
      <c r="F381" s="94">
        <f>SUM(E381:E381)</f>
        <v>8</v>
      </c>
      <c r="H381" s="94">
        <f>SUM(B225+E225+H225+K225)</f>
        <v>15</v>
      </c>
      <c r="I381" s="94">
        <f>SUM(H381:H381)</f>
        <v>15</v>
      </c>
      <c r="K381" s="94">
        <f>SUM(B303+E303+H303+K303)</f>
        <v>17</v>
      </c>
      <c r="L381" s="94">
        <f>SUM(K381:K381)</f>
        <v>17</v>
      </c>
      <c r="N381" s="94">
        <f>SUM(C381+F381+I381+L381)</f>
        <v>138</v>
      </c>
    </row>
    <row r="382" spans="1:14" ht="15.75" customHeight="1">
      <c r="A382" s="95" t="s">
        <v>29</v>
      </c>
      <c r="B382" s="95">
        <f>SUM(B378:B381)</f>
        <v>334</v>
      </c>
      <c r="C382" s="95">
        <f>SUM(C378:C381)</f>
        <v>334</v>
      </c>
      <c r="E382" s="95">
        <f>SUM(E378:E381)</f>
        <v>35</v>
      </c>
      <c r="F382" s="95">
        <f>SUM(F378:F381)</f>
        <v>35</v>
      </c>
      <c r="H382" s="95">
        <f>SUM(H378:H381)</f>
        <v>39</v>
      </c>
      <c r="I382" s="95">
        <f>SUM(I378:I381)</f>
        <v>39</v>
      </c>
      <c r="K382" s="95">
        <f>SUM(K378:K381)</f>
        <v>82</v>
      </c>
      <c r="L382" s="95">
        <f>SUM(L378:L381)</f>
        <v>82</v>
      </c>
      <c r="N382" s="95">
        <f>SUM(N378:N381)</f>
        <v>490</v>
      </c>
    </row>
    <row r="383" spans="1:14" ht="15.75" customHeight="1">
      <c r="A383" s="89">
        <v>0.70833333333333337</v>
      </c>
      <c r="B383" s="90">
        <f>SUM(B71+E71+H71+K71)</f>
        <v>132</v>
      </c>
      <c r="C383" s="90">
        <f>SUM(B383:B383)</f>
        <v>132</v>
      </c>
      <c r="E383" s="90">
        <f>SUM(B149+E149+H149+K149)</f>
        <v>10</v>
      </c>
      <c r="F383" s="90">
        <f>SUM(E383:E383)</f>
        <v>10</v>
      </c>
      <c r="H383" s="90">
        <f>SUM(B227+E227+H227+K227)</f>
        <v>13</v>
      </c>
      <c r="I383" s="90">
        <f>SUM(H383:H383)</f>
        <v>13</v>
      </c>
      <c r="K383" s="90">
        <f>SUM(B305+E305+H305+K305)</f>
        <v>23</v>
      </c>
      <c r="L383" s="90">
        <f>SUM(K383:K383)</f>
        <v>23</v>
      </c>
      <c r="N383" s="90">
        <f>SUM(C383+F383+I383+L383)</f>
        <v>178</v>
      </c>
    </row>
    <row r="384" spans="1:14" ht="15.75" customHeight="1">
      <c r="A384" s="91">
        <v>0.71875</v>
      </c>
      <c r="B384" s="92">
        <f>SUM(B72+E72+H72+K72)</f>
        <v>165</v>
      </c>
      <c r="C384" s="92">
        <f>SUM(B384:B384)</f>
        <v>165</v>
      </c>
      <c r="E384" s="92">
        <f>SUM(B150+E150+H150+K150)</f>
        <v>34</v>
      </c>
      <c r="F384" s="92">
        <f>SUM(E384:E384)</f>
        <v>34</v>
      </c>
      <c r="H384" s="92">
        <f>SUM(B228+E228+H228+K228)</f>
        <v>4</v>
      </c>
      <c r="I384" s="92">
        <f>SUM(H384:H384)</f>
        <v>4</v>
      </c>
      <c r="K384" s="92">
        <f>SUM(B306+E306+H306+K306)</f>
        <v>18</v>
      </c>
      <c r="L384" s="92">
        <f>SUM(K384:K384)</f>
        <v>18</v>
      </c>
      <c r="N384" s="92">
        <f>SUM(C384+F384+I384+L384)</f>
        <v>221</v>
      </c>
    </row>
    <row r="385" spans="1:14" ht="15.75" customHeight="1">
      <c r="A385" s="91">
        <v>0.72916666666666663</v>
      </c>
      <c r="B385" s="92">
        <f>SUM(B73+E73+H73+K73)</f>
        <v>171</v>
      </c>
      <c r="C385" s="92">
        <f>SUM(B385:B385)</f>
        <v>171</v>
      </c>
      <c r="E385" s="92">
        <f>SUM(B151+E151+H151+K151)</f>
        <v>26</v>
      </c>
      <c r="F385" s="92">
        <f>SUM(E385:E385)</f>
        <v>26</v>
      </c>
      <c r="H385" s="92">
        <f>SUM(B229+E229+H229+K229)</f>
        <v>4</v>
      </c>
      <c r="I385" s="92">
        <f>SUM(H385:H385)</f>
        <v>4</v>
      </c>
      <c r="K385" s="92">
        <f>SUM(B307+E307+H307+K307)</f>
        <v>29</v>
      </c>
      <c r="L385" s="92">
        <f>SUM(K385:K385)</f>
        <v>29</v>
      </c>
      <c r="N385" s="92">
        <f>SUM(C385+F385+I385+L385)</f>
        <v>230</v>
      </c>
    </row>
    <row r="386" spans="1:14" ht="15.75" customHeight="1">
      <c r="A386" s="93">
        <v>0.73958333333333337</v>
      </c>
      <c r="B386" s="94">
        <f>SUM(B74+E74+H74+K74)</f>
        <v>168</v>
      </c>
      <c r="C386" s="94">
        <f>SUM(B386:B386)</f>
        <v>168</v>
      </c>
      <c r="E386" s="94">
        <f>SUM(B152+E152+H152+K152)</f>
        <v>18</v>
      </c>
      <c r="F386" s="94">
        <f>SUM(E386:E386)</f>
        <v>18</v>
      </c>
      <c r="H386" s="94">
        <f>SUM(B230+E230+H230+K230)</f>
        <v>12</v>
      </c>
      <c r="I386" s="94">
        <f>SUM(H386:H386)</f>
        <v>12</v>
      </c>
      <c r="K386" s="94">
        <f>SUM(B308+E308+H308+K308)</f>
        <v>26</v>
      </c>
      <c r="L386" s="94">
        <f>SUM(K386:K386)</f>
        <v>26</v>
      </c>
      <c r="N386" s="94">
        <f>SUM(C386+F386+I386+L386)</f>
        <v>224</v>
      </c>
    </row>
    <row r="387" spans="1:14" ht="15.75" customHeight="1">
      <c r="A387" s="95" t="s">
        <v>29</v>
      </c>
      <c r="B387" s="95">
        <f>SUM(B383:B386)</f>
        <v>636</v>
      </c>
      <c r="C387" s="95">
        <f>SUM(C383:C386)</f>
        <v>636</v>
      </c>
      <c r="E387" s="95">
        <f>SUM(E383:E386)</f>
        <v>88</v>
      </c>
      <c r="F387" s="95">
        <f>SUM(F383:F386)</f>
        <v>88</v>
      </c>
      <c r="H387" s="95">
        <f>SUM(H383:H386)</f>
        <v>33</v>
      </c>
      <c r="I387" s="95">
        <f>SUM(I383:I386)</f>
        <v>33</v>
      </c>
      <c r="K387" s="95">
        <f>SUM(K383:K386)</f>
        <v>96</v>
      </c>
      <c r="L387" s="95">
        <f>SUM(L383:L386)</f>
        <v>96</v>
      </c>
      <c r="N387" s="95">
        <f>SUM(N383:N386)</f>
        <v>853</v>
      </c>
    </row>
    <row r="388" spans="1:14" ht="15.75" customHeight="1">
      <c r="A388" s="89">
        <v>0.75</v>
      </c>
      <c r="B388" s="90">
        <f>SUM(B76+E76+H76+K76)</f>
        <v>142</v>
      </c>
      <c r="C388" s="90">
        <f>SUM(B388:B388)</f>
        <v>142</v>
      </c>
      <c r="E388" s="90">
        <f>SUM(B154+E154+H154+K154)</f>
        <v>18</v>
      </c>
      <c r="F388" s="90">
        <f>SUM(E388:E388)</f>
        <v>18</v>
      </c>
      <c r="H388" s="90">
        <f>SUM(B232+E232+H232+K232)</f>
        <v>7</v>
      </c>
      <c r="I388" s="90">
        <f>SUM(H388:H388)</f>
        <v>7</v>
      </c>
      <c r="K388" s="90">
        <f>SUM(B310+E310+H310+K310)</f>
        <v>20</v>
      </c>
      <c r="L388" s="90">
        <f>SUM(K388:K388)</f>
        <v>20</v>
      </c>
      <c r="N388" s="90">
        <f>SUM(C388+F388+I388+L388)</f>
        <v>187</v>
      </c>
    </row>
    <row r="389" spans="1:14" ht="15.75" customHeight="1">
      <c r="A389" s="91">
        <v>0.76041666666666663</v>
      </c>
      <c r="B389" s="92">
        <f>SUM(B77+E77+H77+K77)</f>
        <v>115</v>
      </c>
      <c r="C389" s="92">
        <f>SUM(B389:B389)</f>
        <v>115</v>
      </c>
      <c r="E389" s="92">
        <f>SUM(B155+E155+H155+K155)</f>
        <v>16</v>
      </c>
      <c r="F389" s="92">
        <f>SUM(E389:E389)</f>
        <v>16</v>
      </c>
      <c r="H389" s="92">
        <f>SUM(B233+E233+H233+K233)</f>
        <v>10</v>
      </c>
      <c r="I389" s="92">
        <f>SUM(H389:H389)</f>
        <v>10</v>
      </c>
      <c r="K389" s="92">
        <f>SUM(B311+E311+H311+K311)</f>
        <v>33</v>
      </c>
      <c r="L389" s="92">
        <f>SUM(K389:K389)</f>
        <v>33</v>
      </c>
      <c r="N389" s="92">
        <f>SUM(C389+F389+I389+L389)</f>
        <v>174</v>
      </c>
    </row>
    <row r="390" spans="1:14" ht="15.75" customHeight="1">
      <c r="A390" s="91">
        <v>0.77083333333333337</v>
      </c>
      <c r="B390" s="92">
        <f>SUM(B78+E78+H78+K78)</f>
        <v>110</v>
      </c>
      <c r="C390" s="92">
        <f>SUM(B390:B390)</f>
        <v>110</v>
      </c>
      <c r="E390" s="92">
        <f>SUM(B156+E156+H156+K156)</f>
        <v>10</v>
      </c>
      <c r="F390" s="92">
        <f>SUM(E390:E390)</f>
        <v>10</v>
      </c>
      <c r="H390" s="92">
        <f>SUM(B234+E234+H234+K234)</f>
        <v>4</v>
      </c>
      <c r="I390" s="92">
        <f>SUM(H390:H390)</f>
        <v>4</v>
      </c>
      <c r="K390" s="92">
        <f>SUM(B312+E312+H312+K312)</f>
        <v>21</v>
      </c>
      <c r="L390" s="92">
        <f>SUM(K390:K390)</f>
        <v>21</v>
      </c>
      <c r="N390" s="92">
        <f>SUM(C390+F390+I390+L390)</f>
        <v>145</v>
      </c>
    </row>
    <row r="391" spans="1:14" ht="15.75" customHeight="1">
      <c r="A391" s="93">
        <v>0.78125</v>
      </c>
      <c r="B391" s="94">
        <f>SUM(B79+E79+H79+K79)</f>
        <v>75</v>
      </c>
      <c r="C391" s="94">
        <f>SUM(B391:B391)</f>
        <v>75</v>
      </c>
      <c r="E391" s="94">
        <f>SUM(B157+E157+H157+K157)</f>
        <v>4</v>
      </c>
      <c r="F391" s="94">
        <f>SUM(E391:E391)</f>
        <v>4</v>
      </c>
      <c r="H391" s="94">
        <f>SUM(B235+E235+H235+K235)</f>
        <v>6</v>
      </c>
      <c r="I391" s="94">
        <f>SUM(H391:H391)</f>
        <v>6</v>
      </c>
      <c r="K391" s="94">
        <f>SUM(B313+E313+H313+K313)</f>
        <v>38</v>
      </c>
      <c r="L391" s="94">
        <f>SUM(K391:K391)</f>
        <v>38</v>
      </c>
      <c r="N391" s="94">
        <f>SUM(C391+F391+I391+L391)</f>
        <v>123</v>
      </c>
    </row>
    <row r="392" spans="1:14" ht="15.75" customHeight="1">
      <c r="A392" s="95" t="s">
        <v>29</v>
      </c>
      <c r="B392" s="95">
        <f>SUM(B388:B391)</f>
        <v>442</v>
      </c>
      <c r="C392" s="95">
        <f>SUM(C388:C391)</f>
        <v>442</v>
      </c>
      <c r="E392" s="95">
        <f>SUM(E388:E391)</f>
        <v>48</v>
      </c>
      <c r="F392" s="95">
        <f>SUM(F388:F391)</f>
        <v>48</v>
      </c>
      <c r="H392" s="95">
        <f>SUM(H388:H391)</f>
        <v>27</v>
      </c>
      <c r="I392" s="95">
        <f>SUM(I388:I391)</f>
        <v>27</v>
      </c>
      <c r="K392" s="95">
        <f>SUM(K388:K391)</f>
        <v>112</v>
      </c>
      <c r="L392" s="95">
        <f>SUM(L388:L391)</f>
        <v>112</v>
      </c>
      <c r="N392" s="95">
        <f>SUM(N388:N391)</f>
        <v>629</v>
      </c>
    </row>
    <row r="394" spans="1:14" ht="15.75" customHeight="1">
      <c r="A394" s="95" t="s">
        <v>30</v>
      </c>
      <c r="B394" s="95">
        <f>SUM(B392+B387+B382+B377+B372+B367)</f>
        <v>1807</v>
      </c>
      <c r="C394" s="95">
        <f>SUM(C392+C387+C382+C377+C372+C367)</f>
        <v>1807</v>
      </c>
      <c r="E394" s="95">
        <f>SUM(E392+E387+E382+E377+E372+E367)</f>
        <v>214</v>
      </c>
      <c r="F394" s="95">
        <f>SUM(F392+F387+F382+F377+F372+F367)</f>
        <v>214</v>
      </c>
      <c r="H394" s="95">
        <f>SUM(H392+H387+H382+H377+H372+H367)</f>
        <v>151</v>
      </c>
      <c r="I394" s="95">
        <f>SUM(I392+I387+I382+I377+I372+I367)</f>
        <v>151</v>
      </c>
      <c r="K394" s="95">
        <f>SUM(K392+K387+K382+K377+K372+K367)</f>
        <v>534</v>
      </c>
      <c r="L394" s="95">
        <f>SUM(L392+L387+L382+L377+L372+L367)</f>
        <v>534</v>
      </c>
      <c r="N394" s="95">
        <f>SUM(N392+N387+N382+N377+N372+N367)</f>
        <v>2706</v>
      </c>
    </row>
    <row r="396" spans="1:14" ht="15.75" customHeight="1">
      <c r="A396" s="95" t="s">
        <v>24</v>
      </c>
      <c r="B396" s="95">
        <f>SUM(B356+B394)</f>
        <v>2120</v>
      </c>
      <c r="C396" s="95">
        <f>SUM(C356+C394)</f>
        <v>2120</v>
      </c>
      <c r="E396" s="95">
        <f>SUM(E356+E394)</f>
        <v>278</v>
      </c>
      <c r="F396" s="95">
        <f>SUM(F356+F394)</f>
        <v>278</v>
      </c>
      <c r="H396" s="95">
        <f>SUM(H356+H394)</f>
        <v>402</v>
      </c>
      <c r="I396" s="95">
        <f>SUM(I356+I394)</f>
        <v>402</v>
      </c>
      <c r="K396" s="95">
        <f>SUM(K356+K394)</f>
        <v>2236</v>
      </c>
      <c r="L396" s="95">
        <f>SUM(L356+L394)</f>
        <v>2236</v>
      </c>
      <c r="N396" s="95">
        <f>SUM(N356+N394)</f>
        <v>5036</v>
      </c>
    </row>
    <row r="398" spans="1:14" ht="15.75" customHeight="1">
      <c r="A398" s="72" t="s">
        <v>34</v>
      </c>
    </row>
    <row r="399" spans="1:14" ht="15.75" customHeight="1">
      <c r="A399" s="72"/>
      <c r="B399" s="79" t="s">
        <v>16</v>
      </c>
      <c r="C399" s="80"/>
      <c r="E399" s="79" t="s">
        <v>16</v>
      </c>
      <c r="F399" s="80"/>
      <c r="H399" s="79" t="s">
        <v>16</v>
      </c>
      <c r="I399" s="80"/>
      <c r="K399" s="79" t="s">
        <v>16</v>
      </c>
      <c r="L399" s="80"/>
    </row>
    <row r="400" spans="1:14" ht="15.75" customHeight="1">
      <c r="B400" s="96" t="s">
        <v>15</v>
      </c>
      <c r="C400" s="97"/>
      <c r="E400" s="96" t="s">
        <v>25</v>
      </c>
      <c r="F400" s="97"/>
      <c r="H400" s="96" t="s">
        <v>26</v>
      </c>
      <c r="I400" s="97"/>
      <c r="K400" s="96" t="s">
        <v>27</v>
      </c>
      <c r="L400" s="97"/>
      <c r="N400" s="84" t="s">
        <v>35</v>
      </c>
    </row>
    <row r="401" spans="1:14" s="85" customFormat="1" ht="15.75" customHeight="1">
      <c r="B401" s="86" t="s">
        <v>36</v>
      </c>
      <c r="C401" s="87" t="s">
        <v>24</v>
      </c>
      <c r="E401" s="86" t="str">
        <f>$B$11</f>
        <v>PEDS</v>
      </c>
      <c r="F401" s="87" t="s">
        <v>24</v>
      </c>
      <c r="H401" s="86" t="str">
        <f>$B$11</f>
        <v>PEDS</v>
      </c>
      <c r="I401" s="87" t="s">
        <v>24</v>
      </c>
      <c r="K401" s="86" t="str">
        <f>$B$11</f>
        <v>PEDS</v>
      </c>
      <c r="L401" s="87" t="s">
        <v>24</v>
      </c>
      <c r="N401" s="88"/>
    </row>
    <row r="403" spans="1:14" ht="15.75" customHeight="1">
      <c r="A403" s="89">
        <v>0.29166666666666669</v>
      </c>
      <c r="B403" s="90">
        <f>SUM(B13+B91+B169+B247)</f>
        <v>47</v>
      </c>
      <c r="C403" s="90">
        <f>SUM(B403:B403)</f>
        <v>47</v>
      </c>
      <c r="E403" s="90">
        <f>SUM(E13+E91+E169+E247)</f>
        <v>9</v>
      </c>
      <c r="F403" s="90">
        <f>SUM(E403:E403)</f>
        <v>9</v>
      </c>
      <c r="H403" s="90">
        <f>SUM(H13+H91+H169+H247)</f>
        <v>3</v>
      </c>
      <c r="I403" s="90">
        <f>SUM(H403:H403)</f>
        <v>3</v>
      </c>
      <c r="K403" s="90">
        <f>SUM(K13+K91+K169+K247)</f>
        <v>0</v>
      </c>
      <c r="L403" s="90">
        <f>SUM(K403:K403)</f>
        <v>0</v>
      </c>
      <c r="N403" s="90">
        <f>SUM(C403+F403+I403+L403)</f>
        <v>59</v>
      </c>
    </row>
    <row r="404" spans="1:14" ht="15.75" customHeight="1">
      <c r="A404" s="91">
        <v>0.30208333333333331</v>
      </c>
      <c r="B404" s="92">
        <f>SUM(B14+B92+B170+B248)</f>
        <v>53</v>
      </c>
      <c r="C404" s="92">
        <f>SUM(B404:B404)</f>
        <v>53</v>
      </c>
      <c r="E404" s="92">
        <f>SUM(E14+E92+E170+E248)</f>
        <v>8</v>
      </c>
      <c r="F404" s="92">
        <f>SUM(E404:E404)</f>
        <v>8</v>
      </c>
      <c r="H404" s="92">
        <f>SUM(H14+H92+H170+H248)</f>
        <v>12</v>
      </c>
      <c r="I404" s="92">
        <f>SUM(H404:H404)</f>
        <v>12</v>
      </c>
      <c r="K404" s="92">
        <f>SUM(K14+K92+K170+K248)</f>
        <v>0</v>
      </c>
      <c r="L404" s="92">
        <f>SUM(K404:K404)</f>
        <v>0</v>
      </c>
      <c r="N404" s="92">
        <f>SUM(C404+F404+I404+L404)</f>
        <v>73</v>
      </c>
    </row>
    <row r="405" spans="1:14" ht="15.75" customHeight="1">
      <c r="A405" s="91">
        <v>0.3125</v>
      </c>
      <c r="B405" s="92">
        <f>SUM(B15+B93+B171+B249)</f>
        <v>30</v>
      </c>
      <c r="C405" s="92">
        <f>SUM(B405:B405)</f>
        <v>30</v>
      </c>
      <c r="E405" s="92">
        <f>SUM(E15+E93+E171+E249)</f>
        <v>23</v>
      </c>
      <c r="F405" s="92">
        <f>SUM(E405:E405)</f>
        <v>23</v>
      </c>
      <c r="H405" s="92">
        <f>SUM(H15+H93+H171+H249)</f>
        <v>4</v>
      </c>
      <c r="I405" s="92">
        <f>SUM(H405:H405)</f>
        <v>4</v>
      </c>
      <c r="K405" s="92">
        <f>SUM(K15+K93+K171+K249)</f>
        <v>1</v>
      </c>
      <c r="L405" s="92">
        <f>SUM(K405:K405)</f>
        <v>1</v>
      </c>
      <c r="N405" s="92">
        <f>SUM(C405+F405+I405+L405)</f>
        <v>58</v>
      </c>
    </row>
    <row r="406" spans="1:14" ht="15.75" customHeight="1">
      <c r="A406" s="93">
        <v>0.32291666666666669</v>
      </c>
      <c r="B406" s="94">
        <f>SUM(B16+B94+B172+B250)</f>
        <v>102</v>
      </c>
      <c r="C406" s="94">
        <f>SUM(B406:B406)</f>
        <v>102</v>
      </c>
      <c r="E406" s="94">
        <f>SUM(E16+E94+E172+E250)</f>
        <v>30</v>
      </c>
      <c r="F406" s="94">
        <f>SUM(E406:E406)</f>
        <v>30</v>
      </c>
      <c r="H406" s="94">
        <f>SUM(H16+H94+H172+H250)</f>
        <v>5</v>
      </c>
      <c r="I406" s="94">
        <f>SUM(H406:H406)</f>
        <v>5</v>
      </c>
      <c r="K406" s="94">
        <f>SUM(K16+K94+K172+K250)</f>
        <v>15</v>
      </c>
      <c r="L406" s="94">
        <f>SUM(K406:K406)</f>
        <v>15</v>
      </c>
      <c r="N406" s="94">
        <f>SUM(C406+F406+I406+L406)</f>
        <v>152</v>
      </c>
    </row>
    <row r="407" spans="1:14" ht="15.75" customHeight="1">
      <c r="A407" s="95" t="s">
        <v>29</v>
      </c>
      <c r="B407" s="95">
        <f>SUM(B403:B406)</f>
        <v>232</v>
      </c>
      <c r="C407" s="95">
        <f>SUM(C403:C406)</f>
        <v>232</v>
      </c>
      <c r="E407" s="95">
        <f>SUM(E403:E406)</f>
        <v>70</v>
      </c>
      <c r="F407" s="95">
        <f>SUM(F403:F406)</f>
        <v>70</v>
      </c>
      <c r="H407" s="95">
        <f>SUM(H403:H406)</f>
        <v>24</v>
      </c>
      <c r="I407" s="95">
        <f>SUM(I403:I406)</f>
        <v>24</v>
      </c>
      <c r="K407" s="95">
        <f>SUM(K403:K406)</f>
        <v>16</v>
      </c>
      <c r="L407" s="95">
        <f>SUM(L403:L406)</f>
        <v>16</v>
      </c>
      <c r="N407" s="95">
        <f>SUM(N403:N406)</f>
        <v>342</v>
      </c>
    </row>
    <row r="408" spans="1:14" ht="15.75" customHeight="1">
      <c r="A408" s="89">
        <v>0.33333333333333331</v>
      </c>
      <c r="B408" s="90">
        <f>SUM(B18+B96+B174+B252)</f>
        <v>145</v>
      </c>
      <c r="C408" s="90">
        <f>SUM(B408:B408)</f>
        <v>145</v>
      </c>
      <c r="E408" s="90">
        <f>SUM(E18+E96+E174+E252)</f>
        <v>32</v>
      </c>
      <c r="F408" s="90">
        <f>SUM(E408:E408)</f>
        <v>32</v>
      </c>
      <c r="H408" s="90">
        <f>SUM(H18+H96+H174+H252)</f>
        <v>3</v>
      </c>
      <c r="I408" s="90">
        <f>SUM(H408:H408)</f>
        <v>3</v>
      </c>
      <c r="K408" s="90">
        <f>SUM(K18+K96+K174+K252)</f>
        <v>8</v>
      </c>
      <c r="L408" s="90">
        <f>SUM(K408:K408)</f>
        <v>8</v>
      </c>
      <c r="N408" s="90">
        <f>SUM(C408+F408+I408+L408)</f>
        <v>188</v>
      </c>
    </row>
    <row r="409" spans="1:14" ht="15.75" customHeight="1">
      <c r="A409" s="91">
        <v>0.34375</v>
      </c>
      <c r="B409" s="92">
        <f>SUM(B19+B97+B175+B253)</f>
        <v>162</v>
      </c>
      <c r="C409" s="92">
        <f>SUM(B409:B409)</f>
        <v>162</v>
      </c>
      <c r="E409" s="92">
        <f>SUM(E19+E97+E175+E253)</f>
        <v>62</v>
      </c>
      <c r="F409" s="92">
        <f>SUM(E409:E409)</f>
        <v>62</v>
      </c>
      <c r="H409" s="92">
        <f>SUM(H19+H97+H175+H253)</f>
        <v>2</v>
      </c>
      <c r="I409" s="92">
        <f>SUM(H409:H409)</f>
        <v>2</v>
      </c>
      <c r="K409" s="92">
        <f>SUM(K19+K97+K175+K253)</f>
        <v>14</v>
      </c>
      <c r="L409" s="92">
        <f>SUM(K409:K409)</f>
        <v>14</v>
      </c>
      <c r="N409" s="92">
        <f>SUM(C409+F409+I409+L409)</f>
        <v>240</v>
      </c>
    </row>
    <row r="410" spans="1:14" ht="15.75" customHeight="1">
      <c r="A410" s="91">
        <v>0.35416666666666669</v>
      </c>
      <c r="B410" s="92">
        <f>SUM(B20+B98+B176+B254)</f>
        <v>182</v>
      </c>
      <c r="C410" s="92">
        <f>SUM(B410:B410)</f>
        <v>182</v>
      </c>
      <c r="E410" s="92">
        <f>SUM(E20+E98+E176+E254)</f>
        <v>44</v>
      </c>
      <c r="F410" s="92">
        <f>SUM(E410:E410)</f>
        <v>44</v>
      </c>
      <c r="H410" s="92">
        <f>SUM(H20+H98+H176+H254)</f>
        <v>10</v>
      </c>
      <c r="I410" s="92">
        <f>SUM(H410:H410)</f>
        <v>10</v>
      </c>
      <c r="K410" s="92">
        <f>SUM(K20+K98+K176+K254)</f>
        <v>26</v>
      </c>
      <c r="L410" s="92">
        <f>SUM(K410:K410)</f>
        <v>26</v>
      </c>
      <c r="N410" s="92">
        <f>SUM(C410+F410+I410+L410)</f>
        <v>262</v>
      </c>
    </row>
    <row r="411" spans="1:14" ht="15.75" customHeight="1">
      <c r="A411" s="93">
        <v>0.36458333333333331</v>
      </c>
      <c r="B411" s="94">
        <f>SUM(B21+B99+B177+B255)</f>
        <v>209</v>
      </c>
      <c r="C411" s="94">
        <f>SUM(B411:B411)</f>
        <v>209</v>
      </c>
      <c r="E411" s="94">
        <f>SUM(E21+E99+E177+E255)</f>
        <v>38</v>
      </c>
      <c r="F411" s="94">
        <f>SUM(E411:E411)</f>
        <v>38</v>
      </c>
      <c r="H411" s="94">
        <f>SUM(H21+H99+H177+H255)</f>
        <v>1</v>
      </c>
      <c r="I411" s="94">
        <f>SUM(H411:H411)</f>
        <v>1</v>
      </c>
      <c r="K411" s="94">
        <f>SUM(K21+K99+K177+K255)</f>
        <v>10</v>
      </c>
      <c r="L411" s="94">
        <f>SUM(K411:K411)</f>
        <v>10</v>
      </c>
      <c r="N411" s="94">
        <f>SUM(C411+F411+I411+L411)</f>
        <v>258</v>
      </c>
    </row>
    <row r="412" spans="1:14" ht="15.75" customHeight="1">
      <c r="A412" s="95" t="s">
        <v>29</v>
      </c>
      <c r="B412" s="95">
        <f>SUM(B408:B411)</f>
        <v>698</v>
      </c>
      <c r="C412" s="95">
        <f>SUM(C408:C411)</f>
        <v>698</v>
      </c>
      <c r="E412" s="95">
        <f>SUM(E408:E411)</f>
        <v>176</v>
      </c>
      <c r="F412" s="95">
        <f>SUM(F408:F411)</f>
        <v>176</v>
      </c>
      <c r="H412" s="95">
        <f>SUM(H408:H411)</f>
        <v>16</v>
      </c>
      <c r="I412" s="95">
        <f>SUM(I408:I411)</f>
        <v>16</v>
      </c>
      <c r="K412" s="95">
        <f>SUM(K408:K411)</f>
        <v>58</v>
      </c>
      <c r="L412" s="95">
        <f>SUM(L408:L411)</f>
        <v>58</v>
      </c>
      <c r="N412" s="95">
        <f>SUM(N408:N411)</f>
        <v>948</v>
      </c>
    </row>
    <row r="413" spans="1:14" ht="15.75" customHeight="1">
      <c r="A413" s="89">
        <v>0.375</v>
      </c>
      <c r="B413" s="90">
        <f>SUM(B23+B101+B179+B257)</f>
        <v>116</v>
      </c>
      <c r="C413" s="90">
        <f>SUM(B413:B413)</f>
        <v>116</v>
      </c>
      <c r="E413" s="90">
        <f>SUM(E23+E101+E179+E257)</f>
        <v>18</v>
      </c>
      <c r="F413" s="90">
        <f>SUM(E413:E413)</f>
        <v>18</v>
      </c>
      <c r="H413" s="90">
        <f>SUM(H23+H101+H179+H257)</f>
        <v>4</v>
      </c>
      <c r="I413" s="90">
        <f>SUM(H413:H413)</f>
        <v>4</v>
      </c>
      <c r="K413" s="90">
        <f>SUM(K23+K101+K179+K257)</f>
        <v>11</v>
      </c>
      <c r="L413" s="90">
        <f>SUM(K413:K413)</f>
        <v>11</v>
      </c>
      <c r="N413" s="90">
        <f>SUM(C413+F413+I413+L413)</f>
        <v>149</v>
      </c>
    </row>
    <row r="414" spans="1:14" ht="15.75" customHeight="1">
      <c r="A414" s="91">
        <v>0.38541666666666669</v>
      </c>
      <c r="B414" s="92">
        <f>SUM(B24+B102+B180+B258)</f>
        <v>99</v>
      </c>
      <c r="C414" s="92">
        <f>SUM(B414:B414)</f>
        <v>99</v>
      </c>
      <c r="E414" s="92">
        <f>SUM(E24+E102+E180+E258)</f>
        <v>5</v>
      </c>
      <c r="F414" s="92">
        <f>SUM(E414:E414)</f>
        <v>5</v>
      </c>
      <c r="H414" s="92">
        <f>SUM(H24+H102+H180+H258)</f>
        <v>2</v>
      </c>
      <c r="I414" s="92">
        <f>SUM(H414:H414)</f>
        <v>2</v>
      </c>
      <c r="K414" s="92">
        <f>SUM(K24+K102+K180+K258)</f>
        <v>10</v>
      </c>
      <c r="L414" s="92">
        <f>SUM(K414:K414)</f>
        <v>10</v>
      </c>
      <c r="N414" s="92">
        <f>SUM(C414+F414+I414+L414)</f>
        <v>116</v>
      </c>
    </row>
    <row r="415" spans="1:14" ht="15.75" customHeight="1">
      <c r="A415" s="91">
        <v>0.39583333333333331</v>
      </c>
      <c r="B415" s="92">
        <f>SUM(B25+B103+B181+B259)</f>
        <v>54</v>
      </c>
      <c r="C415" s="92">
        <f>SUM(B415:B415)</f>
        <v>54</v>
      </c>
      <c r="E415" s="92">
        <f>SUM(E25+E103+E181+E259)</f>
        <v>9</v>
      </c>
      <c r="F415" s="92">
        <f>SUM(E415:E415)</f>
        <v>9</v>
      </c>
      <c r="H415" s="92">
        <f>SUM(H25+H103+H181+H259)</f>
        <v>1</v>
      </c>
      <c r="I415" s="92">
        <f>SUM(H415:H415)</f>
        <v>1</v>
      </c>
      <c r="K415" s="92">
        <f>SUM(K25+K103+K181+K259)</f>
        <v>9</v>
      </c>
      <c r="L415" s="92">
        <f>SUM(K415:K415)</f>
        <v>9</v>
      </c>
      <c r="N415" s="92">
        <f>SUM(C415+F415+I415+L415)</f>
        <v>73</v>
      </c>
    </row>
    <row r="416" spans="1:14" ht="15.75" customHeight="1">
      <c r="A416" s="93">
        <v>0.40625</v>
      </c>
      <c r="B416" s="94">
        <f>SUM(B26+B104+B182+B260)</f>
        <v>49</v>
      </c>
      <c r="C416" s="94">
        <f>SUM(B416:B416)</f>
        <v>49</v>
      </c>
      <c r="E416" s="94">
        <f>SUM(E26+E104+E182+E260)</f>
        <v>6</v>
      </c>
      <c r="F416" s="94">
        <f>SUM(E416:E416)</f>
        <v>6</v>
      </c>
      <c r="H416" s="94">
        <f>SUM(H26+H104+H182+H260)</f>
        <v>8</v>
      </c>
      <c r="I416" s="94">
        <f>SUM(H416:H416)</f>
        <v>8</v>
      </c>
      <c r="K416" s="94">
        <f>SUM(K26+K104+K182+K260)</f>
        <v>4</v>
      </c>
      <c r="L416" s="94">
        <f>SUM(K416:K416)</f>
        <v>4</v>
      </c>
      <c r="N416" s="94">
        <f>SUM(C416+F416+I416+L416)</f>
        <v>67</v>
      </c>
    </row>
    <row r="417" spans="1:14" ht="15.75" customHeight="1">
      <c r="A417" s="95" t="s">
        <v>29</v>
      </c>
      <c r="B417" s="95">
        <f>SUM(B413:B416)</f>
        <v>318</v>
      </c>
      <c r="C417" s="95">
        <f>SUM(C413:C416)</f>
        <v>318</v>
      </c>
      <c r="E417" s="95">
        <f>SUM(E413:E416)</f>
        <v>38</v>
      </c>
      <c r="F417" s="95">
        <f>SUM(F413:F416)</f>
        <v>38</v>
      </c>
      <c r="H417" s="95">
        <f>SUM(H413:H416)</f>
        <v>15</v>
      </c>
      <c r="I417" s="95">
        <f>SUM(I413:I416)</f>
        <v>15</v>
      </c>
      <c r="K417" s="95">
        <f>SUM(K413:K416)</f>
        <v>34</v>
      </c>
      <c r="L417" s="95">
        <f>SUM(L413:L416)</f>
        <v>34</v>
      </c>
      <c r="N417" s="95">
        <f>SUM(N413:N416)</f>
        <v>405</v>
      </c>
    </row>
    <row r="418" spans="1:14" ht="15.75" customHeight="1">
      <c r="A418" s="89">
        <v>0.41666666666666669</v>
      </c>
      <c r="B418" s="90">
        <f>SUM(B28+B106+B184+B262)</f>
        <v>48</v>
      </c>
      <c r="C418" s="90">
        <f>SUM(B418:B418)</f>
        <v>48</v>
      </c>
      <c r="E418" s="90">
        <f>SUM(E28+E106+E184+E262)</f>
        <v>1</v>
      </c>
      <c r="F418" s="90">
        <f>SUM(E418:E418)</f>
        <v>1</v>
      </c>
      <c r="H418" s="90">
        <f>SUM(H28+H106+H184+H262)</f>
        <v>2</v>
      </c>
      <c r="I418" s="90">
        <f>SUM(H418:H418)</f>
        <v>2</v>
      </c>
      <c r="K418" s="90">
        <f>SUM(K28+K106+K184+K262)</f>
        <v>10</v>
      </c>
      <c r="L418" s="90">
        <f>SUM(K418:K418)</f>
        <v>10</v>
      </c>
      <c r="N418" s="90">
        <f>SUM(C418+F418+I418+L418)</f>
        <v>61</v>
      </c>
    </row>
    <row r="419" spans="1:14" ht="15.75" customHeight="1">
      <c r="A419" s="91">
        <v>0.42708333333333331</v>
      </c>
      <c r="B419" s="92">
        <f>SUM(B29+B107+B185+B263)</f>
        <v>34</v>
      </c>
      <c r="C419" s="92">
        <f>SUM(B419:B419)</f>
        <v>34</v>
      </c>
      <c r="E419" s="92">
        <f>SUM(E29+E107+E185+E263)</f>
        <v>4</v>
      </c>
      <c r="F419" s="92">
        <f>SUM(E419:E419)</f>
        <v>4</v>
      </c>
      <c r="H419" s="92">
        <f>SUM(H29+H107+H185+H263)</f>
        <v>4</v>
      </c>
      <c r="I419" s="92">
        <f>SUM(H419:H419)</f>
        <v>4</v>
      </c>
      <c r="K419" s="92">
        <f>SUM(K29+K107+K185+K263)</f>
        <v>6</v>
      </c>
      <c r="L419" s="92">
        <f>SUM(K419:K419)</f>
        <v>6</v>
      </c>
      <c r="N419" s="92">
        <f>SUM(C419+F419+I419+L419)</f>
        <v>48</v>
      </c>
    </row>
    <row r="420" spans="1:14" ht="15.75" customHeight="1">
      <c r="A420" s="91">
        <v>0.4375</v>
      </c>
      <c r="B420" s="92">
        <f>SUM(B30+B108+B186+B264)</f>
        <v>31</v>
      </c>
      <c r="C420" s="92">
        <f>SUM(B420:B420)</f>
        <v>31</v>
      </c>
      <c r="E420" s="92">
        <f>SUM(E30+E108+E186+E264)</f>
        <v>7</v>
      </c>
      <c r="F420" s="92">
        <f>SUM(E420:E420)</f>
        <v>7</v>
      </c>
      <c r="H420" s="92">
        <f>SUM(H30+H108+H186+H264)</f>
        <v>7</v>
      </c>
      <c r="I420" s="92">
        <f>SUM(H420:H420)</f>
        <v>7</v>
      </c>
      <c r="K420" s="92">
        <f>SUM(K30+K108+K186+K264)</f>
        <v>7</v>
      </c>
      <c r="L420" s="92">
        <f>SUM(K420:K420)</f>
        <v>7</v>
      </c>
      <c r="N420" s="92">
        <f>SUM(C420+F420+I420+L420)</f>
        <v>52</v>
      </c>
    </row>
    <row r="421" spans="1:14" ht="15.75" customHeight="1">
      <c r="A421" s="93">
        <v>0.44791666666666669</v>
      </c>
      <c r="B421" s="94">
        <f>SUM(B31+B109+B187+B265)</f>
        <v>27</v>
      </c>
      <c r="C421" s="94">
        <f>SUM(B421:B421)</f>
        <v>27</v>
      </c>
      <c r="E421" s="94">
        <f>SUM(E31+E109+E187+E265)</f>
        <v>7</v>
      </c>
      <c r="F421" s="94">
        <f>SUM(E421:E421)</f>
        <v>7</v>
      </c>
      <c r="H421" s="94">
        <f>SUM(H31+H109+H187+H265)</f>
        <v>4</v>
      </c>
      <c r="I421" s="94">
        <f>SUM(H421:H421)</f>
        <v>4</v>
      </c>
      <c r="K421" s="94">
        <f>SUM(K31+K109+K187+K265)</f>
        <v>10</v>
      </c>
      <c r="L421" s="94">
        <f>SUM(K421:K421)</f>
        <v>10</v>
      </c>
      <c r="N421" s="94">
        <f>SUM(C421+F421+I421+L421)</f>
        <v>48</v>
      </c>
    </row>
    <row r="422" spans="1:14" ht="15.75" customHeight="1">
      <c r="A422" s="95" t="s">
        <v>29</v>
      </c>
      <c r="B422" s="95">
        <f>SUM(B418:B421)</f>
        <v>140</v>
      </c>
      <c r="C422" s="95">
        <f>SUM(C418:C421)</f>
        <v>140</v>
      </c>
      <c r="E422" s="95">
        <f>SUM(E418:E421)</f>
        <v>19</v>
      </c>
      <c r="F422" s="95">
        <f>SUM(F418:F421)</f>
        <v>19</v>
      </c>
      <c r="H422" s="95">
        <f>SUM(H418:H421)</f>
        <v>17</v>
      </c>
      <c r="I422" s="95">
        <f>SUM(I418:I421)</f>
        <v>17</v>
      </c>
      <c r="K422" s="95">
        <f>SUM(K418:K421)</f>
        <v>33</v>
      </c>
      <c r="L422" s="95">
        <f>SUM(L418:L421)</f>
        <v>33</v>
      </c>
      <c r="N422" s="95">
        <f>SUM(N418:N421)</f>
        <v>209</v>
      </c>
    </row>
    <row r="423" spans="1:14" ht="15.75" customHeight="1">
      <c r="A423" s="89">
        <v>0.45833333333333331</v>
      </c>
      <c r="B423" s="90">
        <f>SUM(B33+B111+B189+B267)</f>
        <v>19</v>
      </c>
      <c r="C423" s="90">
        <f>SUM(B423:B423)</f>
        <v>19</v>
      </c>
      <c r="E423" s="90">
        <f>SUM(E33+E111+E189+E267)</f>
        <v>3</v>
      </c>
      <c r="F423" s="90">
        <f>SUM(E423:E423)</f>
        <v>3</v>
      </c>
      <c r="H423" s="90">
        <f>SUM(H33+H111+H189+H267)</f>
        <v>4</v>
      </c>
      <c r="I423" s="90">
        <f>SUM(H423:H423)</f>
        <v>4</v>
      </c>
      <c r="K423" s="90">
        <f>SUM(K33+K111+K189+K267)</f>
        <v>9</v>
      </c>
      <c r="L423" s="90">
        <f>SUM(K423:K423)</f>
        <v>9</v>
      </c>
      <c r="N423" s="90">
        <f>SUM(C423+F423+I423+L423)</f>
        <v>35</v>
      </c>
    </row>
    <row r="424" spans="1:14" ht="15.75" customHeight="1">
      <c r="A424" s="91">
        <v>0.46875</v>
      </c>
      <c r="B424" s="92">
        <f>SUM(B34+B112+B190+B268)</f>
        <v>20</v>
      </c>
      <c r="C424" s="92">
        <f>SUM(B424:B424)</f>
        <v>20</v>
      </c>
      <c r="E424" s="92">
        <f>SUM(E34+E112+E190+E268)</f>
        <v>4</v>
      </c>
      <c r="F424" s="92">
        <f>SUM(E424:E424)</f>
        <v>4</v>
      </c>
      <c r="H424" s="92">
        <f>SUM(H34+H112+H190+H268)</f>
        <v>4</v>
      </c>
      <c r="I424" s="92">
        <f>SUM(H424:H424)</f>
        <v>4</v>
      </c>
      <c r="K424" s="92">
        <f>SUM(K34+K112+K190+K268)</f>
        <v>10</v>
      </c>
      <c r="L424" s="92">
        <f>SUM(K424:K424)</f>
        <v>10</v>
      </c>
      <c r="N424" s="92">
        <f>SUM(C424+F424+I424+L424)</f>
        <v>38</v>
      </c>
    </row>
    <row r="425" spans="1:14" ht="15.75" customHeight="1">
      <c r="A425" s="91">
        <v>0.47916666666666669</v>
      </c>
      <c r="B425" s="92">
        <f>SUM(B35+B113+B191+B269)</f>
        <v>29</v>
      </c>
      <c r="C425" s="92">
        <f>SUM(B425:B425)</f>
        <v>29</v>
      </c>
      <c r="E425" s="92">
        <f>SUM(E35+E113+E191+E269)</f>
        <v>3</v>
      </c>
      <c r="F425" s="92">
        <f>SUM(E425:E425)</f>
        <v>3</v>
      </c>
      <c r="H425" s="92">
        <f>SUM(H35+H113+H191+H269)</f>
        <v>7</v>
      </c>
      <c r="I425" s="92">
        <f>SUM(H425:H425)</f>
        <v>7</v>
      </c>
      <c r="K425" s="92">
        <f>SUM(K35+K113+K191+K269)</f>
        <v>12</v>
      </c>
      <c r="L425" s="92">
        <f>SUM(K425:K425)</f>
        <v>12</v>
      </c>
      <c r="N425" s="92">
        <f>SUM(C425+F425+I425+L425)</f>
        <v>51</v>
      </c>
    </row>
    <row r="426" spans="1:14" ht="15.75" customHeight="1">
      <c r="A426" s="93">
        <v>0.48958333333333331</v>
      </c>
      <c r="B426" s="94">
        <f>SUM(B36+B114+B192+B270)</f>
        <v>32</v>
      </c>
      <c r="C426" s="94">
        <f>SUM(B426:B426)</f>
        <v>32</v>
      </c>
      <c r="E426" s="94">
        <f>SUM(E36+E114+E192+E270)</f>
        <v>2</v>
      </c>
      <c r="F426" s="94">
        <f>SUM(E426:E426)</f>
        <v>2</v>
      </c>
      <c r="H426" s="94">
        <f>SUM(H36+H114+H192+H270)</f>
        <v>6</v>
      </c>
      <c r="I426" s="94">
        <f>SUM(H426:H426)</f>
        <v>6</v>
      </c>
      <c r="K426" s="94">
        <f>SUM(K36+K114+K192+K270)</f>
        <v>13</v>
      </c>
      <c r="L426" s="94">
        <f>SUM(K426:K426)</f>
        <v>13</v>
      </c>
      <c r="N426" s="94">
        <f>SUM(C426+F426+I426+L426)</f>
        <v>53</v>
      </c>
    </row>
    <row r="427" spans="1:14" ht="15.75" customHeight="1">
      <c r="A427" s="95" t="s">
        <v>29</v>
      </c>
      <c r="B427" s="95">
        <f>SUM(B423:B426)</f>
        <v>100</v>
      </c>
      <c r="C427" s="95">
        <f>SUM(C423:C426)</f>
        <v>100</v>
      </c>
      <c r="E427" s="95">
        <f>SUM(E423:E426)</f>
        <v>12</v>
      </c>
      <c r="F427" s="95">
        <f>SUM(F423:F426)</f>
        <v>12</v>
      </c>
      <c r="H427" s="95">
        <f>SUM(H423:H426)</f>
        <v>21</v>
      </c>
      <c r="I427" s="95">
        <f>SUM(I423:I426)</f>
        <v>21</v>
      </c>
      <c r="K427" s="95">
        <f>SUM(K423:K426)</f>
        <v>44</v>
      </c>
      <c r="L427" s="95">
        <f>SUM(L423:L426)</f>
        <v>44</v>
      </c>
      <c r="N427" s="95">
        <f>SUM(N423:N426)</f>
        <v>177</v>
      </c>
    </row>
    <row r="428" spans="1:14" ht="15.75" customHeight="1">
      <c r="A428" s="89">
        <v>0.5</v>
      </c>
      <c r="B428" s="90">
        <f>SUM(B38+B116+B194+B272)</f>
        <v>28</v>
      </c>
      <c r="C428" s="90">
        <f>SUM(B428:B428)</f>
        <v>28</v>
      </c>
      <c r="E428" s="90">
        <f>SUM(E38+E116+E194+E272)</f>
        <v>2</v>
      </c>
      <c r="F428" s="90">
        <f>SUM(E428:E428)</f>
        <v>2</v>
      </c>
      <c r="H428" s="90">
        <f>SUM(H38+H116+H194+H272)</f>
        <v>5</v>
      </c>
      <c r="I428" s="90">
        <f>SUM(H428:H428)</f>
        <v>5</v>
      </c>
      <c r="K428" s="90">
        <f>SUM(K38+K116+K194+K272)</f>
        <v>17</v>
      </c>
      <c r="L428" s="90">
        <f>SUM(K428:K428)</f>
        <v>17</v>
      </c>
      <c r="N428" s="90">
        <f>SUM(C428+F428+I428+L428)</f>
        <v>52</v>
      </c>
    </row>
    <row r="429" spans="1:14" ht="15.75" customHeight="1">
      <c r="A429" s="91">
        <v>0.51041666666666663</v>
      </c>
      <c r="B429" s="92">
        <f>SUM(B39+B117+B195+B273)</f>
        <v>23</v>
      </c>
      <c r="C429" s="92">
        <f>SUM(B429:B429)</f>
        <v>23</v>
      </c>
      <c r="E429" s="92">
        <f>SUM(E39+E117+E195+E273)</f>
        <v>7</v>
      </c>
      <c r="F429" s="92">
        <f>SUM(E429:E429)</f>
        <v>7</v>
      </c>
      <c r="H429" s="92">
        <f>SUM(H39+H117+H195+H273)</f>
        <v>12</v>
      </c>
      <c r="I429" s="92">
        <f>SUM(H429:H429)</f>
        <v>12</v>
      </c>
      <c r="K429" s="92">
        <f>SUM(K39+K117+K195+K273)</f>
        <v>20</v>
      </c>
      <c r="L429" s="92">
        <f>SUM(K429:K429)</f>
        <v>20</v>
      </c>
      <c r="N429" s="92">
        <f>SUM(C429+F429+I429+L429)</f>
        <v>62</v>
      </c>
    </row>
    <row r="430" spans="1:14" ht="15.75" customHeight="1">
      <c r="A430" s="91">
        <v>0.52083333333333337</v>
      </c>
      <c r="B430" s="92">
        <f>SUM(B40+B118+B196+B274)</f>
        <v>26</v>
      </c>
      <c r="C430" s="92">
        <f>SUM(B430:B430)</f>
        <v>26</v>
      </c>
      <c r="E430" s="92">
        <f>SUM(E40+E118+E196+E274)</f>
        <v>3</v>
      </c>
      <c r="F430" s="92">
        <f>SUM(E430:E430)</f>
        <v>3</v>
      </c>
      <c r="H430" s="92">
        <f>SUM(H40+H118+H196+H274)</f>
        <v>8</v>
      </c>
      <c r="I430" s="92">
        <f>SUM(H430:H430)</f>
        <v>8</v>
      </c>
      <c r="K430" s="92">
        <f>SUM(K40+K118+K196+K274)</f>
        <v>28</v>
      </c>
      <c r="L430" s="92">
        <f>SUM(K430:K430)</f>
        <v>28</v>
      </c>
      <c r="N430" s="92">
        <f>SUM(C430+F430+I430+L430)</f>
        <v>65</v>
      </c>
    </row>
    <row r="431" spans="1:14" ht="15.75" customHeight="1">
      <c r="A431" s="93">
        <v>0.53125</v>
      </c>
      <c r="B431" s="94">
        <f>SUM(B41+B119+B197+B275)</f>
        <v>23</v>
      </c>
      <c r="C431" s="94">
        <f>SUM(B431:B431)</f>
        <v>23</v>
      </c>
      <c r="E431" s="94">
        <f>SUM(E41+E119+E197+E275)</f>
        <v>5</v>
      </c>
      <c r="F431" s="94">
        <f>SUM(E431:E431)</f>
        <v>5</v>
      </c>
      <c r="H431" s="94">
        <f>SUM(H41+H119+H197+H275)</f>
        <v>11</v>
      </c>
      <c r="I431" s="94">
        <f>SUM(H431:H431)</f>
        <v>11</v>
      </c>
      <c r="K431" s="94">
        <f>SUM(K41+K119+K197+K275)</f>
        <v>31</v>
      </c>
      <c r="L431" s="94">
        <f>SUM(K431:K431)</f>
        <v>31</v>
      </c>
      <c r="N431" s="94">
        <f>SUM(C431+F431+I431+L431)</f>
        <v>70</v>
      </c>
    </row>
    <row r="432" spans="1:14" ht="15.75" customHeight="1">
      <c r="A432" s="95" t="s">
        <v>29</v>
      </c>
      <c r="B432" s="95">
        <f>SUM(B428:B431)</f>
        <v>100</v>
      </c>
      <c r="C432" s="95">
        <f>SUM(C428:C431)</f>
        <v>100</v>
      </c>
      <c r="E432" s="95">
        <f>SUM(E428:E431)</f>
        <v>17</v>
      </c>
      <c r="F432" s="95">
        <f>SUM(F428:F431)</f>
        <v>17</v>
      </c>
      <c r="H432" s="95">
        <f>SUM(H428:H431)</f>
        <v>36</v>
      </c>
      <c r="I432" s="95">
        <f>SUM(I428:I431)</f>
        <v>36</v>
      </c>
      <c r="K432" s="95">
        <f>SUM(K428:K431)</f>
        <v>96</v>
      </c>
      <c r="L432" s="95">
        <f>SUM(L428:L431)</f>
        <v>96</v>
      </c>
      <c r="N432" s="95">
        <f>SUM(N428:N431)</f>
        <v>249</v>
      </c>
    </row>
    <row r="434" spans="1:14" ht="15.75" customHeight="1">
      <c r="A434" s="95" t="s">
        <v>30</v>
      </c>
      <c r="B434" s="95">
        <f>SUM(B432+B427+B422+B417+B412+B407)</f>
        <v>1588</v>
      </c>
      <c r="C434" s="95">
        <f>SUM(C432+C427+C422+C417+C412+C407)</f>
        <v>1588</v>
      </c>
      <c r="E434" s="95">
        <f>SUM(E432+E427+E422+E417+E412+E407)</f>
        <v>332</v>
      </c>
      <c r="F434" s="95">
        <f>SUM(F432+F427+F422+F417+F412+F407)</f>
        <v>332</v>
      </c>
      <c r="H434" s="95">
        <f>SUM(H432+H427+H422+H417+H412+H407)</f>
        <v>129</v>
      </c>
      <c r="I434" s="95">
        <f>SUM(I432+I427+I422+I417+I412+I407)</f>
        <v>129</v>
      </c>
      <c r="K434" s="95">
        <f>SUM(K432+K427+K422+K417+K412+K407)</f>
        <v>281</v>
      </c>
      <c r="L434" s="95">
        <f>SUM(L432+L427+L422+L417+L412+L407)</f>
        <v>281</v>
      </c>
      <c r="N434" s="95">
        <f>SUM(N432+N427+N422+N417+N412+N407)</f>
        <v>2330</v>
      </c>
    </row>
    <row r="436" spans="1:14" ht="15.75" customHeight="1">
      <c r="A436" s="72" t="s">
        <v>34</v>
      </c>
    </row>
    <row r="437" spans="1:14" ht="15.75" customHeight="1">
      <c r="A437" s="72"/>
      <c r="B437" s="79" t="s">
        <v>16</v>
      </c>
      <c r="C437" s="80"/>
      <c r="E437" s="79" t="s">
        <v>16</v>
      </c>
      <c r="F437" s="80"/>
      <c r="H437" s="79" t="s">
        <v>16</v>
      </c>
      <c r="I437" s="80"/>
      <c r="K437" s="79" t="s">
        <v>16</v>
      </c>
      <c r="L437" s="80"/>
    </row>
    <row r="438" spans="1:14" ht="15.75" customHeight="1">
      <c r="B438" s="96" t="s">
        <v>15</v>
      </c>
      <c r="C438" s="97"/>
      <c r="E438" s="96" t="s">
        <v>25</v>
      </c>
      <c r="F438" s="97"/>
      <c r="H438" s="96" t="s">
        <v>26</v>
      </c>
      <c r="I438" s="97"/>
      <c r="K438" s="96" t="s">
        <v>27</v>
      </c>
      <c r="L438" s="97"/>
      <c r="N438" s="84" t="s">
        <v>35</v>
      </c>
    </row>
    <row r="439" spans="1:14" s="85" customFormat="1" ht="15.75" customHeight="1">
      <c r="B439" s="86" t="s">
        <v>36</v>
      </c>
      <c r="C439" s="87" t="s">
        <v>24</v>
      </c>
      <c r="E439" s="86" t="str">
        <f>$B$11</f>
        <v>PEDS</v>
      </c>
      <c r="F439" s="87" t="s">
        <v>24</v>
      </c>
      <c r="H439" s="86" t="str">
        <f>$B$11</f>
        <v>PEDS</v>
      </c>
      <c r="I439" s="87" t="s">
        <v>24</v>
      </c>
      <c r="K439" s="86" t="str">
        <f>$B$11</f>
        <v>PEDS</v>
      </c>
      <c r="L439" s="87" t="s">
        <v>24</v>
      </c>
      <c r="N439" s="88"/>
    </row>
    <row r="441" spans="1:14" ht="15.75" customHeight="1">
      <c r="A441" s="89">
        <v>0.54166666666666663</v>
      </c>
      <c r="B441" s="90">
        <f>SUM(B51+B129+B207+B285)</f>
        <v>29</v>
      </c>
      <c r="C441" s="90">
        <f>SUM(B441:B441)</f>
        <v>29</v>
      </c>
      <c r="E441" s="90">
        <f>SUM(E51+E129+E207+E285)</f>
        <v>4</v>
      </c>
      <c r="F441" s="90">
        <f>SUM(E441:E441)</f>
        <v>4</v>
      </c>
      <c r="H441" s="90">
        <f>SUM(H51+H129+H207+H285)</f>
        <v>11</v>
      </c>
      <c r="I441" s="90">
        <f>SUM(H441:H441)</f>
        <v>11</v>
      </c>
      <c r="K441" s="90">
        <f>SUM(K51+K129+K207+K285)</f>
        <v>21</v>
      </c>
      <c r="L441" s="90">
        <f>SUM(K441:K441)</f>
        <v>21</v>
      </c>
      <c r="N441" s="90">
        <f>SUM(C441+F441+I441+L441)</f>
        <v>65</v>
      </c>
    </row>
    <row r="442" spans="1:14" ht="15.75" customHeight="1">
      <c r="A442" s="91">
        <v>0.55208333333333337</v>
      </c>
      <c r="B442" s="92">
        <f>SUM(B52+B130+B208+B286)</f>
        <v>31</v>
      </c>
      <c r="C442" s="92">
        <f>SUM(B442:B442)</f>
        <v>31</v>
      </c>
      <c r="E442" s="92">
        <f>SUM(E52+E130+E208+E286)</f>
        <v>4</v>
      </c>
      <c r="F442" s="92">
        <f>SUM(E442:E442)</f>
        <v>4</v>
      </c>
      <c r="H442" s="92">
        <f>SUM(H52+H130+H208+H286)</f>
        <v>5</v>
      </c>
      <c r="I442" s="92">
        <f>SUM(H442:H442)</f>
        <v>5</v>
      </c>
      <c r="K442" s="92">
        <f>SUM(K52+K130+K208+K286)</f>
        <v>17</v>
      </c>
      <c r="L442" s="92">
        <f>SUM(K442:K442)</f>
        <v>17</v>
      </c>
      <c r="N442" s="92">
        <f>SUM(C442+F442+I442+L442)</f>
        <v>57</v>
      </c>
    </row>
    <row r="443" spans="1:14" ht="15.75" customHeight="1">
      <c r="A443" s="91">
        <v>0.5625</v>
      </c>
      <c r="B443" s="92">
        <f>SUM(B53+B131+B209+B287)</f>
        <v>20</v>
      </c>
      <c r="C443" s="92">
        <f>SUM(B443:B443)</f>
        <v>20</v>
      </c>
      <c r="E443" s="92">
        <f>SUM(E53+E131+E209+E287)</f>
        <v>1</v>
      </c>
      <c r="F443" s="92">
        <f>SUM(E443:E443)</f>
        <v>1</v>
      </c>
      <c r="H443" s="92">
        <f>SUM(H53+H131+H209+H287)</f>
        <v>6</v>
      </c>
      <c r="I443" s="92">
        <f>SUM(H443:H443)</f>
        <v>6</v>
      </c>
      <c r="K443" s="92">
        <f>SUM(K53+K131+K209+K287)</f>
        <v>24</v>
      </c>
      <c r="L443" s="92">
        <f>SUM(K443:K443)</f>
        <v>24</v>
      </c>
      <c r="N443" s="92">
        <f>SUM(C443+F443+I443+L443)</f>
        <v>51</v>
      </c>
    </row>
    <row r="444" spans="1:14" ht="15.75" customHeight="1">
      <c r="A444" s="93">
        <v>0.57291666666666663</v>
      </c>
      <c r="B444" s="94">
        <f>SUM(B54+B132+B210+B288)</f>
        <v>21</v>
      </c>
      <c r="C444" s="94">
        <f>SUM(B444:B444)</f>
        <v>21</v>
      </c>
      <c r="E444" s="94">
        <f>SUM(E54+E132+E210+E288)</f>
        <v>2</v>
      </c>
      <c r="F444" s="94">
        <f>SUM(E444:E444)</f>
        <v>2</v>
      </c>
      <c r="H444" s="94">
        <f>SUM(H54+H132+H210+H288)</f>
        <v>3</v>
      </c>
      <c r="I444" s="94">
        <f>SUM(H444:H444)</f>
        <v>3</v>
      </c>
      <c r="K444" s="94">
        <f>SUM(K54+K132+K210+K288)</f>
        <v>22</v>
      </c>
      <c r="L444" s="94">
        <f>SUM(K444:K444)</f>
        <v>22</v>
      </c>
      <c r="N444" s="94">
        <f>SUM(C444+F444+I444+L444)</f>
        <v>48</v>
      </c>
    </row>
    <row r="445" spans="1:14" ht="15.75" customHeight="1">
      <c r="A445" s="95" t="s">
        <v>29</v>
      </c>
      <c r="B445" s="95">
        <f>SUM(B441:B444)</f>
        <v>101</v>
      </c>
      <c r="C445" s="95">
        <f>SUM(C441:C444)</f>
        <v>101</v>
      </c>
      <c r="E445" s="95">
        <f>SUM(E441:E444)</f>
        <v>11</v>
      </c>
      <c r="F445" s="95">
        <f>SUM(F441:F444)</f>
        <v>11</v>
      </c>
      <c r="H445" s="95">
        <f>SUM(H441:H444)</f>
        <v>25</v>
      </c>
      <c r="I445" s="95">
        <f>SUM(I441:I444)</f>
        <v>25</v>
      </c>
      <c r="K445" s="95">
        <f>SUM(K441:K444)</f>
        <v>84</v>
      </c>
      <c r="L445" s="95">
        <f>SUM(L441:L444)</f>
        <v>84</v>
      </c>
      <c r="N445" s="95">
        <f>SUM(N441:N444)</f>
        <v>221</v>
      </c>
    </row>
    <row r="446" spans="1:14" ht="15.75" customHeight="1">
      <c r="A446" s="89">
        <v>0.58333333333333337</v>
      </c>
      <c r="B446" s="90">
        <f>SUM(B56+B134+B212+B290)</f>
        <v>19</v>
      </c>
      <c r="C446" s="90">
        <f>SUM(B446:B446)</f>
        <v>19</v>
      </c>
      <c r="E446" s="90">
        <f>SUM(E56+E134+E212+E290)</f>
        <v>1</v>
      </c>
      <c r="F446" s="90">
        <f>SUM(E446:E446)</f>
        <v>1</v>
      </c>
      <c r="H446" s="90">
        <f>SUM(H56+H134+H212+H290)</f>
        <v>8</v>
      </c>
      <c r="I446" s="90">
        <f>SUM(H446:H446)</f>
        <v>8</v>
      </c>
      <c r="K446" s="90">
        <f>SUM(K56+K134+K212+K290)</f>
        <v>23</v>
      </c>
      <c r="L446" s="90">
        <f>SUM(K446:K446)</f>
        <v>23</v>
      </c>
      <c r="N446" s="90">
        <f>SUM(C446+F446+I446+L446)</f>
        <v>51</v>
      </c>
    </row>
    <row r="447" spans="1:14" ht="15.75" customHeight="1">
      <c r="A447" s="91">
        <v>0.59375</v>
      </c>
      <c r="B447" s="92">
        <f>SUM(B57+B135+B213+B291)</f>
        <v>16</v>
      </c>
      <c r="C447" s="92">
        <f>SUM(B447:B447)</f>
        <v>16</v>
      </c>
      <c r="E447" s="92">
        <f>SUM(E57+E135+E213+E291)</f>
        <v>1</v>
      </c>
      <c r="F447" s="92">
        <f>SUM(E447:E447)</f>
        <v>1</v>
      </c>
      <c r="H447" s="92">
        <f>SUM(H57+H135+H213+H291)</f>
        <v>17</v>
      </c>
      <c r="I447" s="92">
        <f>SUM(H447:H447)</f>
        <v>17</v>
      </c>
      <c r="K447" s="92">
        <f>SUM(K57+K135+K213+K291)</f>
        <v>23</v>
      </c>
      <c r="L447" s="92">
        <f>SUM(K447:K447)</f>
        <v>23</v>
      </c>
      <c r="N447" s="92">
        <f>SUM(C447+F447+I447+L447)</f>
        <v>57</v>
      </c>
    </row>
    <row r="448" spans="1:14" ht="15.75" customHeight="1">
      <c r="A448" s="91">
        <v>0.60416666666666663</v>
      </c>
      <c r="B448" s="92">
        <f>SUM(B58+B136+B214+B292)</f>
        <v>12</v>
      </c>
      <c r="C448" s="92">
        <f>SUM(B448:B448)</f>
        <v>12</v>
      </c>
      <c r="E448" s="92">
        <f>SUM(E58+E136+E214+E292)</f>
        <v>2</v>
      </c>
      <c r="F448" s="92">
        <f>SUM(E448:E448)</f>
        <v>2</v>
      </c>
      <c r="H448" s="92">
        <f>SUM(H58+H136+H214+H292)</f>
        <v>3</v>
      </c>
      <c r="I448" s="92">
        <f>SUM(H448:H448)</f>
        <v>3</v>
      </c>
      <c r="K448" s="92">
        <f>SUM(K58+K136+K214+K292)</f>
        <v>19</v>
      </c>
      <c r="L448" s="92">
        <f>SUM(K448:K448)</f>
        <v>19</v>
      </c>
      <c r="N448" s="92">
        <f>SUM(C448+F448+I448+L448)</f>
        <v>36</v>
      </c>
    </row>
    <row r="449" spans="1:14" ht="15.75" customHeight="1">
      <c r="A449" s="93">
        <v>0.61458333333333337</v>
      </c>
      <c r="B449" s="94">
        <f>SUM(B59+B137+B215+B293)</f>
        <v>13</v>
      </c>
      <c r="C449" s="94">
        <f>SUM(B449:B449)</f>
        <v>13</v>
      </c>
      <c r="E449" s="94">
        <f>SUM(E59+E137+E215+E293)</f>
        <v>3</v>
      </c>
      <c r="F449" s="94">
        <f>SUM(E449:E449)</f>
        <v>3</v>
      </c>
      <c r="H449" s="94">
        <f>SUM(H59+H137+H215+H293)</f>
        <v>6</v>
      </c>
      <c r="I449" s="94">
        <f>SUM(H449:H449)</f>
        <v>6</v>
      </c>
      <c r="K449" s="94">
        <f>SUM(K59+K137+K215+K293)</f>
        <v>26</v>
      </c>
      <c r="L449" s="94">
        <f>SUM(K449:K449)</f>
        <v>26</v>
      </c>
      <c r="N449" s="94">
        <f>SUM(C449+F449+I449+L449)</f>
        <v>48</v>
      </c>
    </row>
    <row r="450" spans="1:14" ht="15.75" customHeight="1">
      <c r="A450" s="95" t="s">
        <v>29</v>
      </c>
      <c r="B450" s="95">
        <f>SUM(B446:B449)</f>
        <v>60</v>
      </c>
      <c r="C450" s="95">
        <f>SUM(C446:C449)</f>
        <v>60</v>
      </c>
      <c r="E450" s="95">
        <f>SUM(E446:E449)</f>
        <v>7</v>
      </c>
      <c r="F450" s="95">
        <f>SUM(F446:F449)</f>
        <v>7</v>
      </c>
      <c r="H450" s="95">
        <f>SUM(H446:H449)</f>
        <v>34</v>
      </c>
      <c r="I450" s="95">
        <f>SUM(I446:I449)</f>
        <v>34</v>
      </c>
      <c r="K450" s="95">
        <f>SUM(K446:K449)</f>
        <v>91</v>
      </c>
      <c r="L450" s="95">
        <f>SUM(L446:L449)</f>
        <v>91</v>
      </c>
      <c r="N450" s="95">
        <f>SUM(N446:N449)</f>
        <v>192</v>
      </c>
    </row>
    <row r="451" spans="1:14" ht="15.75" customHeight="1">
      <c r="A451" s="89">
        <v>0.625</v>
      </c>
      <c r="B451" s="90">
        <f>SUM(B61+B139+B217+B295)</f>
        <v>21</v>
      </c>
      <c r="C451" s="90">
        <f>SUM(B451:B451)</f>
        <v>21</v>
      </c>
      <c r="E451" s="90">
        <f>SUM(E61+E139+E217+E295)</f>
        <v>3</v>
      </c>
      <c r="F451" s="90">
        <f>SUM(E451:E451)</f>
        <v>3</v>
      </c>
      <c r="H451" s="90">
        <f>SUM(H61+H139+H217+H295)</f>
        <v>17</v>
      </c>
      <c r="I451" s="90">
        <f>SUM(H451:H451)</f>
        <v>17</v>
      </c>
      <c r="K451" s="90">
        <f>SUM(K61+K139+K217+K295)</f>
        <v>30</v>
      </c>
      <c r="L451" s="90">
        <f>SUM(K451:K451)</f>
        <v>30</v>
      </c>
      <c r="N451" s="90">
        <f>SUM(C451+F451+I451+L451)</f>
        <v>71</v>
      </c>
    </row>
    <row r="452" spans="1:14" ht="15.75" customHeight="1">
      <c r="A452" s="91">
        <v>0.63541666666666663</v>
      </c>
      <c r="B452" s="92">
        <f>SUM(B62+B140+B218+B296)</f>
        <v>15</v>
      </c>
      <c r="C452" s="92">
        <f>SUM(B452:B452)</f>
        <v>15</v>
      </c>
      <c r="E452" s="92">
        <f>SUM(E62+E140+E218+E296)</f>
        <v>3</v>
      </c>
      <c r="F452" s="92">
        <f>SUM(E452:E452)</f>
        <v>3</v>
      </c>
      <c r="H452" s="92">
        <f>SUM(H62+H140+H218+H296)</f>
        <v>10</v>
      </c>
      <c r="I452" s="92">
        <f>SUM(H452:H452)</f>
        <v>10</v>
      </c>
      <c r="K452" s="92">
        <f>SUM(K62+K140+K218+K296)</f>
        <v>47</v>
      </c>
      <c r="L452" s="92">
        <f>SUM(K452:K452)</f>
        <v>47</v>
      </c>
      <c r="N452" s="92">
        <f>SUM(C452+F452+I452+L452)</f>
        <v>75</v>
      </c>
    </row>
    <row r="453" spans="1:14" ht="15.75" customHeight="1">
      <c r="A453" s="91">
        <v>0.64583333333333337</v>
      </c>
      <c r="B453" s="92">
        <f>SUM(B63+B141+B219+B297)</f>
        <v>26</v>
      </c>
      <c r="C453" s="92">
        <f>SUM(B453:B453)</f>
        <v>26</v>
      </c>
      <c r="E453" s="92">
        <f>SUM(E63+E141+E219+E297)</f>
        <v>2</v>
      </c>
      <c r="F453" s="92">
        <f>SUM(E453:E453)</f>
        <v>2</v>
      </c>
      <c r="H453" s="92">
        <f>SUM(H63+H141+H219+H297)</f>
        <v>16</v>
      </c>
      <c r="I453" s="92">
        <f>SUM(H453:H453)</f>
        <v>16</v>
      </c>
      <c r="K453" s="92">
        <f>SUM(K63+K141+K219+K297)</f>
        <v>42</v>
      </c>
      <c r="L453" s="92">
        <f>SUM(K453:K453)</f>
        <v>42</v>
      </c>
      <c r="N453" s="92">
        <f>SUM(C453+F453+I453+L453)</f>
        <v>86</v>
      </c>
    </row>
    <row r="454" spans="1:14" ht="15.75" customHeight="1">
      <c r="A454" s="93">
        <v>0.65625</v>
      </c>
      <c r="B454" s="94">
        <f>SUM(B64+B142+B220+B298)</f>
        <v>25</v>
      </c>
      <c r="C454" s="94">
        <f>SUM(B454:B454)</f>
        <v>25</v>
      </c>
      <c r="E454" s="94">
        <f>SUM(E64+E142+E220+E298)</f>
        <v>7</v>
      </c>
      <c r="F454" s="94">
        <f>SUM(E454:E454)</f>
        <v>7</v>
      </c>
      <c r="H454" s="94">
        <f>SUM(H64+H142+H220+H298)</f>
        <v>7</v>
      </c>
      <c r="I454" s="94">
        <f>SUM(H454:H454)</f>
        <v>7</v>
      </c>
      <c r="K454" s="94">
        <f>SUM(K64+K142+K220+K298)</f>
        <v>50</v>
      </c>
      <c r="L454" s="94">
        <f>SUM(K454:K454)</f>
        <v>50</v>
      </c>
      <c r="N454" s="94">
        <f>SUM(C454+F454+I454+L454)</f>
        <v>89</v>
      </c>
    </row>
    <row r="455" spans="1:14" ht="15.75" customHeight="1">
      <c r="A455" s="95" t="s">
        <v>29</v>
      </c>
      <c r="B455" s="95">
        <f>SUM(B451:B454)</f>
        <v>87</v>
      </c>
      <c r="C455" s="95">
        <f>SUM(C451:C454)</f>
        <v>87</v>
      </c>
      <c r="E455" s="95">
        <f>SUM(E451:E454)</f>
        <v>15</v>
      </c>
      <c r="F455" s="95">
        <f>SUM(F451:F454)</f>
        <v>15</v>
      </c>
      <c r="H455" s="95">
        <f>SUM(H451:H454)</f>
        <v>50</v>
      </c>
      <c r="I455" s="95">
        <f>SUM(I451:I454)</f>
        <v>50</v>
      </c>
      <c r="K455" s="95">
        <f>SUM(K451:K454)</f>
        <v>169</v>
      </c>
      <c r="L455" s="95">
        <f>SUM(L451:L454)</f>
        <v>169</v>
      </c>
      <c r="N455" s="95">
        <f>SUM(N451:N454)</f>
        <v>321</v>
      </c>
    </row>
    <row r="456" spans="1:14" ht="15.75" customHeight="1">
      <c r="A456" s="89">
        <v>0.66666666666666663</v>
      </c>
      <c r="B456" s="90">
        <f>SUM(B66+B144+B222+B300)</f>
        <v>21</v>
      </c>
      <c r="C456" s="90">
        <f>SUM(B456:B456)</f>
        <v>21</v>
      </c>
      <c r="E456" s="90">
        <f>SUM(E66+E144+E222+E300)</f>
        <v>4</v>
      </c>
      <c r="F456" s="90">
        <f>SUM(E456:E456)</f>
        <v>4</v>
      </c>
      <c r="H456" s="90">
        <f>SUM(H66+H144+H222+H300)</f>
        <v>11</v>
      </c>
      <c r="I456" s="90">
        <f>SUM(H456:H456)</f>
        <v>11</v>
      </c>
      <c r="K456" s="90">
        <f>SUM(K66+K144+K222+K300)</f>
        <v>52</v>
      </c>
      <c r="L456" s="90">
        <f>SUM(K456:K456)</f>
        <v>52</v>
      </c>
      <c r="N456" s="90">
        <f>SUM(C456+F456+I456+L456)</f>
        <v>88</v>
      </c>
    </row>
    <row r="457" spans="1:14" ht="15.75" customHeight="1">
      <c r="A457" s="91">
        <v>0.67708333333333337</v>
      </c>
      <c r="B457" s="92">
        <f>SUM(B67+B145+B223+B301)</f>
        <v>21</v>
      </c>
      <c r="C457" s="92">
        <f>SUM(B457:B457)</f>
        <v>21</v>
      </c>
      <c r="E457" s="92">
        <f>SUM(E67+E145+E223+E301)</f>
        <v>6</v>
      </c>
      <c r="F457" s="92">
        <f>SUM(E457:E457)</f>
        <v>6</v>
      </c>
      <c r="H457" s="92">
        <f>SUM(H67+H145+H223+H301)</f>
        <v>13</v>
      </c>
      <c r="I457" s="92">
        <f>SUM(H457:H457)</f>
        <v>13</v>
      </c>
      <c r="K457" s="92">
        <f>SUM(K67+K145+K223+K301)</f>
        <v>83</v>
      </c>
      <c r="L457" s="92">
        <f>SUM(K457:K457)</f>
        <v>83</v>
      </c>
      <c r="N457" s="92">
        <f>SUM(C457+F457+I457+L457)</f>
        <v>123</v>
      </c>
    </row>
    <row r="458" spans="1:14" ht="15.75" customHeight="1">
      <c r="A458" s="91">
        <v>0.6875</v>
      </c>
      <c r="B458" s="92">
        <f>SUM(B68+B146+B224+B302)</f>
        <v>22</v>
      </c>
      <c r="C458" s="92">
        <f>SUM(B458:B458)</f>
        <v>22</v>
      </c>
      <c r="E458" s="92">
        <f>SUM(E68+E146+E224+E302)</f>
        <v>4</v>
      </c>
      <c r="F458" s="92">
        <f>SUM(E458:E458)</f>
        <v>4</v>
      </c>
      <c r="H458" s="92">
        <f>SUM(H68+H146+H224+H302)</f>
        <v>27</v>
      </c>
      <c r="I458" s="92">
        <f>SUM(H458:H458)</f>
        <v>27</v>
      </c>
      <c r="K458" s="92">
        <f>SUM(K68+K146+K224+K302)</f>
        <v>88</v>
      </c>
      <c r="L458" s="92">
        <f>SUM(K458:K458)</f>
        <v>88</v>
      </c>
      <c r="N458" s="92">
        <f>SUM(C458+F458+I458+L458)</f>
        <v>141</v>
      </c>
    </row>
    <row r="459" spans="1:14" ht="15.75" customHeight="1">
      <c r="A459" s="93">
        <v>0.69791666666666663</v>
      </c>
      <c r="B459" s="94">
        <f>SUM(B69+B147+B225+B303)</f>
        <v>22</v>
      </c>
      <c r="C459" s="94">
        <f>SUM(B459:B459)</f>
        <v>22</v>
      </c>
      <c r="E459" s="94">
        <f>SUM(E69+E147+E225+E303)</f>
        <v>3</v>
      </c>
      <c r="F459" s="94">
        <f>SUM(E459:E459)</f>
        <v>3</v>
      </c>
      <c r="H459" s="94">
        <f>SUM(H69+H147+H225+H303)</f>
        <v>16</v>
      </c>
      <c r="I459" s="94">
        <f>SUM(H459:H459)</f>
        <v>16</v>
      </c>
      <c r="K459" s="94">
        <f>SUM(K69+K147+K225+K303)</f>
        <v>97</v>
      </c>
      <c r="L459" s="94">
        <f>SUM(K459:K459)</f>
        <v>97</v>
      </c>
      <c r="N459" s="94">
        <f>SUM(C459+F459+I459+L459)</f>
        <v>138</v>
      </c>
    </row>
    <row r="460" spans="1:14" ht="15.75" customHeight="1">
      <c r="A460" s="95" t="s">
        <v>29</v>
      </c>
      <c r="B460" s="95">
        <f>SUM(B456:B459)</f>
        <v>86</v>
      </c>
      <c r="C460" s="95">
        <f>SUM(C456:C459)</f>
        <v>86</v>
      </c>
      <c r="E460" s="95">
        <f>SUM(E456:E459)</f>
        <v>17</v>
      </c>
      <c r="F460" s="95">
        <f>SUM(F456:F459)</f>
        <v>17</v>
      </c>
      <c r="H460" s="95">
        <f>SUM(H456:H459)</f>
        <v>67</v>
      </c>
      <c r="I460" s="95">
        <f>SUM(I456:I459)</f>
        <v>67</v>
      </c>
      <c r="K460" s="95">
        <f>SUM(K456:K459)</f>
        <v>320</v>
      </c>
      <c r="L460" s="95">
        <f>SUM(L456:L459)</f>
        <v>320</v>
      </c>
      <c r="N460" s="95">
        <f>SUM(N456:N459)</f>
        <v>490</v>
      </c>
    </row>
    <row r="461" spans="1:14" ht="15.75" customHeight="1">
      <c r="A461" s="89">
        <v>0.70833333333333337</v>
      </c>
      <c r="B461" s="90">
        <f>SUM(B71+B149+B227+B305)</f>
        <v>30</v>
      </c>
      <c r="C461" s="90">
        <f>SUM(B461:B461)</f>
        <v>30</v>
      </c>
      <c r="E461" s="90">
        <f>SUM(E71+E149+E227+E305)</f>
        <v>3</v>
      </c>
      <c r="F461" s="90">
        <f>SUM(E461:E461)</f>
        <v>3</v>
      </c>
      <c r="H461" s="90">
        <f>SUM(H71+H149+H227+H305)</f>
        <v>21</v>
      </c>
      <c r="I461" s="90">
        <f>SUM(H461:H461)</f>
        <v>21</v>
      </c>
      <c r="K461" s="90">
        <f>SUM(K71+K149+K227+K305)</f>
        <v>124</v>
      </c>
      <c r="L461" s="90">
        <f>SUM(K461:K461)</f>
        <v>124</v>
      </c>
      <c r="N461" s="90">
        <f>SUM(C461+F461+I461+L461)</f>
        <v>178</v>
      </c>
    </row>
    <row r="462" spans="1:14" ht="15.75" customHeight="1">
      <c r="A462" s="91">
        <v>0.71875</v>
      </c>
      <c r="B462" s="92">
        <f>SUM(B72+B150+B228+B306)</f>
        <v>14</v>
      </c>
      <c r="C462" s="92">
        <f>SUM(B462:B462)</f>
        <v>14</v>
      </c>
      <c r="E462" s="92">
        <f>SUM(E72+E150+E228+E306)</f>
        <v>4</v>
      </c>
      <c r="F462" s="92">
        <f>SUM(E462:E462)</f>
        <v>4</v>
      </c>
      <c r="H462" s="92">
        <f>SUM(H72+H150+H228+H306)</f>
        <v>26</v>
      </c>
      <c r="I462" s="92">
        <f>SUM(H462:H462)</f>
        <v>26</v>
      </c>
      <c r="K462" s="92">
        <f>SUM(K72+K150+K228+K306)</f>
        <v>177</v>
      </c>
      <c r="L462" s="92">
        <f>SUM(K462:K462)</f>
        <v>177</v>
      </c>
      <c r="N462" s="92">
        <f>SUM(C462+F462+I462+L462)</f>
        <v>221</v>
      </c>
    </row>
    <row r="463" spans="1:14" ht="15.75" customHeight="1">
      <c r="A463" s="91">
        <v>0.72916666666666663</v>
      </c>
      <c r="B463" s="92">
        <f>SUM(B73+B151+B229+B307)</f>
        <v>26</v>
      </c>
      <c r="C463" s="92">
        <f>SUM(B463:B463)</f>
        <v>26</v>
      </c>
      <c r="E463" s="92">
        <f>SUM(E73+E151+E229+E307)</f>
        <v>5</v>
      </c>
      <c r="F463" s="92">
        <f>SUM(E463:E463)</f>
        <v>5</v>
      </c>
      <c r="H463" s="92">
        <f>SUM(H73+H151+H229+H307)</f>
        <v>38</v>
      </c>
      <c r="I463" s="92">
        <f>SUM(H463:H463)</f>
        <v>38</v>
      </c>
      <c r="K463" s="92">
        <f>SUM(K73+K151+K229+K307)</f>
        <v>161</v>
      </c>
      <c r="L463" s="92">
        <f>SUM(K463:K463)</f>
        <v>161</v>
      </c>
      <c r="N463" s="92">
        <f>SUM(C463+F463+I463+L463)</f>
        <v>230</v>
      </c>
    </row>
    <row r="464" spans="1:14" ht="15.75" customHeight="1">
      <c r="A464" s="93">
        <v>0.73958333333333337</v>
      </c>
      <c r="B464" s="94">
        <f>SUM(B74+B152+B230+B308)</f>
        <v>33</v>
      </c>
      <c r="C464" s="94">
        <f>SUM(B464:B464)</f>
        <v>33</v>
      </c>
      <c r="E464" s="94">
        <f>SUM(E74+E152+E230+E308)</f>
        <v>3</v>
      </c>
      <c r="F464" s="94">
        <f>SUM(E464:E464)</f>
        <v>3</v>
      </c>
      <c r="H464" s="94">
        <f>SUM(H74+H152+H230+H308)</f>
        <v>27</v>
      </c>
      <c r="I464" s="94">
        <f>SUM(H464:H464)</f>
        <v>27</v>
      </c>
      <c r="K464" s="94">
        <f>SUM(K74+K152+K230+K308)</f>
        <v>161</v>
      </c>
      <c r="L464" s="94">
        <f>SUM(K464:K464)</f>
        <v>161</v>
      </c>
      <c r="N464" s="94">
        <f>SUM(C464+F464+I464+L464)</f>
        <v>224</v>
      </c>
    </row>
    <row r="465" spans="1:14" ht="15.75" customHeight="1">
      <c r="A465" s="95" t="s">
        <v>29</v>
      </c>
      <c r="B465" s="95">
        <f>SUM(B461:B464)</f>
        <v>103</v>
      </c>
      <c r="C465" s="95">
        <f>SUM(C461:C464)</f>
        <v>103</v>
      </c>
      <c r="E465" s="95">
        <f>SUM(E461:E464)</f>
        <v>15</v>
      </c>
      <c r="F465" s="95">
        <f>SUM(F461:F464)</f>
        <v>15</v>
      </c>
      <c r="H465" s="95">
        <f>SUM(H461:H464)</f>
        <v>112</v>
      </c>
      <c r="I465" s="95">
        <f>SUM(I461:I464)</f>
        <v>112</v>
      </c>
      <c r="K465" s="95">
        <f>SUM(K461:K464)</f>
        <v>623</v>
      </c>
      <c r="L465" s="95">
        <f>SUM(L461:L464)</f>
        <v>623</v>
      </c>
      <c r="N465" s="95">
        <f>SUM(N461:N464)</f>
        <v>853</v>
      </c>
    </row>
    <row r="466" spans="1:14" ht="15.75" customHeight="1">
      <c r="A466" s="89">
        <v>0.75</v>
      </c>
      <c r="B466" s="90">
        <f>SUM(B76+B154+B232+B310)</f>
        <v>24</v>
      </c>
      <c r="C466" s="90">
        <f>SUM(B466:B466)</f>
        <v>24</v>
      </c>
      <c r="E466" s="90">
        <f>SUM(E76+E154+E232+E310)</f>
        <v>2</v>
      </c>
      <c r="F466" s="90">
        <f>SUM(E466:E466)</f>
        <v>2</v>
      </c>
      <c r="H466" s="90">
        <f>SUM(H76+H154+H232+H310)</f>
        <v>25</v>
      </c>
      <c r="I466" s="90">
        <f>SUM(H466:H466)</f>
        <v>25</v>
      </c>
      <c r="K466" s="90">
        <f>SUM(K76+K154+K232+K310)</f>
        <v>136</v>
      </c>
      <c r="L466" s="90">
        <f>SUM(K466:K466)</f>
        <v>136</v>
      </c>
      <c r="N466" s="90">
        <f>SUM(C466+F466+I466+L466)</f>
        <v>187</v>
      </c>
    </row>
    <row r="467" spans="1:14" ht="15.75" customHeight="1">
      <c r="A467" s="91">
        <v>0.76041666666666663</v>
      </c>
      <c r="B467" s="92">
        <f>SUM(B77+B155+B233+B311)</f>
        <v>34</v>
      </c>
      <c r="C467" s="92">
        <f>SUM(B467:B467)</f>
        <v>34</v>
      </c>
      <c r="E467" s="92">
        <f>SUM(E77+E155+E233+E311)</f>
        <v>2</v>
      </c>
      <c r="F467" s="92">
        <f>SUM(E467:E467)</f>
        <v>2</v>
      </c>
      <c r="H467" s="92">
        <f>SUM(H77+H155+H233+H311)</f>
        <v>19</v>
      </c>
      <c r="I467" s="92">
        <f>SUM(H467:H467)</f>
        <v>19</v>
      </c>
      <c r="K467" s="92">
        <f>SUM(K77+K155+K233+K311)</f>
        <v>119</v>
      </c>
      <c r="L467" s="92">
        <f>SUM(K467:K467)</f>
        <v>119</v>
      </c>
      <c r="N467" s="92">
        <f>SUM(C467+F467+I467+L467)</f>
        <v>174</v>
      </c>
    </row>
    <row r="468" spans="1:14" ht="15.75" customHeight="1">
      <c r="A468" s="91">
        <v>0.77083333333333337</v>
      </c>
      <c r="B468" s="92">
        <f>SUM(B78+B156+B234+B312)</f>
        <v>19</v>
      </c>
      <c r="C468" s="92">
        <f>SUM(B468:B468)</f>
        <v>19</v>
      </c>
      <c r="E468" s="92">
        <f>SUM(E78+E156+E234+E312)</f>
        <v>0</v>
      </c>
      <c r="F468" s="92">
        <f>SUM(E468:E468)</f>
        <v>0</v>
      </c>
      <c r="H468" s="92">
        <f>SUM(H78+H156+H234+H312)</f>
        <v>22</v>
      </c>
      <c r="I468" s="92">
        <f>SUM(H468:H468)</f>
        <v>22</v>
      </c>
      <c r="K468" s="92">
        <f>SUM(K78+K156+K234+K312)</f>
        <v>104</v>
      </c>
      <c r="L468" s="92">
        <f>SUM(K468:K468)</f>
        <v>104</v>
      </c>
      <c r="N468" s="92">
        <f>SUM(C468+F468+I468+L468)</f>
        <v>145</v>
      </c>
    </row>
    <row r="469" spans="1:14" ht="15.75" customHeight="1">
      <c r="A469" s="93">
        <v>0.78125</v>
      </c>
      <c r="B469" s="94">
        <f>SUM(B79+B157+B235+B313)</f>
        <v>36</v>
      </c>
      <c r="C469" s="94">
        <f>SUM(B469:B469)</f>
        <v>36</v>
      </c>
      <c r="E469" s="94">
        <f>SUM(E79+E157+E235+E313)</f>
        <v>1</v>
      </c>
      <c r="F469" s="94">
        <f>SUM(E469:E469)</f>
        <v>1</v>
      </c>
      <c r="H469" s="94">
        <f>SUM(H79+H157+H235+H313)</f>
        <v>13</v>
      </c>
      <c r="I469" s="94">
        <f>SUM(H469:H469)</f>
        <v>13</v>
      </c>
      <c r="K469" s="94">
        <f>SUM(K79+K157+K235+K313)</f>
        <v>73</v>
      </c>
      <c r="L469" s="94">
        <f>SUM(K469:K469)</f>
        <v>73</v>
      </c>
      <c r="N469" s="94">
        <f>SUM(C469+F469+I469+L469)</f>
        <v>123</v>
      </c>
    </row>
    <row r="470" spans="1:14" ht="15.75" customHeight="1">
      <c r="A470" s="95" t="s">
        <v>29</v>
      </c>
      <c r="B470" s="95">
        <f>SUM(B466:B469)</f>
        <v>113</v>
      </c>
      <c r="C470" s="95">
        <f>SUM(C466:C469)</f>
        <v>113</v>
      </c>
      <c r="E470" s="95">
        <f>SUM(E466:E469)</f>
        <v>5</v>
      </c>
      <c r="F470" s="95">
        <f>SUM(F466:F469)</f>
        <v>5</v>
      </c>
      <c r="H470" s="95">
        <f>SUM(H466:H469)</f>
        <v>79</v>
      </c>
      <c r="I470" s="95">
        <f>SUM(I466:I469)</f>
        <v>79</v>
      </c>
      <c r="K470" s="95">
        <f>SUM(K466:K469)</f>
        <v>432</v>
      </c>
      <c r="L470" s="95">
        <f>SUM(L466:L469)</f>
        <v>432</v>
      </c>
      <c r="N470" s="95">
        <f>SUM(N466:N469)</f>
        <v>629</v>
      </c>
    </row>
    <row r="472" spans="1:14" ht="15.75" customHeight="1">
      <c r="A472" s="95" t="s">
        <v>30</v>
      </c>
      <c r="B472" s="95">
        <f>SUM(B470+B465+B460+B455+B450+B445)</f>
        <v>550</v>
      </c>
      <c r="C472" s="95">
        <f>SUM(C470+C465+C460+C455+C450+C445)</f>
        <v>550</v>
      </c>
      <c r="E472" s="95">
        <f>SUM(E470+E465+E460+E455+E450+E445)</f>
        <v>70</v>
      </c>
      <c r="F472" s="95">
        <f>SUM(F470+F465+F460+F455+F450+F445)</f>
        <v>70</v>
      </c>
      <c r="H472" s="95">
        <f>SUM(H470+H465+H460+H455+H450+H445)</f>
        <v>367</v>
      </c>
      <c r="I472" s="95">
        <f>SUM(I470+I465+I460+I455+I450+I445)</f>
        <v>367</v>
      </c>
      <c r="K472" s="95">
        <f>SUM(K470+K465+K460+K455+K450+K445)</f>
        <v>1719</v>
      </c>
      <c r="L472" s="95">
        <f>SUM(L470+L465+L460+L455+L450+L445)</f>
        <v>1719</v>
      </c>
      <c r="N472" s="95">
        <f>SUM(N470+N465+N460+N455+N450+N445)</f>
        <v>2706</v>
      </c>
    </row>
    <row r="474" spans="1:14" ht="15.75" customHeight="1">
      <c r="A474" s="95" t="s">
        <v>24</v>
      </c>
      <c r="B474" s="95">
        <f>SUM(B434+B472)</f>
        <v>2138</v>
      </c>
      <c r="C474" s="95">
        <f>SUM(C434+C472)</f>
        <v>2138</v>
      </c>
      <c r="E474" s="95">
        <f>SUM(E434+E472)</f>
        <v>402</v>
      </c>
      <c r="F474" s="95">
        <f>SUM(F434+F472)</f>
        <v>402</v>
      </c>
      <c r="H474" s="95">
        <f>SUM(H434+H472)</f>
        <v>496</v>
      </c>
      <c r="I474" s="95">
        <f>SUM(I434+I472)</f>
        <v>496</v>
      </c>
      <c r="K474" s="95">
        <f>SUM(K434+K472)</f>
        <v>2000</v>
      </c>
      <c r="L474" s="95">
        <f>SUM(L434+L472)</f>
        <v>2000</v>
      </c>
      <c r="N474" s="95">
        <f>SUM(N434+N472)</f>
        <v>5036</v>
      </c>
    </row>
  </sheetData>
  <mergeCells count="61">
    <mergeCell ref="B437:C437"/>
    <mergeCell ref="E437:F437"/>
    <mergeCell ref="H437:I437"/>
    <mergeCell ref="K437:L437"/>
    <mergeCell ref="N5:R5"/>
    <mergeCell ref="B359:C359"/>
    <mergeCell ref="E359:F359"/>
    <mergeCell ref="H359:I359"/>
    <mergeCell ref="K359:L359"/>
    <mergeCell ref="B399:C399"/>
    <mergeCell ref="E399:F399"/>
    <mergeCell ref="H399:I399"/>
    <mergeCell ref="K399:L399"/>
    <mergeCell ref="B281:C281"/>
    <mergeCell ref="E281:F281"/>
    <mergeCell ref="H281:I281"/>
    <mergeCell ref="K281:L281"/>
    <mergeCell ref="B321:C321"/>
    <mergeCell ref="E321:F321"/>
    <mergeCell ref="H321:I321"/>
    <mergeCell ref="K321:L321"/>
    <mergeCell ref="B203:C203"/>
    <mergeCell ref="E203:F203"/>
    <mergeCell ref="H203:I203"/>
    <mergeCell ref="K203:L203"/>
    <mergeCell ref="B243:C243"/>
    <mergeCell ref="E243:F243"/>
    <mergeCell ref="H243:I243"/>
    <mergeCell ref="K243:L243"/>
    <mergeCell ref="E125:F125"/>
    <mergeCell ref="H125:I125"/>
    <mergeCell ref="K125:L125"/>
    <mergeCell ref="B165:C165"/>
    <mergeCell ref="E165:F165"/>
    <mergeCell ref="H165:I165"/>
    <mergeCell ref="K165:L165"/>
    <mergeCell ref="N360:N361"/>
    <mergeCell ref="N400:N401"/>
    <mergeCell ref="N438:N439"/>
    <mergeCell ref="B9:C9"/>
    <mergeCell ref="E9:F9"/>
    <mergeCell ref="H9:I9"/>
    <mergeCell ref="K9:L9"/>
    <mergeCell ref="B47:C47"/>
    <mergeCell ref="E47:F47"/>
    <mergeCell ref="H47:I47"/>
    <mergeCell ref="K47:L47"/>
    <mergeCell ref="B87:C87"/>
    <mergeCell ref="E87:F87"/>
    <mergeCell ref="H87:I87"/>
    <mergeCell ref="K87:L87"/>
    <mergeCell ref="B125:C125"/>
    <mergeCell ref="N166:N167"/>
    <mergeCell ref="N204:N205"/>
    <mergeCell ref="N244:N245"/>
    <mergeCell ref="N282:N283"/>
    <mergeCell ref="N322:N323"/>
    <mergeCell ref="N10:N11"/>
    <mergeCell ref="N48:N49"/>
    <mergeCell ref="N88:N89"/>
    <mergeCell ref="N126:N127"/>
  </mergeCells>
  <pageMargins left="0.7" right="0.7" top="0.75" bottom="0.75" header="0.3" footer="0.3"/>
  <pageSetup scale="65" orientation="landscape" r:id="rId1"/>
  <rowBreaks count="12" manualBreakCount="12">
    <brk id="44" max="16383" man="1"/>
    <brk id="84" max="16383" man="1"/>
    <brk id="122" max="16383" man="1"/>
    <brk id="162" max="16383" man="1"/>
    <brk id="200" max="16383" man="1"/>
    <brk id="240" max="16383" man="1"/>
    <brk id="278" max="16383" man="1"/>
    <brk id="318" max="16383" man="1"/>
    <brk id="356" max="16383" man="1"/>
    <brk id="396" max="16383" man="1"/>
    <brk id="434" max="16383" man="1"/>
    <brk id="47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Job Details</vt:lpstr>
      <vt:lpstr>Site Plan</vt:lpstr>
      <vt:lpstr>JTC</vt:lpstr>
      <vt:lpstr>PEDS</vt:lpstr>
      <vt:lpstr>JTC!Print_Titles</vt:lpstr>
      <vt:lpstr>PEDS!Print_Titles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jack.gilbertson</cp:lastModifiedBy>
  <cp:lastPrinted>2013-10-02T14:22:55Z</cp:lastPrinted>
  <dcterms:created xsi:type="dcterms:W3CDTF">2001-07-30T13:44:17Z</dcterms:created>
  <dcterms:modified xsi:type="dcterms:W3CDTF">2015-11-20T16:59:21Z</dcterms:modified>
</cp:coreProperties>
</file>