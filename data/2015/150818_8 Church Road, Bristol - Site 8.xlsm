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GF1 New\WAL Jobs\Wal-2270 Church Road, Bristol\5 - Post Survey\Client Data\"/>
    </mc:Choice>
  </mc:AlternateContent>
  <xr:revisionPtr revIDLastSave="0" documentId="11_7575833EA3565152A937DA99DE8A3402EDA21A15" xr6:coauthVersionLast="47" xr6:coauthVersionMax="47" xr10:uidLastSave="{00000000-0000-0000-0000-000000000000}"/>
  <bookViews>
    <workbookView xWindow="0" yWindow="0" windowWidth="19200" windowHeight="10995" xr2:uid="{00000000-000D-0000-FFFF-FFFF00000000}"/>
  </bookViews>
  <sheets>
    <sheet name="Job Details" sheetId="5" r:id="rId1"/>
    <sheet name="Site Plan" sheetId="6" r:id="rId2"/>
    <sheet name="Site 8" sheetId="7" r:id="rId3"/>
    <sheet name="Peds&amp;Cycles" sheetId="8" r:id="rId4"/>
  </sheets>
  <definedNames>
    <definedName name="_xlnm._FilterDatabase" localSheetId="3" hidden="1">'Peds&amp;Cycles'!#REF!</definedName>
    <definedName name="_xlnm.Print_Area" localSheetId="3">'Peds&amp;Cycles'!$A$1:$P$85</definedName>
    <definedName name="_xlnm.Print_Titles" localSheetId="3">'Peds&amp;Cycles'!$A:$M,'Peds&amp;Cycles'!$1:$7</definedName>
    <definedName name="_xlnm.Print_Titles" localSheetId="2">'Site 8'!$1:$7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8" i="8" l="1"/>
  <c r="P78" i="8"/>
  <c r="D16" i="8"/>
  <c r="H16" i="8"/>
  <c r="P39" i="8" l="1"/>
  <c r="F75" i="8"/>
  <c r="J80" i="8"/>
  <c r="H52" i="8"/>
  <c r="H53" i="8"/>
  <c r="H58" i="8"/>
  <c r="D63" i="8"/>
  <c r="D67" i="8"/>
  <c r="D73" i="8"/>
  <c r="H72" i="8"/>
  <c r="P67" i="8"/>
  <c r="P76" i="7"/>
  <c r="O78" i="7"/>
  <c r="N2" i="7"/>
  <c r="G78" i="7"/>
  <c r="F78" i="7"/>
  <c r="E78" i="7"/>
  <c r="D78" i="7"/>
  <c r="C78" i="7"/>
  <c r="B78" i="7"/>
  <c r="G73" i="7"/>
  <c r="F73" i="7"/>
  <c r="E73" i="7"/>
  <c r="D73" i="7"/>
  <c r="C73" i="7"/>
  <c r="B73" i="7"/>
  <c r="G68" i="7"/>
  <c r="F68" i="7"/>
  <c r="E68" i="7"/>
  <c r="D68" i="7"/>
  <c r="C68" i="7"/>
  <c r="B68" i="7"/>
  <c r="G63" i="7"/>
  <c r="F63" i="7"/>
  <c r="E63" i="7"/>
  <c r="D63" i="7"/>
  <c r="C63" i="7"/>
  <c r="B63" i="7"/>
  <c r="G58" i="7"/>
  <c r="F58" i="7"/>
  <c r="E58" i="7"/>
  <c r="D58" i="7"/>
  <c r="C58" i="7"/>
  <c r="B58" i="7"/>
  <c r="G53" i="7"/>
  <c r="F53" i="7"/>
  <c r="E53" i="7"/>
  <c r="D53" i="7"/>
  <c r="C53" i="7"/>
  <c r="B53" i="7"/>
  <c r="G41" i="7"/>
  <c r="F41" i="7"/>
  <c r="E41" i="7"/>
  <c r="D41" i="7"/>
  <c r="C41" i="7"/>
  <c r="B41" i="7"/>
  <c r="G36" i="7"/>
  <c r="F36" i="7"/>
  <c r="E36" i="7"/>
  <c r="D36" i="7"/>
  <c r="C36" i="7"/>
  <c r="B36" i="7"/>
  <c r="G31" i="7"/>
  <c r="F31" i="7"/>
  <c r="E31" i="7"/>
  <c r="D31" i="7"/>
  <c r="C31" i="7"/>
  <c r="B31" i="7"/>
  <c r="G26" i="7"/>
  <c r="F26" i="7"/>
  <c r="E26" i="7"/>
  <c r="D26" i="7"/>
  <c r="C26" i="7"/>
  <c r="B26" i="7"/>
  <c r="G21" i="7"/>
  <c r="F21" i="7"/>
  <c r="E21" i="7"/>
  <c r="D21" i="7"/>
  <c r="C21" i="7"/>
  <c r="B21" i="7"/>
  <c r="B16" i="7"/>
  <c r="H40" i="7"/>
  <c r="H17" i="7"/>
  <c r="H18" i="7"/>
  <c r="H19" i="7"/>
  <c r="H20" i="7"/>
  <c r="H21" i="7"/>
  <c r="H22" i="7"/>
  <c r="H23" i="7"/>
  <c r="H24" i="7"/>
  <c r="H25" i="7"/>
  <c r="H27" i="7"/>
  <c r="H28" i="7"/>
  <c r="H29" i="7"/>
  <c r="H30" i="7"/>
  <c r="H31" i="7"/>
  <c r="H32" i="7"/>
  <c r="H33" i="7"/>
  <c r="H34" i="7"/>
  <c r="H35" i="7"/>
  <c r="H37" i="7"/>
  <c r="H38" i="7"/>
  <c r="H39" i="7"/>
  <c r="H12" i="7"/>
  <c r="H36" i="7" l="1"/>
  <c r="H26" i="7"/>
  <c r="H41" i="7"/>
  <c r="B43" i="7"/>
  <c r="B80" i="7"/>
  <c r="C80" i="7"/>
  <c r="D80" i="7"/>
  <c r="E80" i="7"/>
  <c r="F80" i="7"/>
  <c r="G80" i="7"/>
  <c r="C80" i="8"/>
  <c r="C75" i="8"/>
  <c r="C70" i="8"/>
  <c r="C65" i="8"/>
  <c r="C60" i="8"/>
  <c r="C55" i="8"/>
  <c r="D51" i="8"/>
  <c r="H51" i="8"/>
  <c r="B80" i="8"/>
  <c r="B75" i="8"/>
  <c r="B70" i="8"/>
  <c r="B65" i="8"/>
  <c r="B60" i="8"/>
  <c r="B55" i="8"/>
  <c r="K80" i="8"/>
  <c r="K75" i="8"/>
  <c r="K70" i="8"/>
  <c r="K65" i="8"/>
  <c r="K60" i="8"/>
  <c r="K55" i="8"/>
  <c r="J75" i="8"/>
  <c r="J70" i="8"/>
  <c r="J65" i="8"/>
  <c r="J60" i="8"/>
  <c r="J55" i="8"/>
  <c r="C42" i="8"/>
  <c r="C37" i="8"/>
  <c r="C32" i="8"/>
  <c r="C27" i="8"/>
  <c r="C22" i="8"/>
  <c r="C17" i="8"/>
  <c r="B42" i="8"/>
  <c r="B37" i="8"/>
  <c r="B32" i="8"/>
  <c r="B27" i="8"/>
  <c r="B22" i="8"/>
  <c r="B17" i="8"/>
  <c r="K42" i="8"/>
  <c r="K37" i="8"/>
  <c r="K32" i="8"/>
  <c r="K27" i="8"/>
  <c r="K22" i="8"/>
  <c r="K17" i="8"/>
  <c r="J42" i="8"/>
  <c r="J37" i="8"/>
  <c r="J32" i="8"/>
  <c r="J27" i="8"/>
  <c r="J22" i="8"/>
  <c r="J17" i="8"/>
  <c r="N80" i="8"/>
  <c r="N75" i="8"/>
  <c r="N70" i="8"/>
  <c r="N65" i="8"/>
  <c r="N60" i="8"/>
  <c r="N55" i="8"/>
  <c r="O80" i="8"/>
  <c r="O75" i="8"/>
  <c r="O70" i="8"/>
  <c r="O65" i="8"/>
  <c r="O60" i="8"/>
  <c r="O55" i="8"/>
  <c r="O42" i="8"/>
  <c r="O37" i="8"/>
  <c r="O32" i="8"/>
  <c r="O27" i="8"/>
  <c r="O22" i="8"/>
  <c r="O17" i="8"/>
  <c r="N42" i="8"/>
  <c r="N37" i="8"/>
  <c r="N32" i="8"/>
  <c r="N27" i="8"/>
  <c r="N22" i="8"/>
  <c r="N17" i="8"/>
  <c r="G80" i="8"/>
  <c r="F80" i="8"/>
  <c r="G75" i="8"/>
  <c r="G70" i="8"/>
  <c r="F70" i="8"/>
  <c r="G65" i="8"/>
  <c r="F65" i="8"/>
  <c r="G60" i="8"/>
  <c r="F60" i="8"/>
  <c r="G55" i="8"/>
  <c r="F55" i="8"/>
  <c r="G42" i="8"/>
  <c r="F42" i="8"/>
  <c r="G37" i="8"/>
  <c r="F37" i="8"/>
  <c r="G32" i="8"/>
  <c r="F32" i="8"/>
  <c r="G27" i="8"/>
  <c r="F27" i="8"/>
  <c r="G22" i="8"/>
  <c r="F22" i="8"/>
  <c r="G17" i="8"/>
  <c r="F17" i="8"/>
  <c r="G16" i="7"/>
  <c r="G43" i="7" s="1"/>
  <c r="F16" i="7"/>
  <c r="E16" i="7"/>
  <c r="D16" i="7"/>
  <c r="C16" i="7"/>
  <c r="N78" i="7"/>
  <c r="M78" i="7"/>
  <c r="L78" i="7"/>
  <c r="K78" i="7"/>
  <c r="J78" i="7"/>
  <c r="O73" i="7"/>
  <c r="N73" i="7"/>
  <c r="M73" i="7"/>
  <c r="L73" i="7"/>
  <c r="K73" i="7"/>
  <c r="J73" i="7"/>
  <c r="O68" i="7"/>
  <c r="N68" i="7"/>
  <c r="M68" i="7"/>
  <c r="L68" i="7"/>
  <c r="K68" i="7"/>
  <c r="J68" i="7"/>
  <c r="O63" i="7"/>
  <c r="N63" i="7"/>
  <c r="M63" i="7"/>
  <c r="L63" i="7"/>
  <c r="K63" i="7"/>
  <c r="J63" i="7"/>
  <c r="O58" i="7"/>
  <c r="N58" i="7"/>
  <c r="M58" i="7"/>
  <c r="L58" i="7"/>
  <c r="K58" i="7"/>
  <c r="J58" i="7"/>
  <c r="O53" i="7"/>
  <c r="N53" i="7"/>
  <c r="M53" i="7"/>
  <c r="L53" i="7"/>
  <c r="K53" i="7"/>
  <c r="J53" i="7"/>
  <c r="O41" i="7"/>
  <c r="N41" i="7"/>
  <c r="M41" i="7"/>
  <c r="L41" i="7"/>
  <c r="K41" i="7"/>
  <c r="J41" i="7"/>
  <c r="O36" i="7"/>
  <c r="N36" i="7"/>
  <c r="M36" i="7"/>
  <c r="L36" i="7"/>
  <c r="K36" i="7"/>
  <c r="J36" i="7"/>
  <c r="O31" i="7"/>
  <c r="N31" i="7"/>
  <c r="M31" i="7"/>
  <c r="L31" i="7"/>
  <c r="K31" i="7"/>
  <c r="J31" i="7"/>
  <c r="O26" i="7"/>
  <c r="N26" i="7"/>
  <c r="M26" i="7"/>
  <c r="L26" i="7"/>
  <c r="K26" i="7"/>
  <c r="J26" i="7"/>
  <c r="O21" i="7"/>
  <c r="N21" i="7"/>
  <c r="M21" i="7"/>
  <c r="L21" i="7"/>
  <c r="K21" i="7"/>
  <c r="J21" i="7"/>
  <c r="O16" i="7"/>
  <c r="N16" i="7"/>
  <c r="M16" i="7"/>
  <c r="L16" i="7"/>
  <c r="K16" i="7"/>
  <c r="J16" i="7"/>
  <c r="O80" i="7" l="1"/>
  <c r="J80" i="7"/>
  <c r="K80" i="7"/>
  <c r="L80" i="7"/>
  <c r="M80" i="7"/>
  <c r="N80" i="7"/>
  <c r="G82" i="7"/>
  <c r="B82" i="7"/>
  <c r="K3" i="8"/>
  <c r="K4" i="8"/>
  <c r="K5" i="8"/>
  <c r="K2" i="8"/>
  <c r="N11" i="8"/>
  <c r="O11" i="8"/>
  <c r="B11" i="8"/>
  <c r="C11" i="8"/>
  <c r="F11" i="8"/>
  <c r="G11" i="8"/>
  <c r="L13" i="8"/>
  <c r="P13" i="8"/>
  <c r="D13" i="8"/>
  <c r="H13" i="8"/>
  <c r="L14" i="8"/>
  <c r="P14" i="8"/>
  <c r="D14" i="8"/>
  <c r="H14" i="8"/>
  <c r="L15" i="8"/>
  <c r="P15" i="8"/>
  <c r="D15" i="8"/>
  <c r="H15" i="8"/>
  <c r="L16" i="8"/>
  <c r="P16" i="8"/>
  <c r="D17" i="8"/>
  <c r="L18" i="8"/>
  <c r="P18" i="8"/>
  <c r="D18" i="8"/>
  <c r="H18" i="8"/>
  <c r="L19" i="8"/>
  <c r="P19" i="8"/>
  <c r="D19" i="8"/>
  <c r="H19" i="8"/>
  <c r="L20" i="8"/>
  <c r="P20" i="8"/>
  <c r="D20" i="8"/>
  <c r="H20" i="8"/>
  <c r="L21" i="8"/>
  <c r="P21" i="8"/>
  <c r="D21" i="8"/>
  <c r="H21" i="8"/>
  <c r="P22" i="8"/>
  <c r="H22" i="8"/>
  <c r="L23" i="8"/>
  <c r="P23" i="8"/>
  <c r="D23" i="8"/>
  <c r="H23" i="8"/>
  <c r="L24" i="8"/>
  <c r="P24" i="8"/>
  <c r="D24" i="8"/>
  <c r="H24" i="8"/>
  <c r="L25" i="8"/>
  <c r="P25" i="8"/>
  <c r="D25" i="8"/>
  <c r="H25" i="8"/>
  <c r="L26" i="8"/>
  <c r="L27" i="8" s="1"/>
  <c r="P26" i="8"/>
  <c r="D26" i="8"/>
  <c r="H26" i="8"/>
  <c r="L28" i="8"/>
  <c r="P28" i="8"/>
  <c r="D28" i="8"/>
  <c r="H28" i="8"/>
  <c r="L29" i="8"/>
  <c r="P29" i="8"/>
  <c r="D29" i="8"/>
  <c r="H29" i="8"/>
  <c r="L30" i="8"/>
  <c r="P30" i="8"/>
  <c r="D30" i="8"/>
  <c r="H30" i="8"/>
  <c r="L31" i="8"/>
  <c r="P31" i="8"/>
  <c r="D31" i="8"/>
  <c r="H31" i="8"/>
  <c r="P32" i="8"/>
  <c r="H32" i="8"/>
  <c r="L33" i="8"/>
  <c r="P33" i="8"/>
  <c r="D33" i="8"/>
  <c r="H33" i="8"/>
  <c r="L34" i="8"/>
  <c r="P34" i="8"/>
  <c r="D34" i="8"/>
  <c r="H34" i="8"/>
  <c r="L35" i="8"/>
  <c r="P35" i="8"/>
  <c r="D35" i="8"/>
  <c r="H35" i="8"/>
  <c r="L36" i="8"/>
  <c r="P36" i="8"/>
  <c r="D36" i="8"/>
  <c r="H36" i="8"/>
  <c r="L38" i="8"/>
  <c r="P38" i="8"/>
  <c r="D38" i="8"/>
  <c r="H38" i="8"/>
  <c r="L39" i="8"/>
  <c r="D39" i="8"/>
  <c r="H39" i="8"/>
  <c r="L40" i="8"/>
  <c r="P40" i="8"/>
  <c r="D40" i="8"/>
  <c r="H40" i="8"/>
  <c r="L41" i="8"/>
  <c r="P41" i="8"/>
  <c r="D41" i="8"/>
  <c r="H41" i="8"/>
  <c r="P42" i="8"/>
  <c r="H42" i="8"/>
  <c r="J44" i="8"/>
  <c r="K44" i="8"/>
  <c r="N44" i="8"/>
  <c r="O44" i="8"/>
  <c r="B44" i="8"/>
  <c r="C44" i="8"/>
  <c r="F44" i="8"/>
  <c r="G44" i="8"/>
  <c r="J47" i="8"/>
  <c r="B47" i="8"/>
  <c r="J48" i="8"/>
  <c r="N48" i="8"/>
  <c r="B48" i="8"/>
  <c r="F48" i="8"/>
  <c r="J49" i="8"/>
  <c r="K49" i="8"/>
  <c r="N49" i="8"/>
  <c r="O49" i="8"/>
  <c r="B49" i="8"/>
  <c r="C49" i="8"/>
  <c r="F49" i="8"/>
  <c r="G49" i="8"/>
  <c r="L51" i="8"/>
  <c r="P51" i="8"/>
  <c r="L52" i="8"/>
  <c r="P52" i="8"/>
  <c r="D52" i="8"/>
  <c r="L53" i="8"/>
  <c r="P53" i="8"/>
  <c r="D53" i="8"/>
  <c r="L54" i="8"/>
  <c r="P54" i="8"/>
  <c r="D54" i="8"/>
  <c r="H54" i="8"/>
  <c r="H55" i="8" s="1"/>
  <c r="L55" i="8"/>
  <c r="L56" i="8"/>
  <c r="P56" i="8"/>
  <c r="D56" i="8"/>
  <c r="H56" i="8"/>
  <c r="L57" i="8"/>
  <c r="P57" i="8"/>
  <c r="D57" i="8"/>
  <c r="H57" i="8"/>
  <c r="L58" i="8"/>
  <c r="P58" i="8"/>
  <c r="D58" i="8"/>
  <c r="L59" i="8"/>
  <c r="P59" i="8"/>
  <c r="D59" i="8"/>
  <c r="H59" i="8"/>
  <c r="L61" i="8"/>
  <c r="P61" i="8"/>
  <c r="D61" i="8"/>
  <c r="H61" i="8"/>
  <c r="L62" i="8"/>
  <c r="P62" i="8"/>
  <c r="D62" i="8"/>
  <c r="H62" i="8"/>
  <c r="L63" i="8"/>
  <c r="P63" i="8"/>
  <c r="H63" i="8"/>
  <c r="L64" i="8"/>
  <c r="P64" i="8"/>
  <c r="D64" i="8"/>
  <c r="H64" i="8"/>
  <c r="L65" i="8"/>
  <c r="H65" i="8"/>
  <c r="L66" i="8"/>
  <c r="P66" i="8"/>
  <c r="D66" i="8"/>
  <c r="H66" i="8"/>
  <c r="L67" i="8"/>
  <c r="H67" i="8"/>
  <c r="L68" i="8"/>
  <c r="P68" i="8"/>
  <c r="D68" i="8"/>
  <c r="H68" i="8"/>
  <c r="L69" i="8"/>
  <c r="P69" i="8"/>
  <c r="D69" i="8"/>
  <c r="H69" i="8"/>
  <c r="L70" i="8"/>
  <c r="P70" i="8"/>
  <c r="L71" i="8"/>
  <c r="P71" i="8"/>
  <c r="D71" i="8"/>
  <c r="H71" i="8"/>
  <c r="L72" i="8"/>
  <c r="P72" i="8"/>
  <c r="D72" i="8"/>
  <c r="L73" i="8"/>
  <c r="P73" i="8"/>
  <c r="H73" i="8"/>
  <c r="L74" i="8"/>
  <c r="P74" i="8"/>
  <c r="D74" i="8"/>
  <c r="H74" i="8"/>
  <c r="D75" i="8"/>
  <c r="L76" i="8"/>
  <c r="P76" i="8"/>
  <c r="D76" i="8"/>
  <c r="H76" i="8"/>
  <c r="L77" i="8"/>
  <c r="P77" i="8"/>
  <c r="D77" i="8"/>
  <c r="H77" i="8"/>
  <c r="L78" i="8"/>
  <c r="H78" i="8"/>
  <c r="L79" i="8"/>
  <c r="P79" i="8"/>
  <c r="D79" i="8"/>
  <c r="H79" i="8"/>
  <c r="L80" i="8"/>
  <c r="P80" i="8"/>
  <c r="D80" i="8"/>
  <c r="J82" i="8"/>
  <c r="J84" i="8" s="1"/>
  <c r="K82" i="8"/>
  <c r="N82" i="8"/>
  <c r="O82" i="8"/>
  <c r="B82" i="8"/>
  <c r="B84" i="8" s="1"/>
  <c r="C82" i="8"/>
  <c r="F82" i="8"/>
  <c r="F84" i="8" s="1"/>
  <c r="G82" i="8"/>
  <c r="N84" i="8"/>
  <c r="C84" i="8"/>
  <c r="N4" i="7"/>
  <c r="H77" i="7"/>
  <c r="P77" i="7"/>
  <c r="H76" i="7"/>
  <c r="R76" i="7" s="1"/>
  <c r="H75" i="7"/>
  <c r="P75" i="7"/>
  <c r="H74" i="7"/>
  <c r="H78" i="7" s="1"/>
  <c r="P74" i="7"/>
  <c r="P78" i="7" s="1"/>
  <c r="H72" i="7"/>
  <c r="P72" i="7"/>
  <c r="H71" i="7"/>
  <c r="P71" i="7"/>
  <c r="H70" i="7"/>
  <c r="P70" i="7"/>
  <c r="H69" i="7"/>
  <c r="H73" i="7" s="1"/>
  <c r="P69" i="7"/>
  <c r="P73" i="7" s="1"/>
  <c r="H67" i="7"/>
  <c r="P67" i="7"/>
  <c r="H66" i="7"/>
  <c r="P66" i="7"/>
  <c r="H65" i="7"/>
  <c r="P65" i="7"/>
  <c r="H64" i="7"/>
  <c r="H68" i="7" s="1"/>
  <c r="P64" i="7"/>
  <c r="P68" i="7" s="1"/>
  <c r="H62" i="7"/>
  <c r="P62" i="7"/>
  <c r="H61" i="7"/>
  <c r="P61" i="7"/>
  <c r="H60" i="7"/>
  <c r="P60" i="7"/>
  <c r="H59" i="7"/>
  <c r="H63" i="7" s="1"/>
  <c r="P59" i="7"/>
  <c r="P63" i="7" s="1"/>
  <c r="H57" i="7"/>
  <c r="P57" i="7"/>
  <c r="H56" i="7"/>
  <c r="P56" i="7"/>
  <c r="H55" i="7"/>
  <c r="P55" i="7"/>
  <c r="H54" i="7"/>
  <c r="H58" i="7" s="1"/>
  <c r="P54" i="7"/>
  <c r="P58" i="7" s="1"/>
  <c r="H52" i="7"/>
  <c r="P52" i="7"/>
  <c r="H51" i="7"/>
  <c r="P51" i="7"/>
  <c r="H50" i="7"/>
  <c r="P50" i="7"/>
  <c r="H49" i="7"/>
  <c r="H53" i="7" s="1"/>
  <c r="P49" i="7"/>
  <c r="P53" i="7" s="1"/>
  <c r="G47" i="7"/>
  <c r="F47" i="7"/>
  <c r="E47" i="7"/>
  <c r="D47" i="7"/>
  <c r="C47" i="7"/>
  <c r="B47" i="7"/>
  <c r="D46" i="7"/>
  <c r="O47" i="7"/>
  <c r="N47" i="7"/>
  <c r="M47" i="7"/>
  <c r="L47" i="7"/>
  <c r="K47" i="7"/>
  <c r="J47" i="7"/>
  <c r="L46" i="7"/>
  <c r="P40" i="7"/>
  <c r="P39" i="7"/>
  <c r="P38" i="7"/>
  <c r="P37" i="7"/>
  <c r="P35" i="7"/>
  <c r="P34" i="7"/>
  <c r="R34" i="7" s="1"/>
  <c r="P33" i="7"/>
  <c r="P32" i="7"/>
  <c r="P36" i="7" s="1"/>
  <c r="P30" i="7"/>
  <c r="P29" i="7"/>
  <c r="P28" i="7"/>
  <c r="P27" i="7"/>
  <c r="P31" i="7" s="1"/>
  <c r="P25" i="7"/>
  <c r="P24" i="7"/>
  <c r="P23" i="7"/>
  <c r="P22" i="7"/>
  <c r="P20" i="7"/>
  <c r="R20" i="7" s="1"/>
  <c r="P19" i="7"/>
  <c r="P18" i="7"/>
  <c r="P17" i="7"/>
  <c r="P21" i="7" s="1"/>
  <c r="H15" i="7"/>
  <c r="P15" i="7"/>
  <c r="R15" i="7" s="1"/>
  <c r="H14" i="7"/>
  <c r="P14" i="7"/>
  <c r="H13" i="7"/>
  <c r="H16" i="7" s="1"/>
  <c r="P13" i="7"/>
  <c r="R13" i="7" s="1"/>
  <c r="P12" i="7"/>
  <c r="G10" i="7"/>
  <c r="F10" i="7"/>
  <c r="E10" i="7"/>
  <c r="D10" i="7"/>
  <c r="C10" i="7"/>
  <c r="B10" i="7"/>
  <c r="N5" i="7"/>
  <c r="N3" i="7"/>
  <c r="I5" i="6"/>
  <c r="C5" i="6"/>
  <c r="I4" i="6"/>
  <c r="C4" i="6"/>
  <c r="P16" i="7" l="1"/>
  <c r="R12" i="7"/>
  <c r="P80" i="7"/>
  <c r="H80" i="7"/>
  <c r="H80" i="8"/>
  <c r="H70" i="8"/>
  <c r="D65" i="8"/>
  <c r="H60" i="8"/>
  <c r="D42" i="8"/>
  <c r="H37" i="8"/>
  <c r="D32" i="8"/>
  <c r="H17" i="8"/>
  <c r="P17" i="8"/>
  <c r="P60" i="8"/>
  <c r="O84" i="8"/>
  <c r="K84" i="8"/>
  <c r="D55" i="8"/>
  <c r="G84" i="8"/>
  <c r="D22" i="8"/>
  <c r="H75" i="8"/>
  <c r="H82" i="8" s="1"/>
  <c r="D60" i="8"/>
  <c r="H27" i="8"/>
  <c r="R50" i="7"/>
  <c r="R51" i="7"/>
  <c r="R52" i="7"/>
  <c r="R55" i="7"/>
  <c r="R56" i="7"/>
  <c r="R57" i="7"/>
  <c r="R60" i="7"/>
  <c r="R61" i="7"/>
  <c r="R62" i="7"/>
  <c r="R65" i="7"/>
  <c r="R66" i="7"/>
  <c r="R67" i="7"/>
  <c r="R70" i="7"/>
  <c r="R71" i="7"/>
  <c r="R72" i="7"/>
  <c r="D70" i="8"/>
  <c r="D82" i="8" s="1"/>
  <c r="L75" i="8"/>
  <c r="L60" i="8"/>
  <c r="D37" i="8"/>
  <c r="D27" i="8"/>
  <c r="D44" i="8"/>
  <c r="L42" i="8"/>
  <c r="L37" i="8"/>
  <c r="L22" i="8"/>
  <c r="L32" i="8"/>
  <c r="L17" i="8"/>
  <c r="P65" i="8"/>
  <c r="P75" i="8"/>
  <c r="P55" i="8"/>
  <c r="P37" i="8"/>
  <c r="P27" i="8"/>
  <c r="R14" i="7"/>
  <c r="R18" i="7"/>
  <c r="R19" i="7"/>
  <c r="R23" i="7"/>
  <c r="R24" i="7"/>
  <c r="R25" i="7"/>
  <c r="R29" i="7"/>
  <c r="R30" i="7"/>
  <c r="R33" i="7"/>
  <c r="R35" i="7"/>
  <c r="D43" i="7"/>
  <c r="D82" i="7" s="1"/>
  <c r="F43" i="7"/>
  <c r="F82" i="7" s="1"/>
  <c r="R38" i="7"/>
  <c r="R39" i="7"/>
  <c r="R40" i="7"/>
  <c r="R75" i="7"/>
  <c r="R77" i="7"/>
  <c r="R27" i="7"/>
  <c r="C43" i="7"/>
  <c r="C82" i="7" s="1"/>
  <c r="E43" i="7"/>
  <c r="E82" i="7" s="1"/>
  <c r="R17" i="7"/>
  <c r="P26" i="7"/>
  <c r="R28" i="7"/>
  <c r="K43" i="7"/>
  <c r="K82" i="7" s="1"/>
  <c r="M43" i="7"/>
  <c r="M82" i="7" s="1"/>
  <c r="O43" i="7"/>
  <c r="O82" i="7" s="1"/>
  <c r="P41" i="7"/>
  <c r="R37" i="7"/>
  <c r="J43" i="7"/>
  <c r="J82" i="7" s="1"/>
  <c r="L43" i="7"/>
  <c r="L82" i="7" s="1"/>
  <c r="N43" i="7"/>
  <c r="N82" i="7" s="1"/>
  <c r="R54" i="7"/>
  <c r="R64" i="7"/>
  <c r="R68" i="7" s="1"/>
  <c r="R74" i="7"/>
  <c r="R78" i="7" s="1"/>
  <c r="R22" i="7"/>
  <c r="R32" i="7"/>
  <c r="R49" i="7"/>
  <c r="R53" i="7" s="1"/>
  <c r="R59" i="7"/>
  <c r="R69" i="7"/>
  <c r="R73" i="7" s="1"/>
  <c r="P44" i="8" l="1"/>
  <c r="H44" i="8"/>
  <c r="H84" i="8" s="1"/>
  <c r="D84" i="8"/>
  <c r="P82" i="8"/>
  <c r="R63" i="7"/>
  <c r="R58" i="7"/>
  <c r="R26" i="7"/>
  <c r="R41" i="7"/>
  <c r="L82" i="8"/>
  <c r="L44" i="8"/>
  <c r="L84" i="8" s="1"/>
  <c r="R36" i="7"/>
  <c r="H43" i="7"/>
  <c r="H82" i="7" s="1"/>
  <c r="R21" i="7"/>
  <c r="R16" i="7"/>
  <c r="P43" i="7"/>
  <c r="P82" i="7" s="1"/>
  <c r="R31" i="7"/>
  <c r="P84" i="8" l="1"/>
  <c r="R80" i="7"/>
  <c r="R43" i="7"/>
  <c r="R82" i="7" l="1"/>
</calcChain>
</file>

<file path=xl/sharedStrings.xml><?xml version="1.0" encoding="utf-8"?>
<sst xmlns="http://schemas.openxmlformats.org/spreadsheetml/2006/main" count="145" uniqueCount="89">
  <si>
    <t>Client:</t>
  </si>
  <si>
    <t>Bristol City Council</t>
  </si>
  <si>
    <t>Project:</t>
  </si>
  <si>
    <t>WAL-2270 Church Road, Bristol</t>
  </si>
  <si>
    <t>Site:</t>
  </si>
  <si>
    <t>Site 8 - Elton Road (north of Purton Rd)</t>
  </si>
  <si>
    <t>Survey Date:</t>
  </si>
  <si>
    <t>Tuesday 29th September 2015</t>
  </si>
  <si>
    <t>Survey Period:</t>
  </si>
  <si>
    <t>07:00-19:00</t>
  </si>
  <si>
    <t>Method:</t>
  </si>
  <si>
    <t>Link Count</t>
  </si>
  <si>
    <t>AM Weather:</t>
  </si>
  <si>
    <t>Sunny / Cold</t>
  </si>
  <si>
    <t>PM Weather:</t>
  </si>
  <si>
    <t>Incidents / Observations:</t>
  </si>
  <si>
    <t>Client :</t>
  </si>
  <si>
    <t>Site plan for :</t>
  </si>
  <si>
    <t>Project :</t>
  </si>
  <si>
    <t>Date :</t>
  </si>
  <si>
    <t>Date:</t>
  </si>
  <si>
    <t>Linkcount</t>
  </si>
  <si>
    <t>Destination :</t>
  </si>
  <si>
    <t>Northbound</t>
  </si>
  <si>
    <t>Southbound</t>
  </si>
  <si>
    <t>Arm Totals</t>
  </si>
  <si>
    <t>Total</t>
  </si>
  <si>
    <t>CAR</t>
  </si>
  <si>
    <t>LGV</t>
  </si>
  <si>
    <t>OGV1</t>
  </si>
  <si>
    <t>OGV2</t>
  </si>
  <si>
    <t>PSV</t>
  </si>
  <si>
    <t>MC</t>
  </si>
  <si>
    <t>1 Hr</t>
  </si>
  <si>
    <t>6 Hrs</t>
  </si>
  <si>
    <t>Site :</t>
  </si>
  <si>
    <t>Pedestrian &amp; Cycle Movements</t>
  </si>
  <si>
    <t>Using the Footpath</t>
  </si>
  <si>
    <t>Using the Road</t>
  </si>
  <si>
    <t>Peds</t>
  </si>
  <si>
    <t>Cycles</t>
  </si>
  <si>
    <t>07:00</t>
  </si>
  <si>
    <t>07:15</t>
  </si>
  <si>
    <t>07:30</t>
  </si>
  <si>
    <t>07:45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</si>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</sst>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 MT"/>
    </font>
    <font>
      <b/>
      <sz val="12"/>
      <color theme="1"/>
      <name val="Arial MT"/>
    </font>
    <font>
      <b/>
      <sz val="24"/>
      <color theme="1"/>
      <name val="Arial MT"/>
    </font>
    <font>
      <sz val="8"/>
      <color theme="1"/>
      <name val="Arial MT"/>
    </font>
    <font>
      <b/>
      <u/>
      <sz val="12"/>
      <color theme="1"/>
      <name val="Arial MT"/>
    </font>
    <font>
      <sz val="11"/>
      <color theme="1"/>
      <name val="Arial MT"/>
    </font>
    <font>
      <b/>
      <sz val="11"/>
      <color theme="1"/>
      <name val="Arial MT"/>
    </font>
    <font>
      <sz val="10"/>
      <color theme="1"/>
      <name val="Arial MT"/>
    </font>
    <font>
      <sz val="6"/>
      <color theme="1"/>
      <name val="Arial MT"/>
    </font>
    <font>
      <sz val="6"/>
      <color theme="1"/>
      <name val="Arial"/>
      <family val="2"/>
    </font>
    <font>
      <sz val="8"/>
      <color theme="1"/>
      <name val="Arial"/>
      <family val="2"/>
    </font>
    <font>
      <b/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1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4" fontId="3" fillId="2" borderId="9" xfId="0" applyNumberFormat="1" applyFont="1" applyFill="1" applyBorder="1" applyAlignment="1">
      <alignment vertical="center"/>
    </xf>
    <xf numFmtId="0" fontId="3" fillId="2" borderId="3" xfId="0" applyFont="1" applyFill="1" applyBorder="1"/>
    <xf numFmtId="0" fontId="3" fillId="2" borderId="5" xfId="0" applyFont="1" applyFill="1" applyBorder="1"/>
    <xf numFmtId="0" fontId="3" fillId="2" borderId="0" xfId="0" applyFont="1" applyFill="1"/>
    <xf numFmtId="0" fontId="3" fillId="2" borderId="6" xfId="0" applyFont="1" applyFill="1" applyBorder="1"/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6" fillId="2" borderId="3" xfId="0" applyFont="1" applyFill="1" applyBorder="1"/>
    <xf numFmtId="0" fontId="6" fillId="2" borderId="0" xfId="0" applyFont="1" applyFill="1"/>
    <xf numFmtId="0" fontId="6" fillId="2" borderId="5" xfId="0" applyFont="1" applyFill="1" applyBorder="1"/>
    <xf numFmtId="0" fontId="7" fillId="2" borderId="0" xfId="0" applyFont="1" applyFill="1"/>
    <xf numFmtId="0" fontId="8" fillId="2" borderId="0" xfId="0" applyFont="1" applyFill="1"/>
    <xf numFmtId="0" fontId="8" fillId="2" borderId="6" xfId="0" applyFont="1" applyFill="1" applyBorder="1"/>
    <xf numFmtId="14" fontId="8" fillId="2" borderId="0" xfId="0" applyNumberFormat="1" applyFont="1" applyFill="1"/>
    <xf numFmtId="0" fontId="6" fillId="2" borderId="7" xfId="0" applyFont="1" applyFill="1" applyBorder="1"/>
    <xf numFmtId="0" fontId="6" fillId="2" borderId="11" xfId="0" applyFont="1" applyFill="1" applyBorder="1"/>
    <xf numFmtId="0" fontId="6" fillId="2" borderId="8" xfId="0" applyFont="1" applyFill="1" applyBorder="1"/>
    <xf numFmtId="0" fontId="6" fillId="2" borderId="2" xfId="0" applyFont="1" applyFill="1" applyBorder="1"/>
    <xf numFmtId="0" fontId="6" fillId="2" borderId="9" xfId="0" applyFont="1" applyFill="1" applyBorder="1"/>
    <xf numFmtId="0" fontId="6" fillId="2" borderId="1" xfId="0" applyFont="1" applyFill="1" applyBorder="1"/>
    <xf numFmtId="0" fontId="5" fillId="2" borderId="0" xfId="0" applyFont="1" applyFill="1"/>
    <xf numFmtId="0" fontId="5" fillId="2" borderId="2" xfId="0" applyFont="1" applyFill="1" applyBorder="1" applyAlignment="1">
      <alignment horizontal="right"/>
    </xf>
    <xf numFmtId="0" fontId="5" fillId="2" borderId="9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20" fontId="6" fillId="2" borderId="13" xfId="0" applyNumberFormat="1" applyFont="1" applyFill="1" applyBorder="1" applyAlignment="1">
      <alignment horizontal="left"/>
    </xf>
    <xf numFmtId="0" fontId="6" fillId="2" borderId="13" xfId="0" applyFont="1" applyFill="1" applyBorder="1"/>
    <xf numFmtId="20" fontId="6" fillId="2" borderId="15" xfId="0" applyNumberFormat="1" applyFont="1" applyFill="1" applyBorder="1" applyAlignment="1">
      <alignment horizontal="left"/>
    </xf>
    <xf numFmtId="0" fontId="6" fillId="2" borderId="6" xfId="0" applyFont="1" applyFill="1" applyBorder="1"/>
    <xf numFmtId="0" fontId="6" fillId="2" borderId="15" xfId="0" applyFont="1" applyFill="1" applyBorder="1"/>
    <xf numFmtId="20" fontId="6" fillId="2" borderId="14" xfId="0" applyNumberFormat="1" applyFont="1" applyFill="1" applyBorder="1" applyAlignment="1">
      <alignment horizontal="left"/>
    </xf>
    <xf numFmtId="0" fontId="6" fillId="2" borderId="14" xfId="0" applyFont="1" applyFill="1" applyBorder="1"/>
    <xf numFmtId="0" fontId="9" fillId="5" borderId="3" xfId="1" applyFont="1" applyFill="1" applyBorder="1" applyAlignment="1">
      <alignment horizontal="left"/>
    </xf>
    <xf numFmtId="0" fontId="9" fillId="0" borderId="29" xfId="1" applyFont="1" applyBorder="1"/>
    <xf numFmtId="0" fontId="5" fillId="0" borderId="29" xfId="1" applyFont="1" applyBorder="1"/>
    <xf numFmtId="0" fontId="10" fillId="0" borderId="29" xfId="1" applyFont="1" applyBorder="1"/>
    <xf numFmtId="0" fontId="11" fillId="0" borderId="29" xfId="1" applyFont="1" applyBorder="1"/>
    <xf numFmtId="0" fontId="5" fillId="0" borderId="28" xfId="1" applyFont="1" applyBorder="1"/>
    <xf numFmtId="0" fontId="5" fillId="0" borderId="0" xfId="1" applyFont="1"/>
    <xf numFmtId="0" fontId="9" fillId="0" borderId="5" xfId="1" applyFont="1" applyBorder="1" applyAlignment="1">
      <alignment horizontal="left"/>
    </xf>
    <xf numFmtId="0" fontId="9" fillId="0" borderId="0" xfId="1" applyFont="1"/>
    <xf numFmtId="0" fontId="10" fillId="0" borderId="0" xfId="1" applyFont="1"/>
    <xf numFmtId="0" fontId="5" fillId="0" borderId="6" xfId="1" applyFont="1" applyBorder="1"/>
    <xf numFmtId="0" fontId="10" fillId="0" borderId="5" xfId="1" applyFont="1" applyBorder="1" applyAlignment="1">
      <alignment horizontal="left"/>
    </xf>
    <xf numFmtId="20" fontId="10" fillId="0" borderId="0" xfId="1" applyNumberFormat="1" applyFont="1"/>
    <xf numFmtId="0" fontId="12" fillId="0" borderId="0" xfId="1" applyFont="1"/>
    <xf numFmtId="0" fontId="9" fillId="0" borderId="6" xfId="1" applyFont="1" applyBorder="1"/>
    <xf numFmtId="0" fontId="10" fillId="0" borderId="7" xfId="1" applyFont="1" applyBorder="1" applyAlignment="1">
      <alignment horizontal="left"/>
    </xf>
    <xf numFmtId="0" fontId="10" fillId="0" borderId="0" xfId="1" applyFont="1" applyAlignment="1">
      <alignment horizontal="left"/>
    </xf>
    <xf numFmtId="0" fontId="13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/>
    <xf numFmtId="0" fontId="14" fillId="0" borderId="0" xfId="1" applyFont="1"/>
    <xf numFmtId="0" fontId="6" fillId="0" borderId="0" xfId="1" applyFont="1"/>
    <xf numFmtId="0" fontId="16" fillId="0" borderId="16" xfId="1" applyFont="1" applyBorder="1" applyAlignment="1">
      <alignment horizontal="right"/>
    </xf>
    <xf numFmtId="0" fontId="16" fillId="0" borderId="25" xfId="1" applyFont="1" applyBorder="1" applyAlignment="1">
      <alignment horizontal="right"/>
    </xf>
    <xf numFmtId="0" fontId="16" fillId="0" borderId="17" xfId="1" applyFont="1" applyBorder="1" applyAlignment="1">
      <alignment horizontal="center"/>
    </xf>
    <xf numFmtId="0" fontId="16" fillId="0" borderId="0" xfId="1" applyFont="1"/>
    <xf numFmtId="0" fontId="16" fillId="0" borderId="2" xfId="1" applyFont="1" applyBorder="1" applyAlignment="1">
      <alignment horizontal="right"/>
    </xf>
    <xf numFmtId="0" fontId="16" fillId="0" borderId="21" xfId="1" applyFont="1" applyBorder="1" applyAlignment="1">
      <alignment horizontal="center"/>
    </xf>
    <xf numFmtId="0" fontId="14" fillId="0" borderId="13" xfId="1" quotePrefix="1" applyFont="1" applyBorder="1" applyAlignment="1">
      <alignment horizontal="left"/>
    </xf>
    <xf numFmtId="0" fontId="14" fillId="0" borderId="3" xfId="1" applyFont="1" applyBorder="1"/>
    <xf numFmtId="0" fontId="14" fillId="0" borderId="4" xfId="1" applyFont="1" applyBorder="1"/>
    <xf numFmtId="0" fontId="14" fillId="0" borderId="10" xfId="1" applyFont="1" applyBorder="1"/>
    <xf numFmtId="0" fontId="14" fillId="0" borderId="13" xfId="1" applyFont="1" applyBorder="1"/>
    <xf numFmtId="0" fontId="14" fillId="0" borderId="15" xfId="1" quotePrefix="1" applyFont="1" applyBorder="1" applyAlignment="1">
      <alignment horizontal="left"/>
    </xf>
    <xf numFmtId="0" fontId="14" fillId="0" borderId="5" xfId="1" applyFont="1" applyBorder="1"/>
    <xf numFmtId="0" fontId="14" fillId="0" borderId="6" xfId="1" applyFont="1" applyBorder="1"/>
    <xf numFmtId="0" fontId="14" fillId="0" borderId="15" xfId="1" applyFont="1" applyBorder="1"/>
    <xf numFmtId="0" fontId="14" fillId="0" borderId="14" xfId="1" applyFont="1" applyBorder="1"/>
    <xf numFmtId="0" fontId="14" fillId="0" borderId="1" xfId="1" applyFont="1" applyBorder="1" applyAlignment="1">
      <alignment horizontal="left"/>
    </xf>
    <xf numFmtId="0" fontId="14" fillId="0" borderId="2" xfId="1" applyFont="1" applyBorder="1"/>
    <xf numFmtId="0" fontId="14" fillId="0" borderId="8" xfId="1" applyFont="1" applyBorder="1"/>
    <xf numFmtId="0" fontId="17" fillId="0" borderId="0" xfId="1" applyFont="1" applyAlignment="1">
      <alignment horizontal="left"/>
    </xf>
    <xf numFmtId="0" fontId="17" fillId="0" borderId="0" xfId="1" applyFont="1"/>
    <xf numFmtId="0" fontId="17" fillId="0" borderId="0" xfId="1" applyFont="1" applyAlignment="1">
      <alignment horizontal="right"/>
    </xf>
    <xf numFmtId="0" fontId="18" fillId="0" borderId="0" xfId="1" applyFont="1"/>
    <xf numFmtId="0" fontId="14" fillId="0" borderId="1" xfId="1" applyFont="1" applyBorder="1"/>
    <xf numFmtId="0" fontId="14" fillId="0" borderId="9" xfId="1" applyFont="1" applyBorder="1"/>
    <xf numFmtId="0" fontId="19" fillId="0" borderId="0" xfId="1" applyFont="1"/>
    <xf numFmtId="0" fontId="14" fillId="0" borderId="19" xfId="1" quotePrefix="1" applyFont="1" applyBorder="1" applyAlignment="1">
      <alignment horizontal="left"/>
    </xf>
    <xf numFmtId="0" fontId="14" fillId="0" borderId="18" xfId="1" quotePrefix="1" applyFont="1" applyBorder="1" applyAlignment="1">
      <alignment horizontal="left"/>
    </xf>
    <xf numFmtId="0" fontId="14" fillId="0" borderId="17" xfId="1" applyFont="1" applyBorder="1" applyAlignment="1">
      <alignment horizontal="left"/>
    </xf>
    <xf numFmtId="0" fontId="14" fillId="0" borderId="20" xfId="1" quotePrefix="1" applyFont="1" applyBorder="1" applyAlignment="1">
      <alignment horizontal="left"/>
    </xf>
    <xf numFmtId="0" fontId="14" fillId="0" borderId="16" xfId="1" applyFont="1" applyBorder="1" applyAlignment="1">
      <alignment horizontal="left"/>
    </xf>
    <xf numFmtId="0" fontId="20" fillId="2" borderId="0" xfId="0" applyFont="1" applyFill="1"/>
    <xf numFmtId="0" fontId="3" fillId="2" borderId="5" xfId="0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6" fillId="2" borderId="13" xfId="0" applyFont="1" applyFill="1" applyBorder="1" applyAlignment="1">
      <alignment horizontal="center" vertical="distributed"/>
    </xf>
    <xf numFmtId="0" fontId="6" fillId="2" borderId="14" xfId="0" applyFont="1" applyFill="1" applyBorder="1" applyAlignment="1">
      <alignment horizontal="center" vertical="distributed"/>
    </xf>
    <xf numFmtId="0" fontId="10" fillId="0" borderId="2" xfId="1" applyFont="1" applyBorder="1" applyAlignment="1">
      <alignment horizontal="center"/>
    </xf>
    <xf numFmtId="0" fontId="10" fillId="0" borderId="9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23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0" fontId="15" fillId="0" borderId="27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26" xfId="1" applyFont="1" applyBorder="1" applyAlignment="1">
      <alignment horizontal="center"/>
    </xf>
    <xf numFmtId="0" fontId="2" fillId="2" borderId="28" xfId="0" applyFont="1" applyFill="1" applyBorder="1" applyAlignment="1">
      <alignment vertical="center"/>
    </xf>
    <xf numFmtId="0" fontId="3" fillId="2" borderId="29" xfId="0" applyFont="1" applyFill="1" applyBorder="1"/>
    <xf numFmtId="0" fontId="3" fillId="2" borderId="28" xfId="0" applyFont="1" applyFill="1" applyBorder="1"/>
    <xf numFmtId="0" fontId="6" fillId="2" borderId="29" xfId="0" applyFont="1" applyFill="1" applyBorder="1"/>
    <xf numFmtId="0" fontId="6" fillId="2" borderId="28" xfId="0" applyFont="1" applyFill="1" applyBorder="1"/>
    <xf numFmtId="0" fontId="6" fillId="2" borderId="12" xfId="0" applyFont="1" applyFill="1" applyBorder="1"/>
    <xf numFmtId="0" fontId="5" fillId="2" borderId="12" xfId="0" applyFont="1" applyFill="1" applyBorder="1" applyAlignment="1">
      <alignment horizontal="right"/>
    </xf>
    <xf numFmtId="0" fontId="9" fillId="0" borderId="11" xfId="1" applyFont="1" applyBorder="1"/>
    <xf numFmtId="15" fontId="9" fillId="0" borderId="11" xfId="1" applyNumberFormat="1" applyFont="1" applyBorder="1"/>
    <xf numFmtId="0" fontId="5" fillId="0" borderId="11" xfId="1" applyFont="1" applyBorder="1"/>
    <xf numFmtId="0" fontId="12" fillId="0" borderId="11" xfId="1" applyFont="1" applyBorder="1"/>
    <xf numFmtId="0" fontId="5" fillId="0" borderId="8" xfId="1" applyFont="1" applyBorder="1"/>
    <xf numFmtId="0" fontId="10" fillId="0" borderId="12" xfId="1" applyFont="1" applyBorder="1" applyAlignment="1">
      <alignment horizontal="center"/>
    </xf>
    <xf numFmtId="0" fontId="16" fillId="0" borderId="12" xfId="1" applyFont="1" applyBorder="1" applyAlignment="1">
      <alignment horizontal="right"/>
    </xf>
    <xf numFmtId="0" fontId="14" fillId="0" borderId="12" xfId="1" applyFont="1" applyBorder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681038</xdr:colOff>
      <xdr:row>1</xdr:row>
      <xdr:rowOff>97632</xdr:rowOff>
    </xdr:from>
    <xdr:to>
      <xdr:col>2</xdr:col>
      <xdr:colOff>2043113</xdr:colOff>
      <xdr:row>4</xdr:row>
      <xdr:rowOff>280072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8363" y="488157"/>
          <a:ext cx="4086225" cy="1354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63499</xdr:rowOff>
    </xdr:from>
    <xdr:to>
      <xdr:col>12</xdr:col>
      <xdr:colOff>1174750</xdr:colOff>
      <xdr:row>34</xdr:row>
      <xdr:rowOff>254000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767" t="26100" r="12489" b="16939"/>
        <a:stretch/>
      </xdr:blipFill>
      <xdr:spPr>
        <a:xfrm>
          <a:off x="0" y="1650999"/>
          <a:ext cx="16033750" cy="93980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398009</xdr:colOff>
      <xdr:row>3</xdr:row>
      <xdr:rowOff>0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4509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730250</xdr:colOff>
      <xdr:row>19</xdr:row>
      <xdr:rowOff>269875</xdr:rowOff>
    </xdr:from>
    <xdr:to>
      <xdr:col>7</xdr:col>
      <xdr:colOff>127000</xdr:colOff>
      <xdr:row>22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 bwMode="auto">
        <a:xfrm flipH="1">
          <a:off x="8159750" y="6302375"/>
          <a:ext cx="635000" cy="682625"/>
        </a:xfrm>
        <a:prstGeom prst="line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730250</xdr:colOff>
      <xdr:row>20</xdr:row>
      <xdr:rowOff>111125</xdr:rowOff>
    </xdr:from>
    <xdr:to>
      <xdr:col>6</xdr:col>
      <xdr:colOff>1196975</xdr:colOff>
      <xdr:row>21</xdr:row>
      <xdr:rowOff>222250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 flipH="1" flipV="1">
          <a:off x="8159750" y="6461125"/>
          <a:ext cx="466725" cy="428625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793750</xdr:colOff>
      <xdr:row>20</xdr:row>
      <xdr:rowOff>31750</xdr:rowOff>
    </xdr:from>
    <xdr:to>
      <xdr:col>7</xdr:col>
      <xdr:colOff>63500</xdr:colOff>
      <xdr:row>21</xdr:row>
      <xdr:rowOff>152400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8223250" y="6381750"/>
          <a:ext cx="508000" cy="438150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5</xdr:col>
      <xdr:colOff>657225</xdr:colOff>
      <xdr:row>20</xdr:row>
      <xdr:rowOff>111125</xdr:rowOff>
    </xdr:from>
    <xdr:to>
      <xdr:col>6</xdr:col>
      <xdr:colOff>539750</xdr:colOff>
      <xdr:row>21</xdr:row>
      <xdr:rowOff>238125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848475" y="6461125"/>
          <a:ext cx="1120775" cy="44450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FF0000"/>
              </a:solidFill>
            </a:rPr>
            <a:t>Northbound</a:t>
          </a:r>
        </a:p>
      </xdr:txBody>
    </xdr:sp>
    <xdr:clientData/>
  </xdr:twoCellAnchor>
  <xdr:twoCellAnchor>
    <xdr:from>
      <xdr:col>7</xdr:col>
      <xdr:colOff>206374</xdr:colOff>
      <xdr:row>19</xdr:row>
      <xdr:rowOff>279400</xdr:rowOff>
    </xdr:from>
    <xdr:to>
      <xdr:col>8</xdr:col>
      <xdr:colOff>111125</xdr:colOff>
      <xdr:row>21</xdr:row>
      <xdr:rowOff>88900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874124" y="6311900"/>
          <a:ext cx="1143001" cy="444500"/>
        </a:xfrm>
        <a:prstGeom prst="rect">
          <a:avLst/>
        </a:prstGeom>
        <a:solidFill>
          <a:schemeClr val="lt1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0000FF"/>
              </a:solidFill>
            </a:rPr>
            <a:t>Southbound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7</xdr:col>
      <xdr:colOff>79440</xdr:colOff>
      <xdr:row>5</xdr:row>
      <xdr:rowOff>194977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2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1" y="200025"/>
          <a:ext cx="2994089" cy="995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0</xdr:row>
      <xdr:rowOff>152400</xdr:rowOff>
    </xdr:from>
    <xdr:ext cx="3613150" cy="911225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3344"/>
        <a:stretch>
          <a:fillRect/>
        </a:stretch>
      </xdr:blipFill>
      <xdr:spPr bwMode="auto">
        <a:xfrm>
          <a:off x="142875" y="152400"/>
          <a:ext cx="3613150" cy="91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9"/>
  <sheetViews>
    <sheetView tabSelected="1" zoomScale="75" zoomScaleNormal="75" workbookViewId="0"/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2"/>
      <c r="B1" s="2"/>
      <c r="C1" s="2"/>
      <c r="D1" s="2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4" t="s">
        <v>0</v>
      </c>
      <c r="C6" s="4" t="s">
        <v>1</v>
      </c>
    </row>
    <row r="7" spans="1:4" ht="30.75" customHeight="1">
      <c r="B7" s="4" t="s">
        <v>2</v>
      </c>
      <c r="C7" s="4" t="s">
        <v>3</v>
      </c>
    </row>
    <row r="8" spans="1:4" ht="30.75" customHeight="1">
      <c r="B8" s="4" t="s">
        <v>4</v>
      </c>
      <c r="C8" s="5" t="s">
        <v>5</v>
      </c>
    </row>
    <row r="9" spans="1:4" ht="30.75" customHeight="1">
      <c r="B9" s="4" t="s">
        <v>6</v>
      </c>
      <c r="C9" s="5" t="s">
        <v>7</v>
      </c>
    </row>
    <row r="10" spans="1:4" ht="30.75" customHeight="1">
      <c r="B10" s="4" t="s">
        <v>8</v>
      </c>
      <c r="C10" s="4" t="s">
        <v>9</v>
      </c>
    </row>
    <row r="11" spans="1:4" ht="30.75" customHeight="1">
      <c r="B11" s="4" t="s">
        <v>10</v>
      </c>
      <c r="C11" s="4" t="s">
        <v>11</v>
      </c>
    </row>
    <row r="12" spans="1:4" ht="30.75" customHeight="1">
      <c r="B12" s="4" t="s">
        <v>12</v>
      </c>
      <c r="C12" s="4" t="s">
        <v>13</v>
      </c>
    </row>
    <row r="13" spans="1:4" ht="30.75" customHeight="1">
      <c r="B13" s="4" t="s">
        <v>14</v>
      </c>
      <c r="C13" s="4" t="s">
        <v>13</v>
      </c>
    </row>
    <row r="14" spans="1:4" ht="30.75" customHeight="1">
      <c r="B14" s="6" t="s">
        <v>15</v>
      </c>
      <c r="C14" s="114"/>
    </row>
    <row r="15" spans="1:4" ht="30.75" customHeight="1">
      <c r="B15" s="100"/>
      <c r="C15" s="101"/>
    </row>
    <row r="16" spans="1:4" ht="30.75" customHeight="1">
      <c r="B16" s="100"/>
      <c r="C16" s="101"/>
    </row>
    <row r="17" spans="1:4" ht="30.75" customHeight="1">
      <c r="B17" s="102"/>
      <c r="C17" s="103"/>
    </row>
    <row r="18" spans="1:4" ht="17.25" customHeight="1"/>
    <row r="19" spans="1:4" ht="30.75" customHeight="1">
      <c r="A19" s="3"/>
      <c r="B19" s="3"/>
      <c r="C19" s="3"/>
      <c r="D19" s="3"/>
    </row>
  </sheetData>
  <mergeCells count="1">
    <mergeCell ref="B15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5"/>
  <sheetViews>
    <sheetView zoomScale="60" zoomScaleNormal="60" workbookViewId="0"/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0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3" ht="24.75" customHeight="1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3"/>
    </row>
    <row r="3" spans="1:13" ht="24.75" customHeight="1">
      <c r="A3" s="11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3"/>
    </row>
    <row r="4" spans="1:13" ht="24.75" customHeight="1">
      <c r="A4" s="7" t="s">
        <v>16</v>
      </c>
      <c r="B4" s="8"/>
      <c r="C4" s="8" t="str">
        <f>'Job Details'!$C$6</f>
        <v>Bristol City Council</v>
      </c>
      <c r="D4" s="8"/>
      <c r="E4" s="8"/>
      <c r="F4" s="20"/>
      <c r="G4" s="7" t="s">
        <v>17</v>
      </c>
      <c r="H4" s="8"/>
      <c r="I4" s="8" t="str">
        <f>'Job Details'!$C$8</f>
        <v>Site 8 - Elton Road (north of Purton Rd)</v>
      </c>
      <c r="J4" s="8"/>
      <c r="K4" s="8"/>
      <c r="L4" s="8"/>
      <c r="M4" s="20"/>
    </row>
    <row r="5" spans="1:13" ht="24.75" customHeight="1">
      <c r="A5" s="7" t="s">
        <v>18</v>
      </c>
      <c r="B5" s="8"/>
      <c r="C5" s="8" t="str">
        <f>'Job Details'!$C$7</f>
        <v>WAL-2270 Church Road, Bristol</v>
      </c>
      <c r="D5" s="8"/>
      <c r="E5" s="8"/>
      <c r="F5" s="20"/>
      <c r="G5" s="7" t="s">
        <v>19</v>
      </c>
      <c r="H5" s="8"/>
      <c r="I5" s="9" t="str">
        <f>'Job Details'!$C$9</f>
        <v>Tuesday 29th September 2015</v>
      </c>
      <c r="J5" s="8"/>
      <c r="K5" s="8"/>
      <c r="L5" s="8"/>
      <c r="M5" s="20"/>
    </row>
    <row r="6" spans="1:13" ht="24.75" customHeight="1">
      <c r="A6" s="16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1:13" ht="24.75" customHeight="1">
      <c r="A7" s="16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1:13" ht="24.75" customHeight="1">
      <c r="A8" s="16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1:13" ht="24.75" customHeight="1">
      <c r="A9" s="16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1:13" ht="24.75" customHeight="1">
      <c r="A10" s="16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1:13" ht="24.75" customHeight="1">
      <c r="A11" s="16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</row>
    <row r="12" spans="1:13" ht="24.75" customHeight="1">
      <c r="A12" s="16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1:13" ht="24.75" customHeight="1">
      <c r="A13" s="16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</row>
    <row r="14" spans="1:13" ht="24.75" customHeight="1">
      <c r="A14" s="16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5"/>
    </row>
    <row r="15" spans="1:13" ht="24.75" customHeight="1">
      <c r="A15" s="16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5"/>
    </row>
    <row r="16" spans="1:13" ht="24.75" customHeight="1">
      <c r="A16" s="16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5"/>
    </row>
    <row r="17" spans="1:13" ht="24.75" customHeight="1">
      <c r="A17" s="16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5"/>
    </row>
    <row r="18" spans="1:13" ht="24.75" customHeight="1">
      <c r="A18" s="16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5"/>
    </row>
    <row r="19" spans="1:13" ht="24.75" customHeight="1">
      <c r="A19" s="16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</row>
    <row r="20" spans="1:13" ht="24.75" customHeight="1">
      <c r="A20" s="16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1:13" ht="24.75" customHeight="1">
      <c r="A21" s="16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2" spans="1:13" ht="24.75" customHeight="1">
      <c r="A22" s="16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1:13" ht="24.75" customHeight="1">
      <c r="A23" s="16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1:13" ht="24.75" customHeight="1">
      <c r="A24" s="16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1:13" ht="24.75" customHeight="1">
      <c r="A25" s="16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5"/>
    </row>
    <row r="26" spans="1:13" ht="24.75" customHeight="1">
      <c r="A26" s="16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5"/>
    </row>
    <row r="27" spans="1:13" ht="24.75" customHeight="1">
      <c r="A27" s="16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5"/>
    </row>
    <row r="28" spans="1:13" ht="24.75" customHeight="1">
      <c r="A28" s="16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5"/>
    </row>
    <row r="29" spans="1:13" ht="24.75" customHeight="1">
      <c r="A29" s="16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</row>
    <row r="30" spans="1:13" ht="24.75" customHeight="1">
      <c r="A30" s="16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  <row r="31" spans="1:13" ht="24.75" customHeight="1">
      <c r="A31" s="16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</row>
    <row r="32" spans="1:13" ht="24.75" customHeight="1">
      <c r="A32" s="16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</row>
    <row r="33" spans="1:13" ht="24.75" customHeight="1">
      <c r="A33" s="16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</row>
    <row r="34" spans="1:13" ht="24.75" customHeight="1">
      <c r="A34" s="16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</row>
    <row r="35" spans="1:13" ht="24.75" customHeight="1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82"/>
  <sheetViews>
    <sheetView zoomScale="75" zoomScaleNormal="75" workbookViewId="0"/>
  </sheetViews>
  <sheetFormatPr defaultRowHeight="15.75" customHeight="1"/>
  <cols>
    <col min="1" max="1" width="8.28515625" style="22" customWidth="1"/>
    <col min="2" max="8" width="7.28515625" style="22" customWidth="1"/>
    <col min="9" max="9" width="1.28515625" style="22" customWidth="1"/>
    <col min="10" max="16" width="7.28515625" style="22" customWidth="1"/>
    <col min="17" max="17" width="1.28515625" style="22" customWidth="1"/>
    <col min="18" max="18" width="8.28515625" style="22" customWidth="1"/>
    <col min="19" max="16384" width="9.140625" style="22"/>
  </cols>
  <sheetData>
    <row r="1" spans="1:26" ht="15.75" customHeight="1">
      <c r="A1" s="21"/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/>
    </row>
    <row r="2" spans="1:26" ht="15.75" customHeight="1">
      <c r="A2" s="23"/>
      <c r="L2" s="24" t="s">
        <v>0</v>
      </c>
      <c r="M2" s="25"/>
      <c r="N2" s="25" t="str">
        <f>'Job Details'!$C$6</f>
        <v>Bristol City Council</v>
      </c>
      <c r="O2" s="25"/>
      <c r="P2" s="25"/>
      <c r="Q2" s="25"/>
      <c r="R2" s="25"/>
      <c r="S2" s="25"/>
      <c r="T2" s="25"/>
      <c r="U2" s="26"/>
      <c r="V2" s="25"/>
      <c r="W2" s="25"/>
      <c r="X2" s="25"/>
      <c r="Y2" s="25"/>
      <c r="Z2" s="25"/>
    </row>
    <row r="3" spans="1:26" ht="15.75" customHeight="1">
      <c r="A3" s="23"/>
      <c r="L3" s="24" t="s">
        <v>2</v>
      </c>
      <c r="M3" s="25"/>
      <c r="N3" s="25" t="str">
        <f>'Job Details'!$C$7</f>
        <v>WAL-2270 Church Road, Bristol</v>
      </c>
      <c r="O3" s="25"/>
      <c r="P3" s="25"/>
      <c r="Q3" s="25"/>
      <c r="R3" s="25"/>
      <c r="S3" s="25"/>
      <c r="T3" s="25"/>
      <c r="U3" s="26"/>
      <c r="V3" s="25"/>
      <c r="W3" s="25"/>
      <c r="X3" s="25"/>
      <c r="Y3" s="25"/>
      <c r="Z3" s="25"/>
    </row>
    <row r="4" spans="1:26" ht="15.75" customHeight="1">
      <c r="A4" s="23"/>
      <c r="L4" s="24" t="s">
        <v>4</v>
      </c>
      <c r="M4" s="25"/>
      <c r="N4" s="25" t="str">
        <f>'Job Details'!$C$8</f>
        <v>Site 8 - Elton Road (north of Purton Rd)</v>
      </c>
      <c r="O4" s="25"/>
      <c r="P4" s="25"/>
      <c r="Q4" s="25"/>
      <c r="R4" s="25"/>
      <c r="S4" s="25"/>
      <c r="T4" s="25"/>
      <c r="U4" s="26"/>
      <c r="V4" s="25"/>
      <c r="W4" s="24"/>
      <c r="X4" s="25"/>
      <c r="Y4" s="25"/>
      <c r="Z4" s="25"/>
    </row>
    <row r="5" spans="1:26" ht="15.75" customHeight="1">
      <c r="A5" s="23"/>
      <c r="L5" s="24" t="s">
        <v>20</v>
      </c>
      <c r="M5" s="25"/>
      <c r="N5" s="27" t="str">
        <f>'Job Details'!$C$9</f>
        <v>Tuesday 29th September 2015</v>
      </c>
      <c r="O5" s="25"/>
      <c r="P5" s="25"/>
      <c r="Q5" s="25"/>
      <c r="R5" s="25"/>
      <c r="S5" s="25"/>
      <c r="T5" s="25"/>
      <c r="U5" s="26"/>
      <c r="V5" s="25"/>
      <c r="W5" s="24"/>
      <c r="X5" s="25"/>
      <c r="Y5" s="25"/>
      <c r="Z5" s="25"/>
    </row>
    <row r="6" spans="1:26" ht="21.75" customHeight="1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30"/>
    </row>
    <row r="8" spans="1:26" ht="15.75" customHeight="1">
      <c r="A8" s="99" t="s">
        <v>21</v>
      </c>
      <c r="B8" s="25"/>
    </row>
    <row r="9" spans="1:26" ht="15.75" customHeight="1">
      <c r="B9" s="31" t="s">
        <v>22</v>
      </c>
      <c r="C9" s="32"/>
      <c r="D9" s="32" t="s">
        <v>23</v>
      </c>
      <c r="E9" s="32"/>
      <c r="F9" s="32"/>
      <c r="G9" s="119"/>
      <c r="H9" s="33"/>
      <c r="J9" s="31" t="s">
        <v>22</v>
      </c>
      <c r="K9" s="32"/>
      <c r="L9" s="32" t="s">
        <v>24</v>
      </c>
      <c r="M9" s="32"/>
      <c r="N9" s="32"/>
      <c r="O9" s="119"/>
      <c r="P9" s="33"/>
      <c r="R9" s="104" t="s">
        <v>25</v>
      </c>
    </row>
    <row r="10" spans="1:26" s="34" customFormat="1" ht="15.75" customHeight="1">
      <c r="B10" s="35" t="str">
        <f>$J$10</f>
        <v>CAR</v>
      </c>
      <c r="C10" s="36" t="str">
        <f>$K$10</f>
        <v>LGV</v>
      </c>
      <c r="D10" s="36" t="str">
        <f>$L$10</f>
        <v>OGV1</v>
      </c>
      <c r="E10" s="36" t="str">
        <f>$M$10</f>
        <v>OGV2</v>
      </c>
      <c r="F10" s="36" t="str">
        <f>$N$10</f>
        <v>PSV</v>
      </c>
      <c r="G10" s="120" t="str">
        <f>$O$10</f>
        <v>MC</v>
      </c>
      <c r="H10" s="37" t="s">
        <v>26</v>
      </c>
      <c r="J10" s="35" t="s">
        <v>27</v>
      </c>
      <c r="K10" s="36" t="s">
        <v>28</v>
      </c>
      <c r="L10" s="36" t="s">
        <v>29</v>
      </c>
      <c r="M10" s="36" t="s">
        <v>30</v>
      </c>
      <c r="N10" s="36" t="s">
        <v>31</v>
      </c>
      <c r="O10" s="120" t="s">
        <v>32</v>
      </c>
      <c r="P10" s="37" t="s">
        <v>26</v>
      </c>
      <c r="R10" s="105"/>
    </row>
    <row r="12" spans="1:26" ht="15.75" customHeight="1">
      <c r="A12" s="38">
        <v>0.29166666666666669</v>
      </c>
      <c r="B12" s="21">
        <v>4</v>
      </c>
      <c r="C12" s="117">
        <v>1</v>
      </c>
      <c r="D12" s="117">
        <v>0</v>
      </c>
      <c r="E12" s="117">
        <v>0</v>
      </c>
      <c r="F12" s="117">
        <v>0</v>
      </c>
      <c r="G12" s="118">
        <v>0</v>
      </c>
      <c r="H12" s="39">
        <f>SUM(B12:G12)</f>
        <v>5</v>
      </c>
      <c r="J12" s="21">
        <v>2</v>
      </c>
      <c r="K12" s="117">
        <v>0</v>
      </c>
      <c r="L12" s="117">
        <v>0</v>
      </c>
      <c r="M12" s="117">
        <v>0</v>
      </c>
      <c r="N12" s="117">
        <v>0</v>
      </c>
      <c r="O12" s="118">
        <v>0</v>
      </c>
      <c r="P12" s="39">
        <f>SUM(J12:O12)</f>
        <v>2</v>
      </c>
      <c r="R12" s="39">
        <f>SUM(P12+H12)</f>
        <v>7</v>
      </c>
    </row>
    <row r="13" spans="1:26" ht="15.75" customHeight="1">
      <c r="A13" s="40">
        <v>0.30208333333333331</v>
      </c>
      <c r="B13" s="23">
        <v>6</v>
      </c>
      <c r="C13" s="22">
        <v>0</v>
      </c>
      <c r="D13" s="22">
        <v>0</v>
      </c>
      <c r="E13" s="22">
        <v>0</v>
      </c>
      <c r="F13" s="22">
        <v>0</v>
      </c>
      <c r="G13" s="41">
        <v>0</v>
      </c>
      <c r="H13" s="42">
        <f>SUM(B13:G13)</f>
        <v>6</v>
      </c>
      <c r="J13" s="23">
        <v>2</v>
      </c>
      <c r="K13" s="22">
        <v>0</v>
      </c>
      <c r="L13" s="22">
        <v>0</v>
      </c>
      <c r="M13" s="22">
        <v>0</v>
      </c>
      <c r="N13" s="22">
        <v>0</v>
      </c>
      <c r="O13" s="41">
        <v>0</v>
      </c>
      <c r="P13" s="42">
        <f>SUM(J13:O13)</f>
        <v>2</v>
      </c>
      <c r="R13" s="42">
        <f>SUM(P13+H13)</f>
        <v>8</v>
      </c>
    </row>
    <row r="14" spans="1:26" ht="15.75" customHeight="1">
      <c r="A14" s="40">
        <v>0.3125</v>
      </c>
      <c r="B14" s="23">
        <v>6</v>
      </c>
      <c r="C14" s="22">
        <v>2</v>
      </c>
      <c r="D14" s="22">
        <v>0</v>
      </c>
      <c r="E14" s="22">
        <v>0</v>
      </c>
      <c r="F14" s="22">
        <v>0</v>
      </c>
      <c r="G14" s="41">
        <v>0</v>
      </c>
      <c r="H14" s="42">
        <f>SUM(B14:G14)</f>
        <v>8</v>
      </c>
      <c r="J14" s="23">
        <v>2</v>
      </c>
      <c r="K14" s="22">
        <v>0</v>
      </c>
      <c r="L14" s="22">
        <v>0</v>
      </c>
      <c r="M14" s="22">
        <v>0</v>
      </c>
      <c r="N14" s="22">
        <v>0</v>
      </c>
      <c r="O14" s="41">
        <v>0</v>
      </c>
      <c r="P14" s="42">
        <f>SUM(J14:O14)</f>
        <v>2</v>
      </c>
      <c r="R14" s="42">
        <f>SUM(P14+H14)</f>
        <v>10</v>
      </c>
    </row>
    <row r="15" spans="1:26" ht="15.75" customHeight="1">
      <c r="A15" s="43">
        <v>0.32291666666666669</v>
      </c>
      <c r="B15" s="28">
        <v>8</v>
      </c>
      <c r="C15" s="29">
        <v>3</v>
      </c>
      <c r="D15" s="29">
        <v>0</v>
      </c>
      <c r="E15" s="29">
        <v>0</v>
      </c>
      <c r="F15" s="29">
        <v>0</v>
      </c>
      <c r="G15" s="30">
        <v>0</v>
      </c>
      <c r="H15" s="44">
        <f>SUM(B15:G15)</f>
        <v>11</v>
      </c>
      <c r="J15" s="28">
        <v>1</v>
      </c>
      <c r="K15" s="29">
        <v>0</v>
      </c>
      <c r="L15" s="29">
        <v>0</v>
      </c>
      <c r="M15" s="29">
        <v>0</v>
      </c>
      <c r="N15" s="29">
        <v>0</v>
      </c>
      <c r="O15" s="30">
        <v>0</v>
      </c>
      <c r="P15" s="44">
        <f>SUM(J15:O15)</f>
        <v>1</v>
      </c>
      <c r="R15" s="44">
        <f>SUM(P15+H15)</f>
        <v>12</v>
      </c>
    </row>
    <row r="16" spans="1:26" ht="15.75" customHeight="1">
      <c r="A16" s="33" t="s">
        <v>33</v>
      </c>
      <c r="B16" s="31">
        <f>SUM(B12:B15)</f>
        <v>24</v>
      </c>
      <c r="C16" s="32">
        <f t="shared" ref="C16:G16" si="0">SUM(C12:C15)</f>
        <v>6</v>
      </c>
      <c r="D16" s="32">
        <f t="shared" si="0"/>
        <v>0</v>
      </c>
      <c r="E16" s="32">
        <f t="shared" si="0"/>
        <v>0</v>
      </c>
      <c r="F16" s="32">
        <f t="shared" si="0"/>
        <v>0</v>
      </c>
      <c r="G16" s="119">
        <f t="shared" si="0"/>
        <v>0</v>
      </c>
      <c r="H16" s="33">
        <f>SUM(H12:H15)</f>
        <v>30</v>
      </c>
      <c r="J16" s="31">
        <f t="shared" ref="J16:O16" si="1">SUM(J12:J15)</f>
        <v>7</v>
      </c>
      <c r="K16" s="32">
        <f t="shared" si="1"/>
        <v>0</v>
      </c>
      <c r="L16" s="32">
        <f t="shared" si="1"/>
        <v>0</v>
      </c>
      <c r="M16" s="32">
        <f t="shared" si="1"/>
        <v>0</v>
      </c>
      <c r="N16" s="32">
        <f t="shared" si="1"/>
        <v>0</v>
      </c>
      <c r="O16" s="119">
        <f t="shared" si="1"/>
        <v>0</v>
      </c>
      <c r="P16" s="33">
        <f t="shared" ref="P16" si="2">SUM(P12:P15)</f>
        <v>7</v>
      </c>
      <c r="R16" s="33">
        <f>SUM(R12:R15)</f>
        <v>37</v>
      </c>
    </row>
    <row r="17" spans="1:18" ht="15.75" customHeight="1">
      <c r="A17" s="38">
        <v>0.33333333333333331</v>
      </c>
      <c r="B17" s="21">
        <v>10</v>
      </c>
      <c r="C17" s="117">
        <v>0</v>
      </c>
      <c r="D17" s="117">
        <v>0</v>
      </c>
      <c r="E17" s="117">
        <v>0</v>
      </c>
      <c r="F17" s="117">
        <v>0</v>
      </c>
      <c r="G17" s="118">
        <v>0</v>
      </c>
      <c r="H17" s="39">
        <f t="shared" ref="H17:H20" si="3">SUM(B17:G17)</f>
        <v>10</v>
      </c>
      <c r="J17" s="21">
        <v>2</v>
      </c>
      <c r="K17" s="117">
        <v>0</v>
      </c>
      <c r="L17" s="117">
        <v>0</v>
      </c>
      <c r="M17" s="117">
        <v>0</v>
      </c>
      <c r="N17" s="117">
        <v>0</v>
      </c>
      <c r="O17" s="118">
        <v>0</v>
      </c>
      <c r="P17" s="39">
        <f>SUM(J17:O17)</f>
        <v>2</v>
      </c>
      <c r="R17" s="39">
        <f>SUM(P17+H17)</f>
        <v>12</v>
      </c>
    </row>
    <row r="18" spans="1:18" ht="15.75" customHeight="1">
      <c r="A18" s="40">
        <v>0.34375</v>
      </c>
      <c r="B18" s="23">
        <v>4</v>
      </c>
      <c r="C18" s="22">
        <v>0</v>
      </c>
      <c r="D18" s="22">
        <v>0</v>
      </c>
      <c r="E18" s="22">
        <v>0</v>
      </c>
      <c r="F18" s="22">
        <v>0</v>
      </c>
      <c r="G18" s="41">
        <v>1</v>
      </c>
      <c r="H18" s="42">
        <f t="shared" si="3"/>
        <v>5</v>
      </c>
      <c r="J18" s="23">
        <v>0</v>
      </c>
      <c r="K18" s="22">
        <v>0</v>
      </c>
      <c r="L18" s="22">
        <v>0</v>
      </c>
      <c r="M18" s="22">
        <v>0</v>
      </c>
      <c r="N18" s="22">
        <v>0</v>
      </c>
      <c r="O18" s="41">
        <v>0</v>
      </c>
      <c r="P18" s="42">
        <f>SUM(J18:O18)</f>
        <v>0</v>
      </c>
      <c r="R18" s="42">
        <f>SUM(P18+H18)</f>
        <v>5</v>
      </c>
    </row>
    <row r="19" spans="1:18" ht="15.75" customHeight="1">
      <c r="A19" s="40">
        <v>0.35416666666666669</v>
      </c>
      <c r="B19" s="23">
        <v>11</v>
      </c>
      <c r="C19" s="22">
        <v>2</v>
      </c>
      <c r="D19" s="22">
        <v>0</v>
      </c>
      <c r="E19" s="22">
        <v>0</v>
      </c>
      <c r="F19" s="22">
        <v>0</v>
      </c>
      <c r="G19" s="41">
        <v>0</v>
      </c>
      <c r="H19" s="42">
        <f t="shared" si="3"/>
        <v>13</v>
      </c>
      <c r="J19" s="23">
        <v>5</v>
      </c>
      <c r="K19" s="22">
        <v>0</v>
      </c>
      <c r="L19" s="22">
        <v>0</v>
      </c>
      <c r="M19" s="22">
        <v>0</v>
      </c>
      <c r="N19" s="22">
        <v>0</v>
      </c>
      <c r="O19" s="41">
        <v>0</v>
      </c>
      <c r="P19" s="42">
        <f>SUM(J19:O19)</f>
        <v>5</v>
      </c>
      <c r="R19" s="42">
        <f>SUM(P19+H19)</f>
        <v>18</v>
      </c>
    </row>
    <row r="20" spans="1:18" ht="15.75" customHeight="1">
      <c r="A20" s="43">
        <v>0.36458333333333331</v>
      </c>
      <c r="B20" s="28">
        <v>7</v>
      </c>
      <c r="C20" s="29">
        <v>1</v>
      </c>
      <c r="D20" s="29">
        <v>0</v>
      </c>
      <c r="E20" s="29">
        <v>0</v>
      </c>
      <c r="F20" s="29">
        <v>0</v>
      </c>
      <c r="G20" s="30">
        <v>0</v>
      </c>
      <c r="H20" s="44">
        <f t="shared" si="3"/>
        <v>8</v>
      </c>
      <c r="J20" s="28">
        <v>5</v>
      </c>
      <c r="K20" s="29">
        <v>0</v>
      </c>
      <c r="L20" s="29">
        <v>0</v>
      </c>
      <c r="M20" s="29">
        <v>0</v>
      </c>
      <c r="N20" s="29">
        <v>0</v>
      </c>
      <c r="O20" s="30">
        <v>0</v>
      </c>
      <c r="P20" s="44">
        <f>SUM(J20:O20)</f>
        <v>5</v>
      </c>
      <c r="R20" s="44">
        <f>SUM(P20+H20)</f>
        <v>13</v>
      </c>
    </row>
    <row r="21" spans="1:18" ht="15.75" customHeight="1">
      <c r="A21" s="33" t="s">
        <v>33</v>
      </c>
      <c r="B21" s="31">
        <f>SUM(B17:B20)</f>
        <v>32</v>
      </c>
      <c r="C21" s="32">
        <f t="shared" ref="C21:G21" si="4">SUM(C17:C20)</f>
        <v>3</v>
      </c>
      <c r="D21" s="32">
        <f t="shared" si="4"/>
        <v>0</v>
      </c>
      <c r="E21" s="32">
        <f t="shared" si="4"/>
        <v>0</v>
      </c>
      <c r="F21" s="32">
        <f t="shared" si="4"/>
        <v>0</v>
      </c>
      <c r="G21" s="119">
        <f t="shared" si="4"/>
        <v>1</v>
      </c>
      <c r="H21" s="33">
        <f t="shared" ref="H21" si="5">SUM(H17:H20)</f>
        <v>36</v>
      </c>
      <c r="J21" s="31">
        <f t="shared" ref="J21:O21" si="6">SUM(J17:J20)</f>
        <v>12</v>
      </c>
      <c r="K21" s="32">
        <f t="shared" si="6"/>
        <v>0</v>
      </c>
      <c r="L21" s="32">
        <f t="shared" si="6"/>
        <v>0</v>
      </c>
      <c r="M21" s="32">
        <f t="shared" si="6"/>
        <v>0</v>
      </c>
      <c r="N21" s="32">
        <f t="shared" si="6"/>
        <v>0</v>
      </c>
      <c r="O21" s="119">
        <f t="shared" si="6"/>
        <v>0</v>
      </c>
      <c r="P21" s="33">
        <f t="shared" ref="P21" si="7">SUM(P17:P20)</f>
        <v>12</v>
      </c>
      <c r="R21" s="33">
        <f>SUM(R17:R20)</f>
        <v>48</v>
      </c>
    </row>
    <row r="22" spans="1:18" ht="15.75" customHeight="1">
      <c r="A22" s="38">
        <v>0.375</v>
      </c>
      <c r="B22" s="21">
        <v>11</v>
      </c>
      <c r="C22" s="117">
        <v>1</v>
      </c>
      <c r="D22" s="117">
        <v>0</v>
      </c>
      <c r="E22" s="117">
        <v>0</v>
      </c>
      <c r="F22" s="117">
        <v>0</v>
      </c>
      <c r="G22" s="118">
        <v>0</v>
      </c>
      <c r="H22" s="39">
        <f t="shared" ref="H22:H25" si="8">SUM(B22:G22)</f>
        <v>12</v>
      </c>
      <c r="J22" s="21">
        <v>4</v>
      </c>
      <c r="K22" s="117">
        <v>1</v>
      </c>
      <c r="L22" s="117">
        <v>0</v>
      </c>
      <c r="M22" s="117">
        <v>0</v>
      </c>
      <c r="N22" s="117">
        <v>0</v>
      </c>
      <c r="O22" s="118">
        <v>0</v>
      </c>
      <c r="P22" s="39">
        <f>SUM(J22:O22)</f>
        <v>5</v>
      </c>
      <c r="R22" s="39">
        <f>SUM(P22+H22)</f>
        <v>17</v>
      </c>
    </row>
    <row r="23" spans="1:18" ht="15.75" customHeight="1">
      <c r="A23" s="40">
        <v>0.38541666666666669</v>
      </c>
      <c r="B23" s="23">
        <v>11</v>
      </c>
      <c r="C23" s="22">
        <v>3</v>
      </c>
      <c r="D23" s="22">
        <v>0</v>
      </c>
      <c r="E23" s="22">
        <v>0</v>
      </c>
      <c r="F23" s="22">
        <v>0</v>
      </c>
      <c r="G23" s="41">
        <v>0</v>
      </c>
      <c r="H23" s="42">
        <f t="shared" si="8"/>
        <v>14</v>
      </c>
      <c r="J23" s="23">
        <v>3</v>
      </c>
      <c r="K23" s="22">
        <v>0</v>
      </c>
      <c r="L23" s="22">
        <v>0</v>
      </c>
      <c r="M23" s="22">
        <v>0</v>
      </c>
      <c r="N23" s="22">
        <v>0</v>
      </c>
      <c r="O23" s="41">
        <v>0</v>
      </c>
      <c r="P23" s="42">
        <f>SUM(J23:O23)</f>
        <v>3</v>
      </c>
      <c r="R23" s="42">
        <f>SUM(P23+H23)</f>
        <v>17</v>
      </c>
    </row>
    <row r="24" spans="1:18" ht="15.75" customHeight="1">
      <c r="A24" s="40">
        <v>0.39583333333333331</v>
      </c>
      <c r="B24" s="23">
        <v>7</v>
      </c>
      <c r="C24" s="22">
        <v>2</v>
      </c>
      <c r="D24" s="22">
        <v>0</v>
      </c>
      <c r="E24" s="22">
        <v>0</v>
      </c>
      <c r="F24" s="22">
        <v>0</v>
      </c>
      <c r="G24" s="41">
        <v>0</v>
      </c>
      <c r="H24" s="42">
        <f t="shared" si="8"/>
        <v>9</v>
      </c>
      <c r="J24" s="23">
        <v>0</v>
      </c>
      <c r="K24" s="22">
        <v>0</v>
      </c>
      <c r="L24" s="22">
        <v>0</v>
      </c>
      <c r="M24" s="22">
        <v>0</v>
      </c>
      <c r="N24" s="22">
        <v>0</v>
      </c>
      <c r="O24" s="41">
        <v>0</v>
      </c>
      <c r="P24" s="42">
        <f>SUM(J24:O24)</f>
        <v>0</v>
      </c>
      <c r="R24" s="42">
        <f>SUM(P24+H24)</f>
        <v>9</v>
      </c>
    </row>
    <row r="25" spans="1:18" ht="15.75" customHeight="1">
      <c r="A25" s="43">
        <v>0.40625</v>
      </c>
      <c r="B25" s="28">
        <v>8</v>
      </c>
      <c r="C25" s="29">
        <v>1</v>
      </c>
      <c r="D25" s="29">
        <v>0</v>
      </c>
      <c r="E25" s="29">
        <v>0</v>
      </c>
      <c r="F25" s="29">
        <v>0</v>
      </c>
      <c r="G25" s="30">
        <v>0</v>
      </c>
      <c r="H25" s="44">
        <f t="shared" si="8"/>
        <v>9</v>
      </c>
      <c r="J25" s="28">
        <v>0</v>
      </c>
      <c r="K25" s="29">
        <v>1</v>
      </c>
      <c r="L25" s="29">
        <v>0</v>
      </c>
      <c r="M25" s="29">
        <v>0</v>
      </c>
      <c r="N25" s="29">
        <v>0</v>
      </c>
      <c r="O25" s="30">
        <v>0</v>
      </c>
      <c r="P25" s="44">
        <f>SUM(J25:O25)</f>
        <v>1</v>
      </c>
      <c r="R25" s="44">
        <f>SUM(P25+H25)</f>
        <v>10</v>
      </c>
    </row>
    <row r="26" spans="1:18" ht="15.75" customHeight="1">
      <c r="A26" s="33" t="s">
        <v>33</v>
      </c>
      <c r="B26" s="31">
        <f>SUM(B22:B25)</f>
        <v>37</v>
      </c>
      <c r="C26" s="32">
        <f t="shared" ref="C26:G26" si="9">SUM(C22:C25)</f>
        <v>7</v>
      </c>
      <c r="D26" s="32">
        <f t="shared" si="9"/>
        <v>0</v>
      </c>
      <c r="E26" s="32">
        <f t="shared" si="9"/>
        <v>0</v>
      </c>
      <c r="F26" s="32">
        <f t="shared" si="9"/>
        <v>0</v>
      </c>
      <c r="G26" s="119">
        <f t="shared" si="9"/>
        <v>0</v>
      </c>
      <c r="H26" s="33">
        <f t="shared" ref="H26" si="10">SUM(H22:H25)</f>
        <v>44</v>
      </c>
      <c r="J26" s="31">
        <f t="shared" ref="J26:O26" si="11">SUM(J22:J25)</f>
        <v>7</v>
      </c>
      <c r="K26" s="32">
        <f t="shared" si="11"/>
        <v>2</v>
      </c>
      <c r="L26" s="32">
        <f t="shared" si="11"/>
        <v>0</v>
      </c>
      <c r="M26" s="32">
        <f t="shared" si="11"/>
        <v>0</v>
      </c>
      <c r="N26" s="32">
        <f t="shared" si="11"/>
        <v>0</v>
      </c>
      <c r="O26" s="119">
        <f t="shared" si="11"/>
        <v>0</v>
      </c>
      <c r="P26" s="33">
        <f t="shared" ref="P26" si="12">SUM(P22:P25)</f>
        <v>9</v>
      </c>
      <c r="R26" s="33">
        <f>SUM(R22:R25)</f>
        <v>53</v>
      </c>
    </row>
    <row r="27" spans="1:18" ht="15.75" customHeight="1">
      <c r="A27" s="38">
        <v>0.41666666666666669</v>
      </c>
      <c r="B27" s="21">
        <v>4</v>
      </c>
      <c r="C27" s="117">
        <v>2</v>
      </c>
      <c r="D27" s="117">
        <v>0</v>
      </c>
      <c r="E27" s="117">
        <v>0</v>
      </c>
      <c r="F27" s="117">
        <v>0</v>
      </c>
      <c r="G27" s="118">
        <v>0</v>
      </c>
      <c r="H27" s="39">
        <f t="shared" ref="H27:H30" si="13">SUM(B27:G27)</f>
        <v>6</v>
      </c>
      <c r="J27" s="21">
        <v>1</v>
      </c>
      <c r="K27" s="117">
        <v>0</v>
      </c>
      <c r="L27" s="117">
        <v>0</v>
      </c>
      <c r="M27" s="117">
        <v>0</v>
      </c>
      <c r="N27" s="117">
        <v>0</v>
      </c>
      <c r="O27" s="118">
        <v>0</v>
      </c>
      <c r="P27" s="39">
        <f>SUM(J27:O27)</f>
        <v>1</v>
      </c>
      <c r="R27" s="39">
        <f>SUM(P27+H27)</f>
        <v>7</v>
      </c>
    </row>
    <row r="28" spans="1:18" ht="15.75" customHeight="1">
      <c r="A28" s="40">
        <v>0.42708333333333331</v>
      </c>
      <c r="B28" s="23">
        <v>6</v>
      </c>
      <c r="C28" s="22">
        <v>2</v>
      </c>
      <c r="D28" s="22">
        <v>0</v>
      </c>
      <c r="E28" s="22">
        <v>0</v>
      </c>
      <c r="F28" s="22">
        <v>0</v>
      </c>
      <c r="G28" s="41">
        <v>0</v>
      </c>
      <c r="H28" s="42">
        <f t="shared" si="13"/>
        <v>8</v>
      </c>
      <c r="J28" s="23">
        <v>2</v>
      </c>
      <c r="K28" s="22">
        <v>0</v>
      </c>
      <c r="L28" s="22">
        <v>0</v>
      </c>
      <c r="M28" s="22">
        <v>0</v>
      </c>
      <c r="N28" s="22">
        <v>0</v>
      </c>
      <c r="O28" s="41">
        <v>0</v>
      </c>
      <c r="P28" s="42">
        <f>SUM(J28:O28)</f>
        <v>2</v>
      </c>
      <c r="R28" s="42">
        <f>SUM(P28+H28)</f>
        <v>10</v>
      </c>
    </row>
    <row r="29" spans="1:18" ht="15.75" customHeight="1">
      <c r="A29" s="40">
        <v>0.4375</v>
      </c>
      <c r="B29" s="23">
        <v>2</v>
      </c>
      <c r="C29" s="22">
        <v>0</v>
      </c>
      <c r="D29" s="22">
        <v>0</v>
      </c>
      <c r="E29" s="22">
        <v>0</v>
      </c>
      <c r="F29" s="22">
        <v>0</v>
      </c>
      <c r="G29" s="41">
        <v>0</v>
      </c>
      <c r="H29" s="42">
        <f t="shared" si="13"/>
        <v>2</v>
      </c>
      <c r="J29" s="23">
        <v>0</v>
      </c>
      <c r="K29" s="22">
        <v>0</v>
      </c>
      <c r="L29" s="22">
        <v>0</v>
      </c>
      <c r="M29" s="22">
        <v>0</v>
      </c>
      <c r="N29" s="22">
        <v>0</v>
      </c>
      <c r="O29" s="41">
        <v>0</v>
      </c>
      <c r="P29" s="42">
        <f>SUM(J29:O29)</f>
        <v>0</v>
      </c>
      <c r="R29" s="42">
        <f>SUM(P29+H29)</f>
        <v>2</v>
      </c>
    </row>
    <row r="30" spans="1:18" ht="15.75" customHeight="1">
      <c r="A30" s="43">
        <v>0.44791666666666669</v>
      </c>
      <c r="B30" s="28">
        <v>5</v>
      </c>
      <c r="C30" s="29">
        <v>2</v>
      </c>
      <c r="D30" s="29">
        <v>0</v>
      </c>
      <c r="E30" s="29">
        <v>0</v>
      </c>
      <c r="F30" s="29">
        <v>0</v>
      </c>
      <c r="G30" s="30">
        <v>0</v>
      </c>
      <c r="H30" s="44">
        <f t="shared" si="13"/>
        <v>7</v>
      </c>
      <c r="J30" s="28">
        <v>1</v>
      </c>
      <c r="K30" s="29">
        <v>0</v>
      </c>
      <c r="L30" s="29">
        <v>0</v>
      </c>
      <c r="M30" s="29">
        <v>0</v>
      </c>
      <c r="N30" s="29">
        <v>0</v>
      </c>
      <c r="O30" s="30">
        <v>0</v>
      </c>
      <c r="P30" s="44">
        <f>SUM(J30:O30)</f>
        <v>1</v>
      </c>
      <c r="R30" s="44">
        <f>SUM(P30+H30)</f>
        <v>8</v>
      </c>
    </row>
    <row r="31" spans="1:18" ht="15.75" customHeight="1">
      <c r="A31" s="33" t="s">
        <v>33</v>
      </c>
      <c r="B31" s="31">
        <f>SUM(B27:B30)</f>
        <v>17</v>
      </c>
      <c r="C31" s="32">
        <f t="shared" ref="C31:G31" si="14">SUM(C27:C30)</f>
        <v>6</v>
      </c>
      <c r="D31" s="32">
        <f t="shared" si="14"/>
        <v>0</v>
      </c>
      <c r="E31" s="32">
        <f t="shared" si="14"/>
        <v>0</v>
      </c>
      <c r="F31" s="32">
        <f t="shared" si="14"/>
        <v>0</v>
      </c>
      <c r="G31" s="119">
        <f t="shared" si="14"/>
        <v>0</v>
      </c>
      <c r="H31" s="33">
        <f t="shared" ref="H31" si="15">SUM(H27:H30)</f>
        <v>23</v>
      </c>
      <c r="J31" s="31">
        <f t="shared" ref="J31:O31" si="16">SUM(J27:J30)</f>
        <v>4</v>
      </c>
      <c r="K31" s="32">
        <f t="shared" si="16"/>
        <v>0</v>
      </c>
      <c r="L31" s="32">
        <f t="shared" si="16"/>
        <v>0</v>
      </c>
      <c r="M31" s="32">
        <f t="shared" si="16"/>
        <v>0</v>
      </c>
      <c r="N31" s="32">
        <f t="shared" si="16"/>
        <v>0</v>
      </c>
      <c r="O31" s="119">
        <f t="shared" si="16"/>
        <v>0</v>
      </c>
      <c r="P31" s="33">
        <f t="shared" ref="P31" si="17">SUM(P27:P30)</f>
        <v>4</v>
      </c>
      <c r="R31" s="33">
        <f>SUM(R27:R30)</f>
        <v>27</v>
      </c>
    </row>
    <row r="32" spans="1:18" ht="15.75" customHeight="1">
      <c r="A32" s="38">
        <v>0.45833333333333331</v>
      </c>
      <c r="B32" s="21">
        <v>9</v>
      </c>
      <c r="C32" s="117">
        <v>4</v>
      </c>
      <c r="D32" s="117">
        <v>0</v>
      </c>
      <c r="E32" s="117">
        <v>0</v>
      </c>
      <c r="F32" s="117">
        <v>0</v>
      </c>
      <c r="G32" s="118">
        <v>0</v>
      </c>
      <c r="H32" s="39">
        <f t="shared" ref="H32:H35" si="18">SUM(B32:G32)</f>
        <v>13</v>
      </c>
      <c r="J32" s="21">
        <v>1</v>
      </c>
      <c r="K32" s="117">
        <v>0</v>
      </c>
      <c r="L32" s="117">
        <v>0</v>
      </c>
      <c r="M32" s="117">
        <v>0</v>
      </c>
      <c r="N32" s="117">
        <v>0</v>
      </c>
      <c r="O32" s="118">
        <v>0</v>
      </c>
      <c r="P32" s="39">
        <f>SUM(J32:O32)</f>
        <v>1</v>
      </c>
      <c r="R32" s="39">
        <f>SUM(P32+H32)</f>
        <v>14</v>
      </c>
    </row>
    <row r="33" spans="1:18" ht="15.75" customHeight="1">
      <c r="A33" s="40">
        <v>0.46875</v>
      </c>
      <c r="B33" s="23">
        <v>10</v>
      </c>
      <c r="C33" s="22">
        <v>0</v>
      </c>
      <c r="D33" s="22">
        <v>0</v>
      </c>
      <c r="E33" s="22">
        <v>0</v>
      </c>
      <c r="F33" s="22">
        <v>0</v>
      </c>
      <c r="G33" s="41">
        <v>0</v>
      </c>
      <c r="H33" s="42">
        <f t="shared" si="18"/>
        <v>10</v>
      </c>
      <c r="J33" s="23">
        <v>0</v>
      </c>
      <c r="K33" s="22">
        <v>0</v>
      </c>
      <c r="L33" s="22">
        <v>0</v>
      </c>
      <c r="M33" s="22">
        <v>0</v>
      </c>
      <c r="N33" s="22">
        <v>0</v>
      </c>
      <c r="O33" s="41">
        <v>0</v>
      </c>
      <c r="P33" s="42">
        <f>SUM(J33:O33)</f>
        <v>0</v>
      </c>
      <c r="R33" s="42">
        <f>SUM(P33+H33)</f>
        <v>10</v>
      </c>
    </row>
    <row r="34" spans="1:18" ht="15.75" customHeight="1">
      <c r="A34" s="40">
        <v>0.47916666666666669</v>
      </c>
      <c r="B34" s="23">
        <v>9</v>
      </c>
      <c r="C34" s="22">
        <v>0</v>
      </c>
      <c r="D34" s="22">
        <v>0</v>
      </c>
      <c r="E34" s="22">
        <v>0</v>
      </c>
      <c r="F34" s="22">
        <v>0</v>
      </c>
      <c r="G34" s="41">
        <v>0</v>
      </c>
      <c r="H34" s="42">
        <f t="shared" si="18"/>
        <v>9</v>
      </c>
      <c r="J34" s="23">
        <v>1</v>
      </c>
      <c r="K34" s="22">
        <v>0</v>
      </c>
      <c r="L34" s="22">
        <v>0</v>
      </c>
      <c r="M34" s="22">
        <v>0</v>
      </c>
      <c r="N34" s="22">
        <v>0</v>
      </c>
      <c r="O34" s="41">
        <v>0</v>
      </c>
      <c r="P34" s="42">
        <f>SUM(J34:O34)</f>
        <v>1</v>
      </c>
      <c r="R34" s="42">
        <f>SUM(P34+H34)</f>
        <v>10</v>
      </c>
    </row>
    <row r="35" spans="1:18" ht="15.75" customHeight="1">
      <c r="A35" s="43">
        <v>0.48958333333333331</v>
      </c>
      <c r="B35" s="28">
        <v>6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44">
        <f t="shared" si="18"/>
        <v>6</v>
      </c>
      <c r="J35" s="28">
        <v>1</v>
      </c>
      <c r="K35" s="29">
        <v>0</v>
      </c>
      <c r="L35" s="29">
        <v>0</v>
      </c>
      <c r="M35" s="29">
        <v>0</v>
      </c>
      <c r="N35" s="29">
        <v>0</v>
      </c>
      <c r="O35" s="30">
        <v>0</v>
      </c>
      <c r="P35" s="44">
        <f>SUM(J35:O35)</f>
        <v>1</v>
      </c>
      <c r="R35" s="44">
        <f>SUM(P35+H35)</f>
        <v>7</v>
      </c>
    </row>
    <row r="36" spans="1:18" ht="15.75" customHeight="1">
      <c r="A36" s="33" t="s">
        <v>33</v>
      </c>
      <c r="B36" s="31">
        <f>SUM(B32:B35)</f>
        <v>34</v>
      </c>
      <c r="C36" s="32">
        <f t="shared" ref="C36:G36" si="19">SUM(C32:C35)</f>
        <v>4</v>
      </c>
      <c r="D36" s="32">
        <f t="shared" si="19"/>
        <v>0</v>
      </c>
      <c r="E36" s="32">
        <f t="shared" si="19"/>
        <v>0</v>
      </c>
      <c r="F36" s="32">
        <f t="shared" si="19"/>
        <v>0</v>
      </c>
      <c r="G36" s="119">
        <f t="shared" si="19"/>
        <v>0</v>
      </c>
      <c r="H36" s="33">
        <f t="shared" ref="H36" si="20">SUM(H32:H35)</f>
        <v>38</v>
      </c>
      <c r="J36" s="31">
        <f t="shared" ref="J36:O36" si="21">SUM(J32:J35)</f>
        <v>3</v>
      </c>
      <c r="K36" s="32">
        <f t="shared" si="21"/>
        <v>0</v>
      </c>
      <c r="L36" s="32">
        <f t="shared" si="21"/>
        <v>0</v>
      </c>
      <c r="M36" s="32">
        <f t="shared" si="21"/>
        <v>0</v>
      </c>
      <c r="N36" s="32">
        <f t="shared" si="21"/>
        <v>0</v>
      </c>
      <c r="O36" s="119">
        <f t="shared" si="21"/>
        <v>0</v>
      </c>
      <c r="P36" s="33">
        <f t="shared" ref="P36" si="22">SUM(P32:P35)</f>
        <v>3</v>
      </c>
      <c r="R36" s="33">
        <f>SUM(R32:R35)</f>
        <v>41</v>
      </c>
    </row>
    <row r="37" spans="1:18" ht="15.75" customHeight="1">
      <c r="A37" s="38">
        <v>0.5</v>
      </c>
      <c r="B37" s="21">
        <v>11</v>
      </c>
      <c r="C37" s="117">
        <v>2</v>
      </c>
      <c r="D37" s="117">
        <v>0</v>
      </c>
      <c r="E37" s="117">
        <v>0</v>
      </c>
      <c r="F37" s="117">
        <v>0</v>
      </c>
      <c r="G37" s="118">
        <v>0</v>
      </c>
      <c r="H37" s="39">
        <f t="shared" ref="H37:H39" si="23">SUM(B37:G37)</f>
        <v>13</v>
      </c>
      <c r="J37" s="21">
        <v>0</v>
      </c>
      <c r="K37" s="117">
        <v>0</v>
      </c>
      <c r="L37" s="117">
        <v>0</v>
      </c>
      <c r="M37" s="117">
        <v>0</v>
      </c>
      <c r="N37" s="117">
        <v>0</v>
      </c>
      <c r="O37" s="118">
        <v>0</v>
      </c>
      <c r="P37" s="39">
        <f>SUM(J37:O37)</f>
        <v>0</v>
      </c>
      <c r="R37" s="39">
        <f>SUM(P37+H37)</f>
        <v>13</v>
      </c>
    </row>
    <row r="38" spans="1:18" ht="15.75" customHeight="1">
      <c r="A38" s="40">
        <v>0.51041666666666663</v>
      </c>
      <c r="B38" s="23">
        <v>5</v>
      </c>
      <c r="C38" s="22">
        <v>1</v>
      </c>
      <c r="D38" s="22">
        <v>0</v>
      </c>
      <c r="E38" s="22">
        <v>0</v>
      </c>
      <c r="F38" s="22">
        <v>0</v>
      </c>
      <c r="G38" s="41">
        <v>0</v>
      </c>
      <c r="H38" s="42">
        <f t="shared" si="23"/>
        <v>6</v>
      </c>
      <c r="J38" s="23">
        <v>0</v>
      </c>
      <c r="K38" s="22">
        <v>1</v>
      </c>
      <c r="L38" s="22">
        <v>0</v>
      </c>
      <c r="M38" s="22">
        <v>0</v>
      </c>
      <c r="N38" s="22">
        <v>0</v>
      </c>
      <c r="O38" s="41">
        <v>0</v>
      </c>
      <c r="P38" s="42">
        <f>SUM(J38:O38)</f>
        <v>1</v>
      </c>
      <c r="R38" s="42">
        <f>SUM(P38+H38)</f>
        <v>7</v>
      </c>
    </row>
    <row r="39" spans="1:18" ht="15.75" customHeight="1">
      <c r="A39" s="40">
        <v>0.52083333333333337</v>
      </c>
      <c r="B39" s="23">
        <v>12</v>
      </c>
      <c r="C39" s="22">
        <v>4</v>
      </c>
      <c r="D39" s="22">
        <v>1</v>
      </c>
      <c r="E39" s="22">
        <v>0</v>
      </c>
      <c r="F39" s="22">
        <v>0</v>
      </c>
      <c r="G39" s="41">
        <v>0</v>
      </c>
      <c r="H39" s="42">
        <f t="shared" si="23"/>
        <v>17</v>
      </c>
      <c r="J39" s="23">
        <v>2</v>
      </c>
      <c r="K39" s="22">
        <v>0</v>
      </c>
      <c r="L39" s="22">
        <v>0</v>
      </c>
      <c r="M39" s="22">
        <v>0</v>
      </c>
      <c r="N39" s="22">
        <v>0</v>
      </c>
      <c r="O39" s="41">
        <v>0</v>
      </c>
      <c r="P39" s="42">
        <f>SUM(J39:O39)</f>
        <v>2</v>
      </c>
      <c r="R39" s="42">
        <f>SUM(P39+H39)</f>
        <v>19</v>
      </c>
    </row>
    <row r="40" spans="1:18" ht="15.75" customHeight="1">
      <c r="A40" s="43">
        <v>0.53125</v>
      </c>
      <c r="B40" s="28">
        <v>10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44">
        <f>SUM(B40:G40)</f>
        <v>10</v>
      </c>
      <c r="J40" s="28">
        <v>2</v>
      </c>
      <c r="K40" s="29">
        <v>0</v>
      </c>
      <c r="L40" s="29">
        <v>0</v>
      </c>
      <c r="M40" s="29">
        <v>0</v>
      </c>
      <c r="N40" s="29">
        <v>0</v>
      </c>
      <c r="O40" s="30">
        <v>0</v>
      </c>
      <c r="P40" s="44">
        <f>SUM(J40:O40)</f>
        <v>2</v>
      </c>
      <c r="R40" s="44">
        <f>SUM(P40+H40)</f>
        <v>12</v>
      </c>
    </row>
    <row r="41" spans="1:18" ht="15.75" customHeight="1">
      <c r="A41" s="33" t="s">
        <v>33</v>
      </c>
      <c r="B41" s="31">
        <f>SUM(B37:B40)</f>
        <v>38</v>
      </c>
      <c r="C41" s="32">
        <f t="shared" ref="C41:G41" si="24">SUM(C37:C40)</f>
        <v>7</v>
      </c>
      <c r="D41" s="32">
        <f t="shared" si="24"/>
        <v>1</v>
      </c>
      <c r="E41" s="32">
        <f t="shared" si="24"/>
        <v>0</v>
      </c>
      <c r="F41" s="32">
        <f t="shared" si="24"/>
        <v>0</v>
      </c>
      <c r="G41" s="119">
        <f t="shared" si="24"/>
        <v>0</v>
      </c>
      <c r="H41" s="33">
        <f>SUM(H37:H40)</f>
        <v>46</v>
      </c>
      <c r="J41" s="31">
        <f t="shared" ref="J41:O41" si="25">SUM(J37:J40)</f>
        <v>4</v>
      </c>
      <c r="K41" s="32">
        <f t="shared" si="25"/>
        <v>1</v>
      </c>
      <c r="L41" s="32">
        <f t="shared" si="25"/>
        <v>0</v>
      </c>
      <c r="M41" s="32">
        <f t="shared" si="25"/>
        <v>0</v>
      </c>
      <c r="N41" s="32">
        <f t="shared" si="25"/>
        <v>0</v>
      </c>
      <c r="O41" s="119">
        <f t="shared" si="25"/>
        <v>0</v>
      </c>
      <c r="P41" s="33">
        <f t="shared" ref="P41" si="26">SUM(P37:P40)</f>
        <v>5</v>
      </c>
      <c r="R41" s="33">
        <f>SUM(R37:R40)</f>
        <v>51</v>
      </c>
    </row>
    <row r="43" spans="1:18" ht="15.75" customHeight="1">
      <c r="A43" s="33" t="s">
        <v>34</v>
      </c>
      <c r="B43" s="31">
        <f>SUM(B41+B36+B31+B26+B21+B16)</f>
        <v>182</v>
      </c>
      <c r="C43" s="32">
        <f t="shared" ref="C43:H43" si="27">SUM(C41+C36+C31+C26+C21+C16)</f>
        <v>33</v>
      </c>
      <c r="D43" s="32">
        <f t="shared" si="27"/>
        <v>1</v>
      </c>
      <c r="E43" s="32">
        <f t="shared" si="27"/>
        <v>0</v>
      </c>
      <c r="F43" s="32">
        <f t="shared" si="27"/>
        <v>0</v>
      </c>
      <c r="G43" s="119">
        <f>SUM(G41+G36+G31+G26+G21+G16)</f>
        <v>1</v>
      </c>
      <c r="H43" s="33">
        <f t="shared" si="27"/>
        <v>217</v>
      </c>
      <c r="J43" s="31">
        <f t="shared" ref="J43:P43" si="28">SUM(J41+J36+J31+J26+J21+J16)</f>
        <v>37</v>
      </c>
      <c r="K43" s="32">
        <f t="shared" si="28"/>
        <v>3</v>
      </c>
      <c r="L43" s="32">
        <f t="shared" si="28"/>
        <v>0</v>
      </c>
      <c r="M43" s="32">
        <f t="shared" si="28"/>
        <v>0</v>
      </c>
      <c r="N43" s="32">
        <f t="shared" si="28"/>
        <v>0</v>
      </c>
      <c r="O43" s="119">
        <f t="shared" si="28"/>
        <v>0</v>
      </c>
      <c r="P43" s="33">
        <f t="shared" si="28"/>
        <v>40</v>
      </c>
      <c r="R43" s="33">
        <f>SUM(R41+R36+R31+R26+R21+R16)</f>
        <v>257</v>
      </c>
    </row>
    <row r="45" spans="1:18" ht="15.75" customHeight="1">
      <c r="A45" s="99" t="s">
        <v>21</v>
      </c>
      <c r="J45" s="25"/>
    </row>
    <row r="46" spans="1:18" ht="15.75" customHeight="1">
      <c r="B46" s="31" t="s">
        <v>22</v>
      </c>
      <c r="C46" s="32"/>
      <c r="D46" s="32" t="str">
        <f>$D$9</f>
        <v>Northbound</v>
      </c>
      <c r="E46" s="32"/>
      <c r="F46" s="32"/>
      <c r="G46" s="119"/>
      <c r="H46" s="33"/>
      <c r="J46" s="31" t="s">
        <v>22</v>
      </c>
      <c r="K46" s="32"/>
      <c r="L46" s="32" t="str">
        <f>$L$9</f>
        <v>Southbound</v>
      </c>
      <c r="M46" s="32"/>
      <c r="N46" s="32"/>
      <c r="O46" s="119"/>
      <c r="P46" s="33"/>
      <c r="R46" s="104" t="s">
        <v>25</v>
      </c>
    </row>
    <row r="47" spans="1:18" s="34" customFormat="1" ht="15.75" customHeight="1">
      <c r="B47" s="35" t="str">
        <f>$J$10</f>
        <v>CAR</v>
      </c>
      <c r="C47" s="36" t="str">
        <f>$K$10</f>
        <v>LGV</v>
      </c>
      <c r="D47" s="36" t="str">
        <f>$L$10</f>
        <v>OGV1</v>
      </c>
      <c r="E47" s="36" t="str">
        <f>$M$10</f>
        <v>OGV2</v>
      </c>
      <c r="F47" s="36" t="str">
        <f>$N$10</f>
        <v>PSV</v>
      </c>
      <c r="G47" s="120" t="str">
        <f>$O$10</f>
        <v>MC</v>
      </c>
      <c r="H47" s="37" t="s">
        <v>26</v>
      </c>
      <c r="J47" s="35" t="str">
        <f>$J$10</f>
        <v>CAR</v>
      </c>
      <c r="K47" s="36" t="str">
        <f>$K$10</f>
        <v>LGV</v>
      </c>
      <c r="L47" s="36" t="str">
        <f>$L$10</f>
        <v>OGV1</v>
      </c>
      <c r="M47" s="36" t="str">
        <f>$M$10</f>
        <v>OGV2</v>
      </c>
      <c r="N47" s="36" t="str">
        <f>$N$10</f>
        <v>PSV</v>
      </c>
      <c r="O47" s="120" t="str">
        <f>$O$10</f>
        <v>MC</v>
      </c>
      <c r="P47" s="37" t="s">
        <v>26</v>
      </c>
      <c r="R47" s="105"/>
    </row>
    <row r="49" spans="1:18" ht="15.75" customHeight="1">
      <c r="A49" s="38">
        <v>0.54166666666666663</v>
      </c>
      <c r="B49" s="21">
        <v>4</v>
      </c>
      <c r="C49" s="117">
        <v>7</v>
      </c>
      <c r="D49" s="117">
        <v>0</v>
      </c>
      <c r="E49" s="117">
        <v>0</v>
      </c>
      <c r="F49" s="117">
        <v>0</v>
      </c>
      <c r="G49" s="118">
        <v>0</v>
      </c>
      <c r="H49" s="39">
        <f>SUM(B49:G49)</f>
        <v>11</v>
      </c>
      <c r="J49" s="21">
        <v>1</v>
      </c>
      <c r="K49" s="117">
        <v>1</v>
      </c>
      <c r="L49" s="117">
        <v>0</v>
      </c>
      <c r="M49" s="117">
        <v>0</v>
      </c>
      <c r="N49" s="117">
        <v>0</v>
      </c>
      <c r="O49" s="118">
        <v>0</v>
      </c>
      <c r="P49" s="39">
        <f>SUM(J49:O49)</f>
        <v>2</v>
      </c>
      <c r="R49" s="39">
        <f>SUM(P49+H49)</f>
        <v>13</v>
      </c>
    </row>
    <row r="50" spans="1:18" ht="15.75" customHeight="1">
      <c r="A50" s="40">
        <v>0.55208333333333337</v>
      </c>
      <c r="B50" s="23">
        <v>6</v>
      </c>
      <c r="C50" s="22">
        <v>0</v>
      </c>
      <c r="D50" s="22">
        <v>0</v>
      </c>
      <c r="E50" s="22">
        <v>0</v>
      </c>
      <c r="F50" s="22">
        <v>0</v>
      </c>
      <c r="G50" s="41">
        <v>0</v>
      </c>
      <c r="H50" s="42">
        <f>SUM(B50:G50)</f>
        <v>6</v>
      </c>
      <c r="J50" s="23">
        <v>1</v>
      </c>
      <c r="K50" s="22">
        <v>0</v>
      </c>
      <c r="L50" s="22">
        <v>0</v>
      </c>
      <c r="M50" s="22">
        <v>0</v>
      </c>
      <c r="N50" s="22">
        <v>0</v>
      </c>
      <c r="O50" s="41">
        <v>0</v>
      </c>
      <c r="P50" s="42">
        <f>SUM(J50:O50)</f>
        <v>1</v>
      </c>
      <c r="R50" s="42">
        <f>SUM(P50+H50)</f>
        <v>7</v>
      </c>
    </row>
    <row r="51" spans="1:18" ht="15.75" customHeight="1">
      <c r="A51" s="40">
        <v>0.5625</v>
      </c>
      <c r="B51" s="23">
        <v>5</v>
      </c>
      <c r="C51" s="22">
        <v>2</v>
      </c>
      <c r="D51" s="22">
        <v>0</v>
      </c>
      <c r="E51" s="22">
        <v>0</v>
      </c>
      <c r="F51" s="22">
        <v>0</v>
      </c>
      <c r="G51" s="41">
        <v>0</v>
      </c>
      <c r="H51" s="42">
        <f>SUM(B51:G51)</f>
        <v>7</v>
      </c>
      <c r="J51" s="23">
        <v>0</v>
      </c>
      <c r="K51" s="22">
        <v>0</v>
      </c>
      <c r="L51" s="22">
        <v>0</v>
      </c>
      <c r="M51" s="22">
        <v>0</v>
      </c>
      <c r="N51" s="22">
        <v>0</v>
      </c>
      <c r="O51" s="41">
        <v>0</v>
      </c>
      <c r="P51" s="42">
        <f>SUM(J51:O51)</f>
        <v>0</v>
      </c>
      <c r="R51" s="42">
        <f>SUM(P51+H51)</f>
        <v>7</v>
      </c>
    </row>
    <row r="52" spans="1:18" ht="15.75" customHeight="1">
      <c r="A52" s="43">
        <v>0.57291666666666663</v>
      </c>
      <c r="B52" s="28">
        <v>5</v>
      </c>
      <c r="C52" s="29">
        <v>0</v>
      </c>
      <c r="D52" s="29">
        <v>0</v>
      </c>
      <c r="E52" s="29">
        <v>0</v>
      </c>
      <c r="F52" s="29">
        <v>0</v>
      </c>
      <c r="G52" s="30">
        <v>0</v>
      </c>
      <c r="H52" s="44">
        <f>SUM(B52:G52)</f>
        <v>5</v>
      </c>
      <c r="J52" s="28">
        <v>1</v>
      </c>
      <c r="K52" s="29">
        <v>1</v>
      </c>
      <c r="L52" s="29">
        <v>0</v>
      </c>
      <c r="M52" s="29">
        <v>0</v>
      </c>
      <c r="N52" s="29">
        <v>0</v>
      </c>
      <c r="O52" s="30">
        <v>0</v>
      </c>
      <c r="P52" s="44">
        <f>SUM(J52:O52)</f>
        <v>2</v>
      </c>
      <c r="R52" s="44">
        <f>SUM(P52+H52)</f>
        <v>7</v>
      </c>
    </row>
    <row r="53" spans="1:18" ht="15.75" customHeight="1">
      <c r="A53" s="33" t="s">
        <v>33</v>
      </c>
      <c r="B53" s="31">
        <f>SUM(B49:B52)</f>
        <v>20</v>
      </c>
      <c r="C53" s="32">
        <f t="shared" ref="C53:G53" si="29">SUM(C49:C52)</f>
        <v>9</v>
      </c>
      <c r="D53" s="32">
        <f t="shared" si="29"/>
        <v>0</v>
      </c>
      <c r="E53" s="32">
        <f t="shared" si="29"/>
        <v>0</v>
      </c>
      <c r="F53" s="32">
        <f t="shared" si="29"/>
        <v>0</v>
      </c>
      <c r="G53" s="119">
        <f t="shared" si="29"/>
        <v>0</v>
      </c>
      <c r="H53" s="33">
        <f t="shared" ref="H53" si="30">SUM(H49:H52)</f>
        <v>29</v>
      </c>
      <c r="J53" s="31">
        <f t="shared" ref="J53:O53" si="31">SUM(J49:J52)</f>
        <v>3</v>
      </c>
      <c r="K53" s="32">
        <f t="shared" si="31"/>
        <v>2</v>
      </c>
      <c r="L53" s="32">
        <f t="shared" si="31"/>
        <v>0</v>
      </c>
      <c r="M53" s="32">
        <f t="shared" si="31"/>
        <v>0</v>
      </c>
      <c r="N53" s="32">
        <f t="shared" si="31"/>
        <v>0</v>
      </c>
      <c r="O53" s="119">
        <f t="shared" si="31"/>
        <v>0</v>
      </c>
      <c r="P53" s="33">
        <f t="shared" ref="P53" si="32">SUM(P49:P52)</f>
        <v>5</v>
      </c>
      <c r="R53" s="33">
        <f>SUM(R49:R52)</f>
        <v>34</v>
      </c>
    </row>
    <row r="54" spans="1:18" ht="15.75" customHeight="1">
      <c r="A54" s="38">
        <v>0.58333333333333337</v>
      </c>
      <c r="B54" s="21">
        <v>12</v>
      </c>
      <c r="C54" s="117">
        <v>2</v>
      </c>
      <c r="D54" s="117">
        <v>0</v>
      </c>
      <c r="E54" s="117">
        <v>0</v>
      </c>
      <c r="F54" s="117">
        <v>0</v>
      </c>
      <c r="G54" s="118">
        <v>0</v>
      </c>
      <c r="H54" s="39">
        <f>SUM(B54:G54)</f>
        <v>14</v>
      </c>
      <c r="J54" s="21">
        <v>2</v>
      </c>
      <c r="K54" s="117">
        <v>1</v>
      </c>
      <c r="L54" s="117">
        <v>0</v>
      </c>
      <c r="M54" s="117">
        <v>0</v>
      </c>
      <c r="N54" s="117">
        <v>0</v>
      </c>
      <c r="O54" s="118">
        <v>0</v>
      </c>
      <c r="P54" s="39">
        <f>SUM(J54:O54)</f>
        <v>3</v>
      </c>
      <c r="R54" s="39">
        <f>SUM(P54+H54)</f>
        <v>17</v>
      </c>
    </row>
    <row r="55" spans="1:18" ht="15.75" customHeight="1">
      <c r="A55" s="40">
        <v>0.59375</v>
      </c>
      <c r="B55" s="23">
        <v>10</v>
      </c>
      <c r="C55" s="22">
        <v>2</v>
      </c>
      <c r="D55" s="22">
        <v>0</v>
      </c>
      <c r="E55" s="22">
        <v>0</v>
      </c>
      <c r="F55" s="22">
        <v>0</v>
      </c>
      <c r="G55" s="41">
        <v>0</v>
      </c>
      <c r="H55" s="42">
        <f>SUM(B55:G55)</f>
        <v>12</v>
      </c>
      <c r="J55" s="23">
        <v>2</v>
      </c>
      <c r="K55" s="22">
        <v>1</v>
      </c>
      <c r="L55" s="22">
        <v>0</v>
      </c>
      <c r="M55" s="22">
        <v>0</v>
      </c>
      <c r="N55" s="22">
        <v>0</v>
      </c>
      <c r="O55" s="41">
        <v>0</v>
      </c>
      <c r="P55" s="42">
        <f>SUM(J55:O55)</f>
        <v>3</v>
      </c>
      <c r="R55" s="42">
        <f>SUM(P55+H55)</f>
        <v>15</v>
      </c>
    </row>
    <row r="56" spans="1:18" ht="15.75" customHeight="1">
      <c r="A56" s="40">
        <v>0.60416666666666663</v>
      </c>
      <c r="B56" s="23">
        <v>6</v>
      </c>
      <c r="C56" s="22">
        <v>2</v>
      </c>
      <c r="D56" s="22">
        <v>0</v>
      </c>
      <c r="E56" s="22">
        <v>0</v>
      </c>
      <c r="F56" s="22">
        <v>0</v>
      </c>
      <c r="G56" s="41">
        <v>0</v>
      </c>
      <c r="H56" s="42">
        <f>SUM(B56:G56)</f>
        <v>8</v>
      </c>
      <c r="J56" s="23">
        <v>2</v>
      </c>
      <c r="K56" s="22">
        <v>1</v>
      </c>
      <c r="L56" s="22">
        <v>0</v>
      </c>
      <c r="M56" s="22">
        <v>0</v>
      </c>
      <c r="N56" s="22">
        <v>0</v>
      </c>
      <c r="O56" s="41">
        <v>0</v>
      </c>
      <c r="P56" s="42">
        <f>SUM(J56:O56)</f>
        <v>3</v>
      </c>
      <c r="R56" s="42">
        <f>SUM(P56+H56)</f>
        <v>11</v>
      </c>
    </row>
    <row r="57" spans="1:18" ht="15.75" customHeight="1">
      <c r="A57" s="43">
        <v>0.61458333333333337</v>
      </c>
      <c r="B57" s="28">
        <v>6</v>
      </c>
      <c r="C57" s="29">
        <v>2</v>
      </c>
      <c r="D57" s="29">
        <v>0</v>
      </c>
      <c r="E57" s="29">
        <v>0</v>
      </c>
      <c r="F57" s="29">
        <v>0</v>
      </c>
      <c r="G57" s="30">
        <v>0</v>
      </c>
      <c r="H57" s="44">
        <f>SUM(B57:G57)</f>
        <v>8</v>
      </c>
      <c r="J57" s="28">
        <v>0</v>
      </c>
      <c r="K57" s="29">
        <v>2</v>
      </c>
      <c r="L57" s="29">
        <v>0</v>
      </c>
      <c r="M57" s="29">
        <v>0</v>
      </c>
      <c r="N57" s="29">
        <v>0</v>
      </c>
      <c r="O57" s="30">
        <v>0</v>
      </c>
      <c r="P57" s="44">
        <f>SUM(J57:O57)</f>
        <v>2</v>
      </c>
      <c r="R57" s="44">
        <f>SUM(P57+H57)</f>
        <v>10</v>
      </c>
    </row>
    <row r="58" spans="1:18" ht="15.75" customHeight="1">
      <c r="A58" s="33" t="s">
        <v>33</v>
      </c>
      <c r="B58" s="31">
        <f>SUM(B54:B57)</f>
        <v>34</v>
      </c>
      <c r="C58" s="32">
        <f t="shared" ref="C58:G58" si="33">SUM(C54:C57)</f>
        <v>8</v>
      </c>
      <c r="D58" s="32">
        <f t="shared" si="33"/>
        <v>0</v>
      </c>
      <c r="E58" s="32">
        <f t="shared" si="33"/>
        <v>0</v>
      </c>
      <c r="F58" s="32">
        <f t="shared" si="33"/>
        <v>0</v>
      </c>
      <c r="G58" s="119">
        <f t="shared" si="33"/>
        <v>0</v>
      </c>
      <c r="H58" s="33">
        <f t="shared" ref="H58" si="34">SUM(H54:H57)</f>
        <v>42</v>
      </c>
      <c r="J58" s="31">
        <f t="shared" ref="J58:O58" si="35">SUM(J54:J57)</f>
        <v>6</v>
      </c>
      <c r="K58" s="32">
        <f t="shared" si="35"/>
        <v>5</v>
      </c>
      <c r="L58" s="32">
        <f t="shared" si="35"/>
        <v>0</v>
      </c>
      <c r="M58" s="32">
        <f t="shared" si="35"/>
        <v>0</v>
      </c>
      <c r="N58" s="32">
        <f t="shared" si="35"/>
        <v>0</v>
      </c>
      <c r="O58" s="119">
        <f t="shared" si="35"/>
        <v>0</v>
      </c>
      <c r="P58" s="33">
        <f t="shared" ref="P58" si="36">SUM(P54:P57)</f>
        <v>11</v>
      </c>
      <c r="R58" s="33">
        <f>SUM(R54:R57)</f>
        <v>53</v>
      </c>
    </row>
    <row r="59" spans="1:18" ht="15.75" customHeight="1">
      <c r="A59" s="38">
        <v>0.625</v>
      </c>
      <c r="B59" s="21">
        <v>6</v>
      </c>
      <c r="C59" s="117">
        <v>1</v>
      </c>
      <c r="D59" s="117">
        <v>0</v>
      </c>
      <c r="E59" s="117">
        <v>0</v>
      </c>
      <c r="F59" s="117">
        <v>0</v>
      </c>
      <c r="G59" s="118">
        <v>0</v>
      </c>
      <c r="H59" s="39">
        <f>SUM(B59:G59)</f>
        <v>7</v>
      </c>
      <c r="J59" s="21">
        <v>3</v>
      </c>
      <c r="K59" s="117">
        <v>1</v>
      </c>
      <c r="L59" s="117">
        <v>0</v>
      </c>
      <c r="M59" s="117">
        <v>0</v>
      </c>
      <c r="N59" s="117">
        <v>0</v>
      </c>
      <c r="O59" s="118">
        <v>0</v>
      </c>
      <c r="P59" s="39">
        <f>SUM(J59:O59)</f>
        <v>4</v>
      </c>
      <c r="R59" s="39">
        <f>SUM(P59+H59)</f>
        <v>11</v>
      </c>
    </row>
    <row r="60" spans="1:18" ht="15.75" customHeight="1">
      <c r="A60" s="40">
        <v>0.63541666666666663</v>
      </c>
      <c r="B60" s="23">
        <v>10</v>
      </c>
      <c r="C60" s="22">
        <v>3</v>
      </c>
      <c r="D60" s="22">
        <v>0</v>
      </c>
      <c r="E60" s="22">
        <v>0</v>
      </c>
      <c r="F60" s="22">
        <v>0</v>
      </c>
      <c r="G60" s="41">
        <v>0</v>
      </c>
      <c r="H60" s="42">
        <f>SUM(B60:G60)</f>
        <v>13</v>
      </c>
      <c r="J60" s="23">
        <v>0</v>
      </c>
      <c r="K60" s="22">
        <v>0</v>
      </c>
      <c r="L60" s="22">
        <v>0</v>
      </c>
      <c r="M60" s="22">
        <v>0</v>
      </c>
      <c r="N60" s="22">
        <v>0</v>
      </c>
      <c r="O60" s="41">
        <v>0</v>
      </c>
      <c r="P60" s="42">
        <f>SUM(J60:O60)</f>
        <v>0</v>
      </c>
      <c r="R60" s="42">
        <f>SUM(P60+H60)</f>
        <v>13</v>
      </c>
    </row>
    <row r="61" spans="1:18" ht="15.75" customHeight="1">
      <c r="A61" s="40">
        <v>0.64583333333333337</v>
      </c>
      <c r="B61" s="23">
        <v>12</v>
      </c>
      <c r="C61" s="22">
        <v>1</v>
      </c>
      <c r="D61" s="22">
        <v>0</v>
      </c>
      <c r="E61" s="22">
        <v>0</v>
      </c>
      <c r="F61" s="22">
        <v>0</v>
      </c>
      <c r="G61" s="41">
        <v>1</v>
      </c>
      <c r="H61" s="42">
        <f>SUM(B61:G61)</f>
        <v>14</v>
      </c>
      <c r="J61" s="23">
        <v>0</v>
      </c>
      <c r="K61" s="22">
        <v>0</v>
      </c>
      <c r="L61" s="22">
        <v>0</v>
      </c>
      <c r="M61" s="22">
        <v>0</v>
      </c>
      <c r="N61" s="22">
        <v>0</v>
      </c>
      <c r="O61" s="41">
        <v>0</v>
      </c>
      <c r="P61" s="42">
        <f>SUM(J61:O61)</f>
        <v>0</v>
      </c>
      <c r="R61" s="42">
        <f>SUM(P61+H61)</f>
        <v>14</v>
      </c>
    </row>
    <row r="62" spans="1:18" ht="15.75" customHeight="1">
      <c r="A62" s="43">
        <v>0.65625</v>
      </c>
      <c r="B62" s="28">
        <v>9</v>
      </c>
      <c r="C62" s="29">
        <v>1</v>
      </c>
      <c r="D62" s="29">
        <v>0</v>
      </c>
      <c r="E62" s="29">
        <v>0</v>
      </c>
      <c r="F62" s="29">
        <v>0</v>
      </c>
      <c r="G62" s="30">
        <v>0</v>
      </c>
      <c r="H62" s="44">
        <f>SUM(B62:G62)</f>
        <v>10</v>
      </c>
      <c r="J62" s="28">
        <v>0</v>
      </c>
      <c r="K62" s="29">
        <v>0</v>
      </c>
      <c r="L62" s="29">
        <v>0</v>
      </c>
      <c r="M62" s="29">
        <v>0</v>
      </c>
      <c r="N62" s="29">
        <v>0</v>
      </c>
      <c r="O62" s="30">
        <v>0</v>
      </c>
      <c r="P62" s="44">
        <f>SUM(J62:O62)</f>
        <v>0</v>
      </c>
      <c r="R62" s="44">
        <f>SUM(P62+H62)</f>
        <v>10</v>
      </c>
    </row>
    <row r="63" spans="1:18" ht="15.75" customHeight="1">
      <c r="A63" s="33" t="s">
        <v>33</v>
      </c>
      <c r="B63" s="31">
        <f>SUM(B59:B62)</f>
        <v>37</v>
      </c>
      <c r="C63" s="32">
        <f t="shared" ref="C63:G63" si="37">SUM(C59:C62)</f>
        <v>6</v>
      </c>
      <c r="D63" s="32">
        <f t="shared" si="37"/>
        <v>0</v>
      </c>
      <c r="E63" s="32">
        <f t="shared" si="37"/>
        <v>0</v>
      </c>
      <c r="F63" s="32">
        <f t="shared" si="37"/>
        <v>0</v>
      </c>
      <c r="G63" s="119">
        <f t="shared" si="37"/>
        <v>1</v>
      </c>
      <c r="H63" s="33">
        <f t="shared" ref="H63" si="38">SUM(H59:H62)</f>
        <v>44</v>
      </c>
      <c r="J63" s="31">
        <f t="shared" ref="J63:O63" si="39">SUM(J59:J62)</f>
        <v>3</v>
      </c>
      <c r="K63" s="32">
        <f t="shared" si="39"/>
        <v>1</v>
      </c>
      <c r="L63" s="32">
        <f t="shared" si="39"/>
        <v>0</v>
      </c>
      <c r="M63" s="32">
        <f t="shared" si="39"/>
        <v>0</v>
      </c>
      <c r="N63" s="32">
        <f t="shared" si="39"/>
        <v>0</v>
      </c>
      <c r="O63" s="119">
        <f t="shared" si="39"/>
        <v>0</v>
      </c>
      <c r="P63" s="33">
        <f t="shared" ref="P63" si="40">SUM(P59:P62)</f>
        <v>4</v>
      </c>
      <c r="R63" s="33">
        <f>SUM(R59:R62)</f>
        <v>48</v>
      </c>
    </row>
    <row r="64" spans="1:18" ht="15.75" customHeight="1">
      <c r="A64" s="38">
        <v>0.66666666666666663</v>
      </c>
      <c r="B64" s="21">
        <v>9</v>
      </c>
      <c r="C64" s="117">
        <v>0</v>
      </c>
      <c r="D64" s="117">
        <v>0</v>
      </c>
      <c r="E64" s="117">
        <v>0</v>
      </c>
      <c r="F64" s="117">
        <v>0</v>
      </c>
      <c r="G64" s="118">
        <v>1</v>
      </c>
      <c r="H64" s="39">
        <f>SUM(B64:G64)</f>
        <v>10</v>
      </c>
      <c r="J64" s="21">
        <v>2</v>
      </c>
      <c r="K64" s="117">
        <v>0</v>
      </c>
      <c r="L64" s="117">
        <v>0</v>
      </c>
      <c r="M64" s="117">
        <v>0</v>
      </c>
      <c r="N64" s="117">
        <v>0</v>
      </c>
      <c r="O64" s="118">
        <v>0</v>
      </c>
      <c r="P64" s="39">
        <f>SUM(J64:O64)</f>
        <v>2</v>
      </c>
      <c r="R64" s="39">
        <f>SUM(P64+H64)</f>
        <v>12</v>
      </c>
    </row>
    <row r="65" spans="1:18" ht="15.75" customHeight="1">
      <c r="A65" s="40">
        <v>0.67708333333333337</v>
      </c>
      <c r="B65" s="23">
        <v>6</v>
      </c>
      <c r="C65" s="22">
        <v>4</v>
      </c>
      <c r="D65" s="22">
        <v>0</v>
      </c>
      <c r="E65" s="22">
        <v>0</v>
      </c>
      <c r="F65" s="22">
        <v>0</v>
      </c>
      <c r="G65" s="41">
        <v>1</v>
      </c>
      <c r="H65" s="42">
        <f>SUM(B65:G65)</f>
        <v>11</v>
      </c>
      <c r="J65" s="23">
        <v>2</v>
      </c>
      <c r="K65" s="22">
        <v>0</v>
      </c>
      <c r="L65" s="22">
        <v>0</v>
      </c>
      <c r="M65" s="22">
        <v>0</v>
      </c>
      <c r="N65" s="22">
        <v>0</v>
      </c>
      <c r="O65" s="41">
        <v>0</v>
      </c>
      <c r="P65" s="42">
        <f>SUM(J65:O65)</f>
        <v>2</v>
      </c>
      <c r="R65" s="42">
        <f>SUM(P65+H65)</f>
        <v>13</v>
      </c>
    </row>
    <row r="66" spans="1:18" ht="15.75" customHeight="1">
      <c r="A66" s="40">
        <v>0.6875</v>
      </c>
      <c r="B66" s="23">
        <v>14</v>
      </c>
      <c r="C66" s="22">
        <v>0</v>
      </c>
      <c r="D66" s="22">
        <v>0</v>
      </c>
      <c r="E66" s="22">
        <v>0</v>
      </c>
      <c r="F66" s="22">
        <v>0</v>
      </c>
      <c r="G66" s="41">
        <v>0</v>
      </c>
      <c r="H66" s="42">
        <f>SUM(B66:G66)</f>
        <v>14</v>
      </c>
      <c r="J66" s="23">
        <v>1</v>
      </c>
      <c r="K66" s="22">
        <v>0</v>
      </c>
      <c r="L66" s="22">
        <v>0</v>
      </c>
      <c r="M66" s="22">
        <v>0</v>
      </c>
      <c r="N66" s="22">
        <v>0</v>
      </c>
      <c r="O66" s="41">
        <v>0</v>
      </c>
      <c r="P66" s="42">
        <f>SUM(J66:O66)</f>
        <v>1</v>
      </c>
      <c r="R66" s="42">
        <f>SUM(P66+H66)</f>
        <v>15</v>
      </c>
    </row>
    <row r="67" spans="1:18" ht="15.75" customHeight="1">
      <c r="A67" s="43">
        <v>0.69791666666666663</v>
      </c>
      <c r="B67" s="28">
        <v>10</v>
      </c>
      <c r="C67" s="29">
        <v>0</v>
      </c>
      <c r="D67" s="29">
        <v>0</v>
      </c>
      <c r="E67" s="29">
        <v>0</v>
      </c>
      <c r="F67" s="29">
        <v>0</v>
      </c>
      <c r="G67" s="30">
        <v>0</v>
      </c>
      <c r="H67" s="44">
        <f>SUM(B67:G67)</f>
        <v>10</v>
      </c>
      <c r="J67" s="28">
        <v>1</v>
      </c>
      <c r="K67" s="29">
        <v>0</v>
      </c>
      <c r="L67" s="29">
        <v>0</v>
      </c>
      <c r="M67" s="29">
        <v>0</v>
      </c>
      <c r="N67" s="29">
        <v>0</v>
      </c>
      <c r="O67" s="30">
        <v>0</v>
      </c>
      <c r="P67" s="44">
        <f>SUM(J67:O67)</f>
        <v>1</v>
      </c>
      <c r="R67" s="44">
        <f>SUM(P67+H67)</f>
        <v>11</v>
      </c>
    </row>
    <row r="68" spans="1:18" ht="15.75" customHeight="1">
      <c r="A68" s="33" t="s">
        <v>33</v>
      </c>
      <c r="B68" s="31">
        <f>SUM(B64:B67)</f>
        <v>39</v>
      </c>
      <c r="C68" s="32">
        <f t="shared" ref="C68:G68" si="41">SUM(C64:C67)</f>
        <v>4</v>
      </c>
      <c r="D68" s="32">
        <f t="shared" si="41"/>
        <v>0</v>
      </c>
      <c r="E68" s="32">
        <f t="shared" si="41"/>
        <v>0</v>
      </c>
      <c r="F68" s="32">
        <f t="shared" si="41"/>
        <v>0</v>
      </c>
      <c r="G68" s="119">
        <f t="shared" si="41"/>
        <v>2</v>
      </c>
      <c r="H68" s="33">
        <f t="shared" ref="H68" si="42">SUM(H64:H67)</f>
        <v>45</v>
      </c>
      <c r="J68" s="31">
        <f t="shared" ref="J68:O68" si="43">SUM(J64:J67)</f>
        <v>6</v>
      </c>
      <c r="K68" s="32">
        <f t="shared" si="43"/>
        <v>0</v>
      </c>
      <c r="L68" s="32">
        <f t="shared" si="43"/>
        <v>0</v>
      </c>
      <c r="M68" s="32">
        <f t="shared" si="43"/>
        <v>0</v>
      </c>
      <c r="N68" s="32">
        <f t="shared" si="43"/>
        <v>0</v>
      </c>
      <c r="O68" s="119">
        <f t="shared" si="43"/>
        <v>0</v>
      </c>
      <c r="P68" s="33">
        <f t="shared" ref="P68" si="44">SUM(P64:P67)</f>
        <v>6</v>
      </c>
      <c r="R68" s="33">
        <f>SUM(R64:R67)</f>
        <v>51</v>
      </c>
    </row>
    <row r="69" spans="1:18" ht="15.75" customHeight="1">
      <c r="A69" s="38">
        <v>0.70833333333333337</v>
      </c>
      <c r="B69" s="21">
        <v>7</v>
      </c>
      <c r="C69" s="117">
        <v>1</v>
      </c>
      <c r="D69" s="117">
        <v>0</v>
      </c>
      <c r="E69" s="117">
        <v>0</v>
      </c>
      <c r="F69" s="117">
        <v>0</v>
      </c>
      <c r="G69" s="118">
        <v>1</v>
      </c>
      <c r="H69" s="39">
        <f>SUM(B69:G69)</f>
        <v>9</v>
      </c>
      <c r="J69" s="21">
        <v>2</v>
      </c>
      <c r="K69" s="117">
        <v>0</v>
      </c>
      <c r="L69" s="117">
        <v>0</v>
      </c>
      <c r="M69" s="117">
        <v>0</v>
      </c>
      <c r="N69" s="117">
        <v>0</v>
      </c>
      <c r="O69" s="118">
        <v>0</v>
      </c>
      <c r="P69" s="39">
        <f>SUM(J69:O69)</f>
        <v>2</v>
      </c>
      <c r="R69" s="39">
        <f>SUM(P69+H69)</f>
        <v>11</v>
      </c>
    </row>
    <row r="70" spans="1:18" ht="15.75" customHeight="1">
      <c r="A70" s="40">
        <v>0.71875</v>
      </c>
      <c r="B70" s="23">
        <v>14</v>
      </c>
      <c r="C70" s="22">
        <v>2</v>
      </c>
      <c r="D70" s="22">
        <v>0</v>
      </c>
      <c r="E70" s="22">
        <v>0</v>
      </c>
      <c r="F70" s="22">
        <v>0</v>
      </c>
      <c r="G70" s="41">
        <v>1</v>
      </c>
      <c r="H70" s="42">
        <f>SUM(B70:G70)</f>
        <v>17</v>
      </c>
      <c r="J70" s="23">
        <v>0</v>
      </c>
      <c r="K70" s="22">
        <v>0</v>
      </c>
      <c r="L70" s="22">
        <v>0</v>
      </c>
      <c r="M70" s="22">
        <v>0</v>
      </c>
      <c r="N70" s="22">
        <v>0</v>
      </c>
      <c r="O70" s="41">
        <v>0</v>
      </c>
      <c r="P70" s="42">
        <f>SUM(J70:O70)</f>
        <v>0</v>
      </c>
      <c r="R70" s="42">
        <f>SUM(P70+H70)</f>
        <v>17</v>
      </c>
    </row>
    <row r="71" spans="1:18" ht="15.75" customHeight="1">
      <c r="A71" s="40">
        <v>0.72916666666666663</v>
      </c>
      <c r="B71" s="23">
        <v>10</v>
      </c>
      <c r="C71" s="22">
        <v>2</v>
      </c>
      <c r="D71" s="22">
        <v>0</v>
      </c>
      <c r="E71" s="22">
        <v>0</v>
      </c>
      <c r="F71" s="22">
        <v>0</v>
      </c>
      <c r="G71" s="41">
        <v>1</v>
      </c>
      <c r="H71" s="42">
        <f>SUM(B71:G71)</f>
        <v>13</v>
      </c>
      <c r="J71" s="23">
        <v>4</v>
      </c>
      <c r="K71" s="22">
        <v>0</v>
      </c>
      <c r="L71" s="22">
        <v>0</v>
      </c>
      <c r="M71" s="22">
        <v>0</v>
      </c>
      <c r="N71" s="22">
        <v>0</v>
      </c>
      <c r="O71" s="41">
        <v>1</v>
      </c>
      <c r="P71" s="42">
        <f>SUM(J71:O71)</f>
        <v>5</v>
      </c>
      <c r="R71" s="42">
        <f>SUM(P71+H71)</f>
        <v>18</v>
      </c>
    </row>
    <row r="72" spans="1:18" ht="15.75" customHeight="1">
      <c r="A72" s="43">
        <v>0.73958333333333337</v>
      </c>
      <c r="B72" s="28">
        <v>11</v>
      </c>
      <c r="C72" s="29">
        <v>1</v>
      </c>
      <c r="D72" s="29">
        <v>0</v>
      </c>
      <c r="E72" s="29">
        <v>0</v>
      </c>
      <c r="F72" s="29">
        <v>0</v>
      </c>
      <c r="G72" s="30">
        <v>2</v>
      </c>
      <c r="H72" s="44">
        <f>SUM(B72:G72)</f>
        <v>14</v>
      </c>
      <c r="J72" s="28">
        <v>2</v>
      </c>
      <c r="K72" s="29">
        <v>0</v>
      </c>
      <c r="L72" s="29">
        <v>0</v>
      </c>
      <c r="M72" s="29">
        <v>0</v>
      </c>
      <c r="N72" s="29">
        <v>0</v>
      </c>
      <c r="O72" s="30">
        <v>0</v>
      </c>
      <c r="P72" s="44">
        <f>SUM(J72:O72)</f>
        <v>2</v>
      </c>
      <c r="R72" s="44">
        <f>SUM(P72+H72)</f>
        <v>16</v>
      </c>
    </row>
    <row r="73" spans="1:18" ht="15.75" customHeight="1">
      <c r="A73" s="33" t="s">
        <v>33</v>
      </c>
      <c r="B73" s="31">
        <f>SUM(B69:B72)</f>
        <v>42</v>
      </c>
      <c r="C73" s="32">
        <f t="shared" ref="C73:G73" si="45">SUM(C69:C72)</f>
        <v>6</v>
      </c>
      <c r="D73" s="32">
        <f t="shared" si="45"/>
        <v>0</v>
      </c>
      <c r="E73" s="32">
        <f t="shared" si="45"/>
        <v>0</v>
      </c>
      <c r="F73" s="32">
        <f t="shared" si="45"/>
        <v>0</v>
      </c>
      <c r="G73" s="119">
        <f t="shared" si="45"/>
        <v>5</v>
      </c>
      <c r="H73" s="33">
        <f t="shared" ref="H73" si="46">SUM(H69:H72)</f>
        <v>53</v>
      </c>
      <c r="J73" s="31">
        <f t="shared" ref="J73:O73" si="47">SUM(J69:J72)</f>
        <v>8</v>
      </c>
      <c r="K73" s="32">
        <f t="shared" si="47"/>
        <v>0</v>
      </c>
      <c r="L73" s="32">
        <f t="shared" si="47"/>
        <v>0</v>
      </c>
      <c r="M73" s="32">
        <f t="shared" si="47"/>
        <v>0</v>
      </c>
      <c r="N73" s="32">
        <f t="shared" si="47"/>
        <v>0</v>
      </c>
      <c r="O73" s="119">
        <f t="shared" si="47"/>
        <v>1</v>
      </c>
      <c r="P73" s="33">
        <f t="shared" ref="P73" si="48">SUM(P69:P72)</f>
        <v>9</v>
      </c>
      <c r="R73" s="33">
        <f>SUM(R69:R72)</f>
        <v>62</v>
      </c>
    </row>
    <row r="74" spans="1:18" ht="15.75" customHeight="1">
      <c r="A74" s="38">
        <v>0.75</v>
      </c>
      <c r="B74" s="21">
        <v>18</v>
      </c>
      <c r="C74" s="117">
        <v>4</v>
      </c>
      <c r="D74" s="117">
        <v>0</v>
      </c>
      <c r="E74" s="117">
        <v>0</v>
      </c>
      <c r="F74" s="117">
        <v>0</v>
      </c>
      <c r="G74" s="118">
        <v>0</v>
      </c>
      <c r="H74" s="39">
        <f>SUM(B74:G74)</f>
        <v>22</v>
      </c>
      <c r="J74" s="21">
        <v>2</v>
      </c>
      <c r="K74" s="117">
        <v>0</v>
      </c>
      <c r="L74" s="117">
        <v>0</v>
      </c>
      <c r="M74" s="117">
        <v>0</v>
      </c>
      <c r="N74" s="117">
        <v>0</v>
      </c>
      <c r="O74" s="118">
        <v>0</v>
      </c>
      <c r="P74" s="39">
        <f>SUM(J74:O74)</f>
        <v>2</v>
      </c>
      <c r="R74" s="39">
        <f>SUM(P74+H74)</f>
        <v>24</v>
      </c>
    </row>
    <row r="75" spans="1:18" ht="15.75" customHeight="1">
      <c r="A75" s="40">
        <v>0.76041666666666663</v>
      </c>
      <c r="B75" s="23">
        <v>15</v>
      </c>
      <c r="C75" s="22">
        <v>2</v>
      </c>
      <c r="D75" s="22">
        <v>0</v>
      </c>
      <c r="E75" s="22">
        <v>0</v>
      </c>
      <c r="F75" s="22">
        <v>0</v>
      </c>
      <c r="G75" s="41">
        <v>0</v>
      </c>
      <c r="H75" s="42">
        <f>SUM(B75:G75)</f>
        <v>17</v>
      </c>
      <c r="J75" s="23">
        <v>2</v>
      </c>
      <c r="K75" s="22">
        <v>0</v>
      </c>
      <c r="L75" s="22">
        <v>0</v>
      </c>
      <c r="M75" s="22">
        <v>0</v>
      </c>
      <c r="N75" s="22">
        <v>0</v>
      </c>
      <c r="O75" s="41">
        <v>0</v>
      </c>
      <c r="P75" s="42">
        <f>SUM(J75:O75)</f>
        <v>2</v>
      </c>
      <c r="R75" s="42">
        <f>SUM(P75+H75)</f>
        <v>19</v>
      </c>
    </row>
    <row r="76" spans="1:18" ht="15.75" customHeight="1">
      <c r="A76" s="40">
        <v>0.77083333333333337</v>
      </c>
      <c r="B76" s="23">
        <v>8</v>
      </c>
      <c r="C76" s="22">
        <v>0</v>
      </c>
      <c r="D76" s="22">
        <v>0</v>
      </c>
      <c r="E76" s="22">
        <v>0</v>
      </c>
      <c r="F76" s="22">
        <v>0</v>
      </c>
      <c r="G76" s="41">
        <v>0</v>
      </c>
      <c r="H76" s="42">
        <f>SUM(B76:G76)</f>
        <v>8</v>
      </c>
      <c r="J76" s="23">
        <v>4</v>
      </c>
      <c r="K76" s="22">
        <v>2</v>
      </c>
      <c r="L76" s="22">
        <v>0</v>
      </c>
      <c r="M76" s="22">
        <v>0</v>
      </c>
      <c r="N76" s="22">
        <v>0</v>
      </c>
      <c r="O76" s="41">
        <v>0</v>
      </c>
      <c r="P76" s="42">
        <f>SUM(J76:O76)</f>
        <v>6</v>
      </c>
      <c r="R76" s="42">
        <f>SUM(P76+H76)</f>
        <v>14</v>
      </c>
    </row>
    <row r="77" spans="1:18" ht="15.75" customHeight="1">
      <c r="A77" s="43">
        <v>0.78125</v>
      </c>
      <c r="B77" s="28">
        <v>6</v>
      </c>
      <c r="C77" s="29">
        <v>0</v>
      </c>
      <c r="D77" s="29">
        <v>0</v>
      </c>
      <c r="E77" s="29">
        <v>0</v>
      </c>
      <c r="F77" s="29">
        <v>0</v>
      </c>
      <c r="G77" s="30">
        <v>0</v>
      </c>
      <c r="H77" s="44">
        <f>SUM(B77:G77)</f>
        <v>6</v>
      </c>
      <c r="J77" s="28">
        <v>4</v>
      </c>
      <c r="K77" s="29">
        <v>0</v>
      </c>
      <c r="L77" s="29">
        <v>0</v>
      </c>
      <c r="M77" s="29">
        <v>0</v>
      </c>
      <c r="N77" s="29">
        <v>0</v>
      </c>
      <c r="O77" s="30">
        <v>0</v>
      </c>
      <c r="P77" s="44">
        <f>SUM(J77:O77)</f>
        <v>4</v>
      </c>
      <c r="R77" s="44">
        <f>SUM(P77+H77)</f>
        <v>10</v>
      </c>
    </row>
    <row r="78" spans="1:18" ht="15.75" customHeight="1">
      <c r="A78" s="33" t="s">
        <v>33</v>
      </c>
      <c r="B78" s="31">
        <f>SUM(B74:B77)</f>
        <v>47</v>
      </c>
      <c r="C78" s="32">
        <f t="shared" ref="C78:G78" si="49">SUM(C74:C77)</f>
        <v>6</v>
      </c>
      <c r="D78" s="32">
        <f t="shared" si="49"/>
        <v>0</v>
      </c>
      <c r="E78" s="32">
        <f t="shared" si="49"/>
        <v>0</v>
      </c>
      <c r="F78" s="32">
        <f t="shared" si="49"/>
        <v>0</v>
      </c>
      <c r="G78" s="119">
        <f t="shared" si="49"/>
        <v>0</v>
      </c>
      <c r="H78" s="33">
        <f t="shared" ref="H78" si="50">SUM(H74:H77)</f>
        <v>53</v>
      </c>
      <c r="J78" s="31">
        <f t="shared" ref="J78:N78" si="51">SUM(J74:J77)</f>
        <v>12</v>
      </c>
      <c r="K78" s="32">
        <f t="shared" si="51"/>
        <v>2</v>
      </c>
      <c r="L78" s="32">
        <f t="shared" si="51"/>
        <v>0</v>
      </c>
      <c r="M78" s="32">
        <f t="shared" si="51"/>
        <v>0</v>
      </c>
      <c r="N78" s="32">
        <f t="shared" si="51"/>
        <v>0</v>
      </c>
      <c r="O78" s="119">
        <f>SUM(O74:O77)</f>
        <v>0</v>
      </c>
      <c r="P78" s="33">
        <f>SUM(P74:P77)</f>
        <v>14</v>
      </c>
      <c r="R78" s="33">
        <f>SUM(R74:R77)</f>
        <v>67</v>
      </c>
    </row>
    <row r="80" spans="1:18" ht="15.75" customHeight="1">
      <c r="A80" s="33" t="s">
        <v>34</v>
      </c>
      <c r="B80" s="31">
        <f>SUM(B78+B73+B68+B63+B58+B53)</f>
        <v>219</v>
      </c>
      <c r="C80" s="32">
        <f t="shared" ref="C80:H80" si="52">SUM(C78+C73+C68+C63+C58+C53)</f>
        <v>39</v>
      </c>
      <c r="D80" s="32">
        <f t="shared" si="52"/>
        <v>0</v>
      </c>
      <c r="E80" s="32">
        <f t="shared" si="52"/>
        <v>0</v>
      </c>
      <c r="F80" s="32">
        <f t="shared" si="52"/>
        <v>0</v>
      </c>
      <c r="G80" s="119">
        <f t="shared" si="52"/>
        <v>8</v>
      </c>
      <c r="H80" s="33">
        <f t="shared" si="52"/>
        <v>266</v>
      </c>
      <c r="J80" s="31">
        <f>SUM(J78+J73+J68+J63+J58+J53)</f>
        <v>38</v>
      </c>
      <c r="K80" s="32">
        <f t="shared" ref="K80:P80" si="53">SUM(K78+K73+K68+K63+K58+K53)</f>
        <v>10</v>
      </c>
      <c r="L80" s="32">
        <f t="shared" si="53"/>
        <v>0</v>
      </c>
      <c r="M80" s="32">
        <f t="shared" si="53"/>
        <v>0</v>
      </c>
      <c r="N80" s="32">
        <f t="shared" si="53"/>
        <v>0</v>
      </c>
      <c r="O80" s="119">
        <f t="shared" si="53"/>
        <v>1</v>
      </c>
      <c r="P80" s="33">
        <f t="shared" si="53"/>
        <v>49</v>
      </c>
      <c r="R80" s="33">
        <f>SUM(R78+R73+R68+R63+R58+R53)</f>
        <v>315</v>
      </c>
    </row>
    <row r="82" spans="1:18" ht="15.75" customHeight="1">
      <c r="A82" s="33" t="s">
        <v>26</v>
      </c>
      <c r="B82" s="31">
        <f>SUM(B43+B80)</f>
        <v>401</v>
      </c>
      <c r="C82" s="32">
        <f t="shared" ref="C82:G82" si="54">SUM(C43+C80)</f>
        <v>72</v>
      </c>
      <c r="D82" s="32">
        <f t="shared" si="54"/>
        <v>1</v>
      </c>
      <c r="E82" s="32">
        <f t="shared" si="54"/>
        <v>0</v>
      </c>
      <c r="F82" s="32">
        <f t="shared" si="54"/>
        <v>0</v>
      </c>
      <c r="G82" s="119">
        <f t="shared" si="54"/>
        <v>9</v>
      </c>
      <c r="H82" s="33">
        <f>SUM(H43+H80)</f>
        <v>483</v>
      </c>
      <c r="J82" s="31">
        <f>SUM(J43+J80)</f>
        <v>75</v>
      </c>
      <c r="K82" s="32">
        <f t="shared" ref="K82:O82" si="55">SUM(K43+K80)</f>
        <v>13</v>
      </c>
      <c r="L82" s="32">
        <f t="shared" si="55"/>
        <v>0</v>
      </c>
      <c r="M82" s="32">
        <f t="shared" si="55"/>
        <v>0</v>
      </c>
      <c r="N82" s="32">
        <f t="shared" si="55"/>
        <v>0</v>
      </c>
      <c r="O82" s="119">
        <f t="shared" si="55"/>
        <v>1</v>
      </c>
      <c r="P82" s="33">
        <f>SUM(P43+P80)</f>
        <v>89</v>
      </c>
      <c r="R82" s="33">
        <f>SUM(R43+R80)</f>
        <v>572</v>
      </c>
    </row>
  </sheetData>
  <mergeCells count="2">
    <mergeCell ref="R9:R10"/>
    <mergeCell ref="R46:R47"/>
  </mergeCells>
  <pageMargins left="0.7" right="0.7" top="0.75" bottom="0.75" header="0.3" footer="0.3"/>
  <pageSetup paperSize="9" scale="69" orientation="landscape" r:id="rId1"/>
  <rowBreaks count="1" manualBreakCount="1">
    <brk id="4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836"/>
  <sheetViews>
    <sheetView showGridLines="0" defaultGridColor="0" colorId="8" zoomScale="75" zoomScaleNormal="75" zoomScaleSheetLayoutView="50" workbookViewId="0"/>
  </sheetViews>
  <sheetFormatPr defaultColWidth="6.7109375" defaultRowHeight="15"/>
  <cols>
    <col min="1" max="1" width="8.28515625" style="63" customWidth="1"/>
    <col min="2" max="4" width="8.7109375" style="53" customWidth="1"/>
    <col min="5" max="5" width="1.7109375" style="53" customWidth="1"/>
    <col min="6" max="8" width="8.7109375" style="53" customWidth="1"/>
    <col min="9" max="9" width="3.5703125" style="53" customWidth="1"/>
    <col min="10" max="12" width="8.7109375" style="53" customWidth="1"/>
    <col min="13" max="13" width="1.7109375" style="51" customWidth="1"/>
    <col min="14" max="16" width="8.7109375" style="51" customWidth="1"/>
    <col min="17" max="256" width="6.7109375" style="51"/>
    <col min="257" max="257" width="8.28515625" style="51" customWidth="1"/>
    <col min="258" max="260" width="8.7109375" style="51" customWidth="1"/>
    <col min="261" max="261" width="1.7109375" style="51" customWidth="1"/>
    <col min="262" max="264" width="8.7109375" style="51" customWidth="1"/>
    <col min="265" max="265" width="3.5703125" style="51" customWidth="1"/>
    <col min="266" max="268" width="8.7109375" style="51" customWidth="1"/>
    <col min="269" max="269" width="1.7109375" style="51" customWidth="1"/>
    <col min="270" max="272" width="8.7109375" style="51" customWidth="1"/>
    <col min="273" max="512" width="6.7109375" style="51"/>
    <col min="513" max="513" width="8.28515625" style="51" customWidth="1"/>
    <col min="514" max="516" width="8.7109375" style="51" customWidth="1"/>
    <col min="517" max="517" width="1.7109375" style="51" customWidth="1"/>
    <col min="518" max="520" width="8.7109375" style="51" customWidth="1"/>
    <col min="521" max="521" width="3.5703125" style="51" customWidth="1"/>
    <col min="522" max="524" width="8.7109375" style="51" customWidth="1"/>
    <col min="525" max="525" width="1.7109375" style="51" customWidth="1"/>
    <col min="526" max="528" width="8.7109375" style="51" customWidth="1"/>
    <col min="529" max="768" width="6.7109375" style="51"/>
    <col min="769" max="769" width="8.28515625" style="51" customWidth="1"/>
    <col min="770" max="772" width="8.7109375" style="51" customWidth="1"/>
    <col min="773" max="773" width="1.7109375" style="51" customWidth="1"/>
    <col min="774" max="776" width="8.7109375" style="51" customWidth="1"/>
    <col min="777" max="777" width="3.5703125" style="51" customWidth="1"/>
    <col min="778" max="780" width="8.7109375" style="51" customWidth="1"/>
    <col min="781" max="781" width="1.7109375" style="51" customWidth="1"/>
    <col min="782" max="784" width="8.7109375" style="51" customWidth="1"/>
    <col min="785" max="1024" width="6.7109375" style="51"/>
    <col min="1025" max="1025" width="8.28515625" style="51" customWidth="1"/>
    <col min="1026" max="1028" width="8.7109375" style="51" customWidth="1"/>
    <col min="1029" max="1029" width="1.7109375" style="51" customWidth="1"/>
    <col min="1030" max="1032" width="8.7109375" style="51" customWidth="1"/>
    <col min="1033" max="1033" width="3.5703125" style="51" customWidth="1"/>
    <col min="1034" max="1036" width="8.7109375" style="51" customWidth="1"/>
    <col min="1037" max="1037" width="1.7109375" style="51" customWidth="1"/>
    <col min="1038" max="1040" width="8.7109375" style="51" customWidth="1"/>
    <col min="1041" max="1280" width="6.7109375" style="51"/>
    <col min="1281" max="1281" width="8.28515625" style="51" customWidth="1"/>
    <col min="1282" max="1284" width="8.7109375" style="51" customWidth="1"/>
    <col min="1285" max="1285" width="1.7109375" style="51" customWidth="1"/>
    <col min="1286" max="1288" width="8.7109375" style="51" customWidth="1"/>
    <col min="1289" max="1289" width="3.5703125" style="51" customWidth="1"/>
    <col min="1290" max="1292" width="8.7109375" style="51" customWidth="1"/>
    <col min="1293" max="1293" width="1.7109375" style="51" customWidth="1"/>
    <col min="1294" max="1296" width="8.7109375" style="51" customWidth="1"/>
    <col min="1297" max="1536" width="6.7109375" style="51"/>
    <col min="1537" max="1537" width="8.28515625" style="51" customWidth="1"/>
    <col min="1538" max="1540" width="8.7109375" style="51" customWidth="1"/>
    <col min="1541" max="1541" width="1.7109375" style="51" customWidth="1"/>
    <col min="1542" max="1544" width="8.7109375" style="51" customWidth="1"/>
    <col min="1545" max="1545" width="3.5703125" style="51" customWidth="1"/>
    <col min="1546" max="1548" width="8.7109375" style="51" customWidth="1"/>
    <col min="1549" max="1549" width="1.7109375" style="51" customWidth="1"/>
    <col min="1550" max="1552" width="8.7109375" style="51" customWidth="1"/>
    <col min="1553" max="1792" width="6.7109375" style="51"/>
    <col min="1793" max="1793" width="8.28515625" style="51" customWidth="1"/>
    <col min="1794" max="1796" width="8.7109375" style="51" customWidth="1"/>
    <col min="1797" max="1797" width="1.7109375" style="51" customWidth="1"/>
    <col min="1798" max="1800" width="8.7109375" style="51" customWidth="1"/>
    <col min="1801" max="1801" width="3.5703125" style="51" customWidth="1"/>
    <col min="1802" max="1804" width="8.7109375" style="51" customWidth="1"/>
    <col min="1805" max="1805" width="1.7109375" style="51" customWidth="1"/>
    <col min="1806" max="1808" width="8.7109375" style="51" customWidth="1"/>
    <col min="1809" max="2048" width="6.7109375" style="51"/>
    <col min="2049" max="2049" width="8.28515625" style="51" customWidth="1"/>
    <col min="2050" max="2052" width="8.7109375" style="51" customWidth="1"/>
    <col min="2053" max="2053" width="1.7109375" style="51" customWidth="1"/>
    <col min="2054" max="2056" width="8.7109375" style="51" customWidth="1"/>
    <col min="2057" max="2057" width="3.5703125" style="51" customWidth="1"/>
    <col min="2058" max="2060" width="8.7109375" style="51" customWidth="1"/>
    <col min="2061" max="2061" width="1.7109375" style="51" customWidth="1"/>
    <col min="2062" max="2064" width="8.7109375" style="51" customWidth="1"/>
    <col min="2065" max="2304" width="6.7109375" style="51"/>
    <col min="2305" max="2305" width="8.28515625" style="51" customWidth="1"/>
    <col min="2306" max="2308" width="8.7109375" style="51" customWidth="1"/>
    <col min="2309" max="2309" width="1.7109375" style="51" customWidth="1"/>
    <col min="2310" max="2312" width="8.7109375" style="51" customWidth="1"/>
    <col min="2313" max="2313" width="3.5703125" style="51" customWidth="1"/>
    <col min="2314" max="2316" width="8.7109375" style="51" customWidth="1"/>
    <col min="2317" max="2317" width="1.7109375" style="51" customWidth="1"/>
    <col min="2318" max="2320" width="8.7109375" style="51" customWidth="1"/>
    <col min="2321" max="2560" width="6.7109375" style="51"/>
    <col min="2561" max="2561" width="8.28515625" style="51" customWidth="1"/>
    <col min="2562" max="2564" width="8.7109375" style="51" customWidth="1"/>
    <col min="2565" max="2565" width="1.7109375" style="51" customWidth="1"/>
    <col min="2566" max="2568" width="8.7109375" style="51" customWidth="1"/>
    <col min="2569" max="2569" width="3.5703125" style="51" customWidth="1"/>
    <col min="2570" max="2572" width="8.7109375" style="51" customWidth="1"/>
    <col min="2573" max="2573" width="1.7109375" style="51" customWidth="1"/>
    <col min="2574" max="2576" width="8.7109375" style="51" customWidth="1"/>
    <col min="2577" max="2816" width="6.7109375" style="51"/>
    <col min="2817" max="2817" width="8.28515625" style="51" customWidth="1"/>
    <col min="2818" max="2820" width="8.7109375" style="51" customWidth="1"/>
    <col min="2821" max="2821" width="1.7109375" style="51" customWidth="1"/>
    <col min="2822" max="2824" width="8.7109375" style="51" customWidth="1"/>
    <col min="2825" max="2825" width="3.5703125" style="51" customWidth="1"/>
    <col min="2826" max="2828" width="8.7109375" style="51" customWidth="1"/>
    <col min="2829" max="2829" width="1.7109375" style="51" customWidth="1"/>
    <col min="2830" max="2832" width="8.7109375" style="51" customWidth="1"/>
    <col min="2833" max="3072" width="6.7109375" style="51"/>
    <col min="3073" max="3073" width="8.28515625" style="51" customWidth="1"/>
    <col min="3074" max="3076" width="8.7109375" style="51" customWidth="1"/>
    <col min="3077" max="3077" width="1.7109375" style="51" customWidth="1"/>
    <col min="3078" max="3080" width="8.7109375" style="51" customWidth="1"/>
    <col min="3081" max="3081" width="3.5703125" style="51" customWidth="1"/>
    <col min="3082" max="3084" width="8.7109375" style="51" customWidth="1"/>
    <col min="3085" max="3085" width="1.7109375" style="51" customWidth="1"/>
    <col min="3086" max="3088" width="8.7109375" style="51" customWidth="1"/>
    <col min="3089" max="3328" width="6.7109375" style="51"/>
    <col min="3329" max="3329" width="8.28515625" style="51" customWidth="1"/>
    <col min="3330" max="3332" width="8.7109375" style="51" customWidth="1"/>
    <col min="3333" max="3333" width="1.7109375" style="51" customWidth="1"/>
    <col min="3334" max="3336" width="8.7109375" style="51" customWidth="1"/>
    <col min="3337" max="3337" width="3.5703125" style="51" customWidth="1"/>
    <col min="3338" max="3340" width="8.7109375" style="51" customWidth="1"/>
    <col min="3341" max="3341" width="1.7109375" style="51" customWidth="1"/>
    <col min="3342" max="3344" width="8.7109375" style="51" customWidth="1"/>
    <col min="3345" max="3584" width="6.7109375" style="51"/>
    <col min="3585" max="3585" width="8.28515625" style="51" customWidth="1"/>
    <col min="3586" max="3588" width="8.7109375" style="51" customWidth="1"/>
    <col min="3589" max="3589" width="1.7109375" style="51" customWidth="1"/>
    <col min="3590" max="3592" width="8.7109375" style="51" customWidth="1"/>
    <col min="3593" max="3593" width="3.5703125" style="51" customWidth="1"/>
    <col min="3594" max="3596" width="8.7109375" style="51" customWidth="1"/>
    <col min="3597" max="3597" width="1.7109375" style="51" customWidth="1"/>
    <col min="3598" max="3600" width="8.7109375" style="51" customWidth="1"/>
    <col min="3601" max="3840" width="6.7109375" style="51"/>
    <col min="3841" max="3841" width="8.28515625" style="51" customWidth="1"/>
    <col min="3842" max="3844" width="8.7109375" style="51" customWidth="1"/>
    <col min="3845" max="3845" width="1.7109375" style="51" customWidth="1"/>
    <col min="3846" max="3848" width="8.7109375" style="51" customWidth="1"/>
    <col min="3849" max="3849" width="3.5703125" style="51" customWidth="1"/>
    <col min="3850" max="3852" width="8.7109375" style="51" customWidth="1"/>
    <col min="3853" max="3853" width="1.7109375" style="51" customWidth="1"/>
    <col min="3854" max="3856" width="8.7109375" style="51" customWidth="1"/>
    <col min="3857" max="4096" width="6.7109375" style="51"/>
    <col min="4097" max="4097" width="8.28515625" style="51" customWidth="1"/>
    <col min="4098" max="4100" width="8.7109375" style="51" customWidth="1"/>
    <col min="4101" max="4101" width="1.7109375" style="51" customWidth="1"/>
    <col min="4102" max="4104" width="8.7109375" style="51" customWidth="1"/>
    <col min="4105" max="4105" width="3.5703125" style="51" customWidth="1"/>
    <col min="4106" max="4108" width="8.7109375" style="51" customWidth="1"/>
    <col min="4109" max="4109" width="1.7109375" style="51" customWidth="1"/>
    <col min="4110" max="4112" width="8.7109375" style="51" customWidth="1"/>
    <col min="4113" max="4352" width="6.7109375" style="51"/>
    <col min="4353" max="4353" width="8.28515625" style="51" customWidth="1"/>
    <col min="4354" max="4356" width="8.7109375" style="51" customWidth="1"/>
    <col min="4357" max="4357" width="1.7109375" style="51" customWidth="1"/>
    <col min="4358" max="4360" width="8.7109375" style="51" customWidth="1"/>
    <col min="4361" max="4361" width="3.5703125" style="51" customWidth="1"/>
    <col min="4362" max="4364" width="8.7109375" style="51" customWidth="1"/>
    <col min="4365" max="4365" width="1.7109375" style="51" customWidth="1"/>
    <col min="4366" max="4368" width="8.7109375" style="51" customWidth="1"/>
    <col min="4369" max="4608" width="6.7109375" style="51"/>
    <col min="4609" max="4609" width="8.28515625" style="51" customWidth="1"/>
    <col min="4610" max="4612" width="8.7109375" style="51" customWidth="1"/>
    <col min="4613" max="4613" width="1.7109375" style="51" customWidth="1"/>
    <col min="4614" max="4616" width="8.7109375" style="51" customWidth="1"/>
    <col min="4617" max="4617" width="3.5703125" style="51" customWidth="1"/>
    <col min="4618" max="4620" width="8.7109375" style="51" customWidth="1"/>
    <col min="4621" max="4621" width="1.7109375" style="51" customWidth="1"/>
    <col min="4622" max="4624" width="8.7109375" style="51" customWidth="1"/>
    <col min="4625" max="4864" width="6.7109375" style="51"/>
    <col min="4865" max="4865" width="8.28515625" style="51" customWidth="1"/>
    <col min="4866" max="4868" width="8.7109375" style="51" customWidth="1"/>
    <col min="4869" max="4869" width="1.7109375" style="51" customWidth="1"/>
    <col min="4870" max="4872" width="8.7109375" style="51" customWidth="1"/>
    <col min="4873" max="4873" width="3.5703125" style="51" customWidth="1"/>
    <col min="4874" max="4876" width="8.7109375" style="51" customWidth="1"/>
    <col min="4877" max="4877" width="1.7109375" style="51" customWidth="1"/>
    <col min="4878" max="4880" width="8.7109375" style="51" customWidth="1"/>
    <col min="4881" max="5120" width="6.7109375" style="51"/>
    <col min="5121" max="5121" width="8.28515625" style="51" customWidth="1"/>
    <col min="5122" max="5124" width="8.7109375" style="51" customWidth="1"/>
    <col min="5125" max="5125" width="1.7109375" style="51" customWidth="1"/>
    <col min="5126" max="5128" width="8.7109375" style="51" customWidth="1"/>
    <col min="5129" max="5129" width="3.5703125" style="51" customWidth="1"/>
    <col min="5130" max="5132" width="8.7109375" style="51" customWidth="1"/>
    <col min="5133" max="5133" width="1.7109375" style="51" customWidth="1"/>
    <col min="5134" max="5136" width="8.7109375" style="51" customWidth="1"/>
    <col min="5137" max="5376" width="6.7109375" style="51"/>
    <col min="5377" max="5377" width="8.28515625" style="51" customWidth="1"/>
    <col min="5378" max="5380" width="8.7109375" style="51" customWidth="1"/>
    <col min="5381" max="5381" width="1.7109375" style="51" customWidth="1"/>
    <col min="5382" max="5384" width="8.7109375" style="51" customWidth="1"/>
    <col min="5385" max="5385" width="3.5703125" style="51" customWidth="1"/>
    <col min="5386" max="5388" width="8.7109375" style="51" customWidth="1"/>
    <col min="5389" max="5389" width="1.7109375" style="51" customWidth="1"/>
    <col min="5390" max="5392" width="8.7109375" style="51" customWidth="1"/>
    <col min="5393" max="5632" width="6.7109375" style="51"/>
    <col min="5633" max="5633" width="8.28515625" style="51" customWidth="1"/>
    <col min="5634" max="5636" width="8.7109375" style="51" customWidth="1"/>
    <col min="5637" max="5637" width="1.7109375" style="51" customWidth="1"/>
    <col min="5638" max="5640" width="8.7109375" style="51" customWidth="1"/>
    <col min="5641" max="5641" width="3.5703125" style="51" customWidth="1"/>
    <col min="5642" max="5644" width="8.7109375" style="51" customWidth="1"/>
    <col min="5645" max="5645" width="1.7109375" style="51" customWidth="1"/>
    <col min="5646" max="5648" width="8.7109375" style="51" customWidth="1"/>
    <col min="5649" max="5888" width="6.7109375" style="51"/>
    <col min="5889" max="5889" width="8.28515625" style="51" customWidth="1"/>
    <col min="5890" max="5892" width="8.7109375" style="51" customWidth="1"/>
    <col min="5893" max="5893" width="1.7109375" style="51" customWidth="1"/>
    <col min="5894" max="5896" width="8.7109375" style="51" customWidth="1"/>
    <col min="5897" max="5897" width="3.5703125" style="51" customWidth="1"/>
    <col min="5898" max="5900" width="8.7109375" style="51" customWidth="1"/>
    <col min="5901" max="5901" width="1.7109375" style="51" customWidth="1"/>
    <col min="5902" max="5904" width="8.7109375" style="51" customWidth="1"/>
    <col min="5905" max="6144" width="6.7109375" style="51"/>
    <col min="6145" max="6145" width="8.28515625" style="51" customWidth="1"/>
    <col min="6146" max="6148" width="8.7109375" style="51" customWidth="1"/>
    <col min="6149" max="6149" width="1.7109375" style="51" customWidth="1"/>
    <col min="6150" max="6152" width="8.7109375" style="51" customWidth="1"/>
    <col min="6153" max="6153" width="3.5703125" style="51" customWidth="1"/>
    <col min="6154" max="6156" width="8.7109375" style="51" customWidth="1"/>
    <col min="6157" max="6157" width="1.7109375" style="51" customWidth="1"/>
    <col min="6158" max="6160" width="8.7109375" style="51" customWidth="1"/>
    <col min="6161" max="6400" width="6.7109375" style="51"/>
    <col min="6401" max="6401" width="8.28515625" style="51" customWidth="1"/>
    <col min="6402" max="6404" width="8.7109375" style="51" customWidth="1"/>
    <col min="6405" max="6405" width="1.7109375" style="51" customWidth="1"/>
    <col min="6406" max="6408" width="8.7109375" style="51" customWidth="1"/>
    <col min="6409" max="6409" width="3.5703125" style="51" customWidth="1"/>
    <col min="6410" max="6412" width="8.7109375" style="51" customWidth="1"/>
    <col min="6413" max="6413" width="1.7109375" style="51" customWidth="1"/>
    <col min="6414" max="6416" width="8.7109375" style="51" customWidth="1"/>
    <col min="6417" max="6656" width="6.7109375" style="51"/>
    <col min="6657" max="6657" width="8.28515625" style="51" customWidth="1"/>
    <col min="6658" max="6660" width="8.7109375" style="51" customWidth="1"/>
    <col min="6661" max="6661" width="1.7109375" style="51" customWidth="1"/>
    <col min="6662" max="6664" width="8.7109375" style="51" customWidth="1"/>
    <col min="6665" max="6665" width="3.5703125" style="51" customWidth="1"/>
    <col min="6666" max="6668" width="8.7109375" style="51" customWidth="1"/>
    <col min="6669" max="6669" width="1.7109375" style="51" customWidth="1"/>
    <col min="6670" max="6672" width="8.7109375" style="51" customWidth="1"/>
    <col min="6673" max="6912" width="6.7109375" style="51"/>
    <col min="6913" max="6913" width="8.28515625" style="51" customWidth="1"/>
    <col min="6914" max="6916" width="8.7109375" style="51" customWidth="1"/>
    <col min="6917" max="6917" width="1.7109375" style="51" customWidth="1"/>
    <col min="6918" max="6920" width="8.7109375" style="51" customWidth="1"/>
    <col min="6921" max="6921" width="3.5703125" style="51" customWidth="1"/>
    <col min="6922" max="6924" width="8.7109375" style="51" customWidth="1"/>
    <col min="6925" max="6925" width="1.7109375" style="51" customWidth="1"/>
    <col min="6926" max="6928" width="8.7109375" style="51" customWidth="1"/>
    <col min="6929" max="7168" width="6.7109375" style="51"/>
    <col min="7169" max="7169" width="8.28515625" style="51" customWidth="1"/>
    <col min="7170" max="7172" width="8.7109375" style="51" customWidth="1"/>
    <col min="7173" max="7173" width="1.7109375" style="51" customWidth="1"/>
    <col min="7174" max="7176" width="8.7109375" style="51" customWidth="1"/>
    <col min="7177" max="7177" width="3.5703125" style="51" customWidth="1"/>
    <col min="7178" max="7180" width="8.7109375" style="51" customWidth="1"/>
    <col min="7181" max="7181" width="1.7109375" style="51" customWidth="1"/>
    <col min="7182" max="7184" width="8.7109375" style="51" customWidth="1"/>
    <col min="7185" max="7424" width="6.7109375" style="51"/>
    <col min="7425" max="7425" width="8.28515625" style="51" customWidth="1"/>
    <col min="7426" max="7428" width="8.7109375" style="51" customWidth="1"/>
    <col min="7429" max="7429" width="1.7109375" style="51" customWidth="1"/>
    <col min="7430" max="7432" width="8.7109375" style="51" customWidth="1"/>
    <col min="7433" max="7433" width="3.5703125" style="51" customWidth="1"/>
    <col min="7434" max="7436" width="8.7109375" style="51" customWidth="1"/>
    <col min="7437" max="7437" width="1.7109375" style="51" customWidth="1"/>
    <col min="7438" max="7440" width="8.7109375" style="51" customWidth="1"/>
    <col min="7441" max="7680" width="6.7109375" style="51"/>
    <col min="7681" max="7681" width="8.28515625" style="51" customWidth="1"/>
    <col min="7682" max="7684" width="8.7109375" style="51" customWidth="1"/>
    <col min="7685" max="7685" width="1.7109375" style="51" customWidth="1"/>
    <col min="7686" max="7688" width="8.7109375" style="51" customWidth="1"/>
    <col min="7689" max="7689" width="3.5703125" style="51" customWidth="1"/>
    <col min="7690" max="7692" width="8.7109375" style="51" customWidth="1"/>
    <col min="7693" max="7693" width="1.7109375" style="51" customWidth="1"/>
    <col min="7694" max="7696" width="8.7109375" style="51" customWidth="1"/>
    <col min="7697" max="7936" width="6.7109375" style="51"/>
    <col min="7937" max="7937" width="8.28515625" style="51" customWidth="1"/>
    <col min="7938" max="7940" width="8.7109375" style="51" customWidth="1"/>
    <col min="7941" max="7941" width="1.7109375" style="51" customWidth="1"/>
    <col min="7942" max="7944" width="8.7109375" style="51" customWidth="1"/>
    <col min="7945" max="7945" width="3.5703125" style="51" customWidth="1"/>
    <col min="7946" max="7948" width="8.7109375" style="51" customWidth="1"/>
    <col min="7949" max="7949" width="1.7109375" style="51" customWidth="1"/>
    <col min="7950" max="7952" width="8.7109375" style="51" customWidth="1"/>
    <col min="7953" max="8192" width="6.7109375" style="51"/>
    <col min="8193" max="8193" width="8.28515625" style="51" customWidth="1"/>
    <col min="8194" max="8196" width="8.7109375" style="51" customWidth="1"/>
    <col min="8197" max="8197" width="1.7109375" style="51" customWidth="1"/>
    <col min="8198" max="8200" width="8.7109375" style="51" customWidth="1"/>
    <col min="8201" max="8201" width="3.5703125" style="51" customWidth="1"/>
    <col min="8202" max="8204" width="8.7109375" style="51" customWidth="1"/>
    <col min="8205" max="8205" width="1.7109375" style="51" customWidth="1"/>
    <col min="8206" max="8208" width="8.7109375" style="51" customWidth="1"/>
    <col min="8209" max="8448" width="6.7109375" style="51"/>
    <col min="8449" max="8449" width="8.28515625" style="51" customWidth="1"/>
    <col min="8450" max="8452" width="8.7109375" style="51" customWidth="1"/>
    <col min="8453" max="8453" width="1.7109375" style="51" customWidth="1"/>
    <col min="8454" max="8456" width="8.7109375" style="51" customWidth="1"/>
    <col min="8457" max="8457" width="3.5703125" style="51" customWidth="1"/>
    <col min="8458" max="8460" width="8.7109375" style="51" customWidth="1"/>
    <col min="8461" max="8461" width="1.7109375" style="51" customWidth="1"/>
    <col min="8462" max="8464" width="8.7109375" style="51" customWidth="1"/>
    <col min="8465" max="8704" width="6.7109375" style="51"/>
    <col min="8705" max="8705" width="8.28515625" style="51" customWidth="1"/>
    <col min="8706" max="8708" width="8.7109375" style="51" customWidth="1"/>
    <col min="8709" max="8709" width="1.7109375" style="51" customWidth="1"/>
    <col min="8710" max="8712" width="8.7109375" style="51" customWidth="1"/>
    <col min="8713" max="8713" width="3.5703125" style="51" customWidth="1"/>
    <col min="8714" max="8716" width="8.7109375" style="51" customWidth="1"/>
    <col min="8717" max="8717" width="1.7109375" style="51" customWidth="1"/>
    <col min="8718" max="8720" width="8.7109375" style="51" customWidth="1"/>
    <col min="8721" max="8960" width="6.7109375" style="51"/>
    <col min="8961" max="8961" width="8.28515625" style="51" customWidth="1"/>
    <col min="8962" max="8964" width="8.7109375" style="51" customWidth="1"/>
    <col min="8965" max="8965" width="1.7109375" style="51" customWidth="1"/>
    <col min="8966" max="8968" width="8.7109375" style="51" customWidth="1"/>
    <col min="8969" max="8969" width="3.5703125" style="51" customWidth="1"/>
    <col min="8970" max="8972" width="8.7109375" style="51" customWidth="1"/>
    <col min="8973" max="8973" width="1.7109375" style="51" customWidth="1"/>
    <col min="8974" max="8976" width="8.7109375" style="51" customWidth="1"/>
    <col min="8977" max="9216" width="6.7109375" style="51"/>
    <col min="9217" max="9217" width="8.28515625" style="51" customWidth="1"/>
    <col min="9218" max="9220" width="8.7109375" style="51" customWidth="1"/>
    <col min="9221" max="9221" width="1.7109375" style="51" customWidth="1"/>
    <col min="9222" max="9224" width="8.7109375" style="51" customWidth="1"/>
    <col min="9225" max="9225" width="3.5703125" style="51" customWidth="1"/>
    <col min="9226" max="9228" width="8.7109375" style="51" customWidth="1"/>
    <col min="9229" max="9229" width="1.7109375" style="51" customWidth="1"/>
    <col min="9230" max="9232" width="8.7109375" style="51" customWidth="1"/>
    <col min="9233" max="9472" width="6.7109375" style="51"/>
    <col min="9473" max="9473" width="8.28515625" style="51" customWidth="1"/>
    <col min="9474" max="9476" width="8.7109375" style="51" customWidth="1"/>
    <col min="9477" max="9477" width="1.7109375" style="51" customWidth="1"/>
    <col min="9478" max="9480" width="8.7109375" style="51" customWidth="1"/>
    <col min="9481" max="9481" width="3.5703125" style="51" customWidth="1"/>
    <col min="9482" max="9484" width="8.7109375" style="51" customWidth="1"/>
    <col min="9485" max="9485" width="1.7109375" style="51" customWidth="1"/>
    <col min="9486" max="9488" width="8.7109375" style="51" customWidth="1"/>
    <col min="9489" max="9728" width="6.7109375" style="51"/>
    <col min="9729" max="9729" width="8.28515625" style="51" customWidth="1"/>
    <col min="9730" max="9732" width="8.7109375" style="51" customWidth="1"/>
    <col min="9733" max="9733" width="1.7109375" style="51" customWidth="1"/>
    <col min="9734" max="9736" width="8.7109375" style="51" customWidth="1"/>
    <col min="9737" max="9737" width="3.5703125" style="51" customWidth="1"/>
    <col min="9738" max="9740" width="8.7109375" style="51" customWidth="1"/>
    <col min="9741" max="9741" width="1.7109375" style="51" customWidth="1"/>
    <col min="9742" max="9744" width="8.7109375" style="51" customWidth="1"/>
    <col min="9745" max="9984" width="6.7109375" style="51"/>
    <col min="9985" max="9985" width="8.28515625" style="51" customWidth="1"/>
    <col min="9986" max="9988" width="8.7109375" style="51" customWidth="1"/>
    <col min="9989" max="9989" width="1.7109375" style="51" customWidth="1"/>
    <col min="9990" max="9992" width="8.7109375" style="51" customWidth="1"/>
    <col min="9993" max="9993" width="3.5703125" style="51" customWidth="1"/>
    <col min="9994" max="9996" width="8.7109375" style="51" customWidth="1"/>
    <col min="9997" max="9997" width="1.7109375" style="51" customWidth="1"/>
    <col min="9998" max="10000" width="8.7109375" style="51" customWidth="1"/>
    <col min="10001" max="10240" width="6.7109375" style="51"/>
    <col min="10241" max="10241" width="8.28515625" style="51" customWidth="1"/>
    <col min="10242" max="10244" width="8.7109375" style="51" customWidth="1"/>
    <col min="10245" max="10245" width="1.7109375" style="51" customWidth="1"/>
    <col min="10246" max="10248" width="8.7109375" style="51" customWidth="1"/>
    <col min="10249" max="10249" width="3.5703125" style="51" customWidth="1"/>
    <col min="10250" max="10252" width="8.7109375" style="51" customWidth="1"/>
    <col min="10253" max="10253" width="1.7109375" style="51" customWidth="1"/>
    <col min="10254" max="10256" width="8.7109375" style="51" customWidth="1"/>
    <col min="10257" max="10496" width="6.7109375" style="51"/>
    <col min="10497" max="10497" width="8.28515625" style="51" customWidth="1"/>
    <col min="10498" max="10500" width="8.7109375" style="51" customWidth="1"/>
    <col min="10501" max="10501" width="1.7109375" style="51" customWidth="1"/>
    <col min="10502" max="10504" width="8.7109375" style="51" customWidth="1"/>
    <col min="10505" max="10505" width="3.5703125" style="51" customWidth="1"/>
    <col min="10506" max="10508" width="8.7109375" style="51" customWidth="1"/>
    <col min="10509" max="10509" width="1.7109375" style="51" customWidth="1"/>
    <col min="10510" max="10512" width="8.7109375" style="51" customWidth="1"/>
    <col min="10513" max="10752" width="6.7109375" style="51"/>
    <col min="10753" max="10753" width="8.28515625" style="51" customWidth="1"/>
    <col min="10754" max="10756" width="8.7109375" style="51" customWidth="1"/>
    <col min="10757" max="10757" width="1.7109375" style="51" customWidth="1"/>
    <col min="10758" max="10760" width="8.7109375" style="51" customWidth="1"/>
    <col min="10761" max="10761" width="3.5703125" style="51" customWidth="1"/>
    <col min="10762" max="10764" width="8.7109375" style="51" customWidth="1"/>
    <col min="10765" max="10765" width="1.7109375" style="51" customWidth="1"/>
    <col min="10766" max="10768" width="8.7109375" style="51" customWidth="1"/>
    <col min="10769" max="11008" width="6.7109375" style="51"/>
    <col min="11009" max="11009" width="8.28515625" style="51" customWidth="1"/>
    <col min="11010" max="11012" width="8.7109375" style="51" customWidth="1"/>
    <col min="11013" max="11013" width="1.7109375" style="51" customWidth="1"/>
    <col min="11014" max="11016" width="8.7109375" style="51" customWidth="1"/>
    <col min="11017" max="11017" width="3.5703125" style="51" customWidth="1"/>
    <col min="11018" max="11020" width="8.7109375" style="51" customWidth="1"/>
    <col min="11021" max="11021" width="1.7109375" style="51" customWidth="1"/>
    <col min="11022" max="11024" width="8.7109375" style="51" customWidth="1"/>
    <col min="11025" max="11264" width="6.7109375" style="51"/>
    <col min="11265" max="11265" width="8.28515625" style="51" customWidth="1"/>
    <col min="11266" max="11268" width="8.7109375" style="51" customWidth="1"/>
    <col min="11269" max="11269" width="1.7109375" style="51" customWidth="1"/>
    <col min="11270" max="11272" width="8.7109375" style="51" customWidth="1"/>
    <col min="11273" max="11273" width="3.5703125" style="51" customWidth="1"/>
    <col min="11274" max="11276" width="8.7109375" style="51" customWidth="1"/>
    <col min="11277" max="11277" width="1.7109375" style="51" customWidth="1"/>
    <col min="11278" max="11280" width="8.7109375" style="51" customWidth="1"/>
    <col min="11281" max="11520" width="6.7109375" style="51"/>
    <col min="11521" max="11521" width="8.28515625" style="51" customWidth="1"/>
    <col min="11522" max="11524" width="8.7109375" style="51" customWidth="1"/>
    <col min="11525" max="11525" width="1.7109375" style="51" customWidth="1"/>
    <col min="11526" max="11528" width="8.7109375" style="51" customWidth="1"/>
    <col min="11529" max="11529" width="3.5703125" style="51" customWidth="1"/>
    <col min="11530" max="11532" width="8.7109375" style="51" customWidth="1"/>
    <col min="11533" max="11533" width="1.7109375" style="51" customWidth="1"/>
    <col min="11534" max="11536" width="8.7109375" style="51" customWidth="1"/>
    <col min="11537" max="11776" width="6.7109375" style="51"/>
    <col min="11777" max="11777" width="8.28515625" style="51" customWidth="1"/>
    <col min="11778" max="11780" width="8.7109375" style="51" customWidth="1"/>
    <col min="11781" max="11781" width="1.7109375" style="51" customWidth="1"/>
    <col min="11782" max="11784" width="8.7109375" style="51" customWidth="1"/>
    <col min="11785" max="11785" width="3.5703125" style="51" customWidth="1"/>
    <col min="11786" max="11788" width="8.7109375" style="51" customWidth="1"/>
    <col min="11789" max="11789" width="1.7109375" style="51" customWidth="1"/>
    <col min="11790" max="11792" width="8.7109375" style="51" customWidth="1"/>
    <col min="11793" max="12032" width="6.7109375" style="51"/>
    <col min="12033" max="12033" width="8.28515625" style="51" customWidth="1"/>
    <col min="12034" max="12036" width="8.7109375" style="51" customWidth="1"/>
    <col min="12037" max="12037" width="1.7109375" style="51" customWidth="1"/>
    <col min="12038" max="12040" width="8.7109375" style="51" customWidth="1"/>
    <col min="12041" max="12041" width="3.5703125" style="51" customWidth="1"/>
    <col min="12042" max="12044" width="8.7109375" style="51" customWidth="1"/>
    <col min="12045" max="12045" width="1.7109375" style="51" customWidth="1"/>
    <col min="12046" max="12048" width="8.7109375" style="51" customWidth="1"/>
    <col min="12049" max="12288" width="6.7109375" style="51"/>
    <col min="12289" max="12289" width="8.28515625" style="51" customWidth="1"/>
    <col min="12290" max="12292" width="8.7109375" style="51" customWidth="1"/>
    <col min="12293" max="12293" width="1.7109375" style="51" customWidth="1"/>
    <col min="12294" max="12296" width="8.7109375" style="51" customWidth="1"/>
    <col min="12297" max="12297" width="3.5703125" style="51" customWidth="1"/>
    <col min="12298" max="12300" width="8.7109375" style="51" customWidth="1"/>
    <col min="12301" max="12301" width="1.7109375" style="51" customWidth="1"/>
    <col min="12302" max="12304" width="8.7109375" style="51" customWidth="1"/>
    <col min="12305" max="12544" width="6.7109375" style="51"/>
    <col min="12545" max="12545" width="8.28515625" style="51" customWidth="1"/>
    <col min="12546" max="12548" width="8.7109375" style="51" customWidth="1"/>
    <col min="12549" max="12549" width="1.7109375" style="51" customWidth="1"/>
    <col min="12550" max="12552" width="8.7109375" style="51" customWidth="1"/>
    <col min="12553" max="12553" width="3.5703125" style="51" customWidth="1"/>
    <col min="12554" max="12556" width="8.7109375" style="51" customWidth="1"/>
    <col min="12557" max="12557" width="1.7109375" style="51" customWidth="1"/>
    <col min="12558" max="12560" width="8.7109375" style="51" customWidth="1"/>
    <col min="12561" max="12800" width="6.7109375" style="51"/>
    <col min="12801" max="12801" width="8.28515625" style="51" customWidth="1"/>
    <col min="12802" max="12804" width="8.7109375" style="51" customWidth="1"/>
    <col min="12805" max="12805" width="1.7109375" style="51" customWidth="1"/>
    <col min="12806" max="12808" width="8.7109375" style="51" customWidth="1"/>
    <col min="12809" max="12809" width="3.5703125" style="51" customWidth="1"/>
    <col min="12810" max="12812" width="8.7109375" style="51" customWidth="1"/>
    <col min="12813" max="12813" width="1.7109375" style="51" customWidth="1"/>
    <col min="12814" max="12816" width="8.7109375" style="51" customWidth="1"/>
    <col min="12817" max="13056" width="6.7109375" style="51"/>
    <col min="13057" max="13057" width="8.28515625" style="51" customWidth="1"/>
    <col min="13058" max="13060" width="8.7109375" style="51" customWidth="1"/>
    <col min="13061" max="13061" width="1.7109375" style="51" customWidth="1"/>
    <col min="13062" max="13064" width="8.7109375" style="51" customWidth="1"/>
    <col min="13065" max="13065" width="3.5703125" style="51" customWidth="1"/>
    <col min="13066" max="13068" width="8.7109375" style="51" customWidth="1"/>
    <col min="13069" max="13069" width="1.7109375" style="51" customWidth="1"/>
    <col min="13070" max="13072" width="8.7109375" style="51" customWidth="1"/>
    <col min="13073" max="13312" width="6.7109375" style="51"/>
    <col min="13313" max="13313" width="8.28515625" style="51" customWidth="1"/>
    <col min="13314" max="13316" width="8.7109375" style="51" customWidth="1"/>
    <col min="13317" max="13317" width="1.7109375" style="51" customWidth="1"/>
    <col min="13318" max="13320" width="8.7109375" style="51" customWidth="1"/>
    <col min="13321" max="13321" width="3.5703125" style="51" customWidth="1"/>
    <col min="13322" max="13324" width="8.7109375" style="51" customWidth="1"/>
    <col min="13325" max="13325" width="1.7109375" style="51" customWidth="1"/>
    <col min="13326" max="13328" width="8.7109375" style="51" customWidth="1"/>
    <col min="13329" max="13568" width="6.7109375" style="51"/>
    <col min="13569" max="13569" width="8.28515625" style="51" customWidth="1"/>
    <col min="13570" max="13572" width="8.7109375" style="51" customWidth="1"/>
    <col min="13573" max="13573" width="1.7109375" style="51" customWidth="1"/>
    <col min="13574" max="13576" width="8.7109375" style="51" customWidth="1"/>
    <col min="13577" max="13577" width="3.5703125" style="51" customWidth="1"/>
    <col min="13578" max="13580" width="8.7109375" style="51" customWidth="1"/>
    <col min="13581" max="13581" width="1.7109375" style="51" customWidth="1"/>
    <col min="13582" max="13584" width="8.7109375" style="51" customWidth="1"/>
    <col min="13585" max="13824" width="6.7109375" style="51"/>
    <col min="13825" max="13825" width="8.28515625" style="51" customWidth="1"/>
    <col min="13826" max="13828" width="8.7109375" style="51" customWidth="1"/>
    <col min="13829" max="13829" width="1.7109375" style="51" customWidth="1"/>
    <col min="13830" max="13832" width="8.7109375" style="51" customWidth="1"/>
    <col min="13833" max="13833" width="3.5703125" style="51" customWidth="1"/>
    <col min="13834" max="13836" width="8.7109375" style="51" customWidth="1"/>
    <col min="13837" max="13837" width="1.7109375" style="51" customWidth="1"/>
    <col min="13838" max="13840" width="8.7109375" style="51" customWidth="1"/>
    <col min="13841" max="14080" width="6.7109375" style="51"/>
    <col min="14081" max="14081" width="8.28515625" style="51" customWidth="1"/>
    <col min="14082" max="14084" width="8.7109375" style="51" customWidth="1"/>
    <col min="14085" max="14085" width="1.7109375" style="51" customWidth="1"/>
    <col min="14086" max="14088" width="8.7109375" style="51" customWidth="1"/>
    <col min="14089" max="14089" width="3.5703125" style="51" customWidth="1"/>
    <col min="14090" max="14092" width="8.7109375" style="51" customWidth="1"/>
    <col min="14093" max="14093" width="1.7109375" style="51" customWidth="1"/>
    <col min="14094" max="14096" width="8.7109375" style="51" customWidth="1"/>
    <col min="14097" max="14336" width="6.7109375" style="51"/>
    <col min="14337" max="14337" width="8.28515625" style="51" customWidth="1"/>
    <col min="14338" max="14340" width="8.7109375" style="51" customWidth="1"/>
    <col min="14341" max="14341" width="1.7109375" style="51" customWidth="1"/>
    <col min="14342" max="14344" width="8.7109375" style="51" customWidth="1"/>
    <col min="14345" max="14345" width="3.5703125" style="51" customWidth="1"/>
    <col min="14346" max="14348" width="8.7109375" style="51" customWidth="1"/>
    <col min="14349" max="14349" width="1.7109375" style="51" customWidth="1"/>
    <col min="14350" max="14352" width="8.7109375" style="51" customWidth="1"/>
    <col min="14353" max="14592" width="6.7109375" style="51"/>
    <col min="14593" max="14593" width="8.28515625" style="51" customWidth="1"/>
    <col min="14594" max="14596" width="8.7109375" style="51" customWidth="1"/>
    <col min="14597" max="14597" width="1.7109375" style="51" customWidth="1"/>
    <col min="14598" max="14600" width="8.7109375" style="51" customWidth="1"/>
    <col min="14601" max="14601" width="3.5703125" style="51" customWidth="1"/>
    <col min="14602" max="14604" width="8.7109375" style="51" customWidth="1"/>
    <col min="14605" max="14605" width="1.7109375" style="51" customWidth="1"/>
    <col min="14606" max="14608" width="8.7109375" style="51" customWidth="1"/>
    <col min="14609" max="14848" width="6.7109375" style="51"/>
    <col min="14849" max="14849" width="8.28515625" style="51" customWidth="1"/>
    <col min="14850" max="14852" width="8.7109375" style="51" customWidth="1"/>
    <col min="14853" max="14853" width="1.7109375" style="51" customWidth="1"/>
    <col min="14854" max="14856" width="8.7109375" style="51" customWidth="1"/>
    <col min="14857" max="14857" width="3.5703125" style="51" customWidth="1"/>
    <col min="14858" max="14860" width="8.7109375" style="51" customWidth="1"/>
    <col min="14861" max="14861" width="1.7109375" style="51" customWidth="1"/>
    <col min="14862" max="14864" width="8.7109375" style="51" customWidth="1"/>
    <col min="14865" max="15104" width="6.7109375" style="51"/>
    <col min="15105" max="15105" width="8.28515625" style="51" customWidth="1"/>
    <col min="15106" max="15108" width="8.7109375" style="51" customWidth="1"/>
    <col min="15109" max="15109" width="1.7109375" style="51" customWidth="1"/>
    <col min="15110" max="15112" width="8.7109375" style="51" customWidth="1"/>
    <col min="15113" max="15113" width="3.5703125" style="51" customWidth="1"/>
    <col min="15114" max="15116" width="8.7109375" style="51" customWidth="1"/>
    <col min="15117" max="15117" width="1.7109375" style="51" customWidth="1"/>
    <col min="15118" max="15120" width="8.7109375" style="51" customWidth="1"/>
    <col min="15121" max="15360" width="6.7109375" style="51"/>
    <col min="15361" max="15361" width="8.28515625" style="51" customWidth="1"/>
    <col min="15362" max="15364" width="8.7109375" style="51" customWidth="1"/>
    <col min="15365" max="15365" width="1.7109375" style="51" customWidth="1"/>
    <col min="15366" max="15368" width="8.7109375" style="51" customWidth="1"/>
    <col min="15369" max="15369" width="3.5703125" style="51" customWidth="1"/>
    <col min="15370" max="15372" width="8.7109375" style="51" customWidth="1"/>
    <col min="15373" max="15373" width="1.7109375" style="51" customWidth="1"/>
    <col min="15374" max="15376" width="8.7109375" style="51" customWidth="1"/>
    <col min="15377" max="15616" width="6.7109375" style="51"/>
    <col min="15617" max="15617" width="8.28515625" style="51" customWidth="1"/>
    <col min="15618" max="15620" width="8.7109375" style="51" customWidth="1"/>
    <col min="15621" max="15621" width="1.7109375" style="51" customWidth="1"/>
    <col min="15622" max="15624" width="8.7109375" style="51" customWidth="1"/>
    <col min="15625" max="15625" width="3.5703125" style="51" customWidth="1"/>
    <col min="15626" max="15628" width="8.7109375" style="51" customWidth="1"/>
    <col min="15629" max="15629" width="1.7109375" style="51" customWidth="1"/>
    <col min="15630" max="15632" width="8.7109375" style="51" customWidth="1"/>
    <col min="15633" max="15872" width="6.7109375" style="51"/>
    <col min="15873" max="15873" width="8.28515625" style="51" customWidth="1"/>
    <col min="15874" max="15876" width="8.7109375" style="51" customWidth="1"/>
    <col min="15877" max="15877" width="1.7109375" style="51" customWidth="1"/>
    <col min="15878" max="15880" width="8.7109375" style="51" customWidth="1"/>
    <col min="15881" max="15881" width="3.5703125" style="51" customWidth="1"/>
    <col min="15882" max="15884" width="8.7109375" style="51" customWidth="1"/>
    <col min="15885" max="15885" width="1.7109375" style="51" customWidth="1"/>
    <col min="15886" max="15888" width="8.7109375" style="51" customWidth="1"/>
    <col min="15889" max="16128" width="6.7109375" style="51"/>
    <col min="16129" max="16129" width="8.28515625" style="51" customWidth="1"/>
    <col min="16130" max="16132" width="8.7109375" style="51" customWidth="1"/>
    <col min="16133" max="16133" width="1.7109375" style="51" customWidth="1"/>
    <col min="16134" max="16136" width="8.7109375" style="51" customWidth="1"/>
    <col min="16137" max="16137" width="3.5703125" style="51" customWidth="1"/>
    <col min="16138" max="16140" width="8.7109375" style="51" customWidth="1"/>
    <col min="16141" max="16141" width="1.7109375" style="51" customWidth="1"/>
    <col min="16142" max="16144" width="8.7109375" style="51" customWidth="1"/>
    <col min="16145" max="16384" width="6.7109375" style="51"/>
  </cols>
  <sheetData>
    <row r="1" spans="1:18" ht="15.75" customHeight="1">
      <c r="A1" s="45"/>
      <c r="B1" s="46"/>
      <c r="C1" s="46"/>
      <c r="D1" s="46"/>
      <c r="E1" s="46"/>
      <c r="F1" s="47"/>
      <c r="G1" s="48"/>
      <c r="H1" s="46"/>
      <c r="I1" s="49"/>
      <c r="J1" s="48"/>
      <c r="K1" s="46"/>
      <c r="L1" s="46"/>
      <c r="M1" s="47"/>
      <c r="N1" s="47"/>
      <c r="O1" s="47"/>
      <c r="P1" s="47"/>
      <c r="Q1" s="47"/>
      <c r="R1" s="50"/>
    </row>
    <row r="2" spans="1:18" ht="15.75" customHeight="1">
      <c r="A2" s="52"/>
      <c r="C2" s="51"/>
      <c r="D2" s="51"/>
      <c r="E2" s="51"/>
      <c r="F2" s="51"/>
      <c r="G2" s="54"/>
      <c r="H2" s="51"/>
      <c r="I2" s="54" t="s">
        <v>16</v>
      </c>
      <c r="J2" s="51"/>
      <c r="K2" s="53" t="str">
        <f>'Job Details'!C6</f>
        <v>Bristol City Council</v>
      </c>
      <c r="L2" s="54"/>
      <c r="R2" s="55"/>
    </row>
    <row r="3" spans="1:18" ht="15.75" customHeight="1">
      <c r="A3" s="52"/>
      <c r="C3" s="51"/>
      <c r="D3" s="51"/>
      <c r="E3" s="51"/>
      <c r="F3" s="51"/>
      <c r="H3" s="51"/>
      <c r="I3" s="54" t="s">
        <v>18</v>
      </c>
      <c r="J3" s="51"/>
      <c r="K3" s="53" t="str">
        <f>'Job Details'!C7</f>
        <v>WAL-2270 Church Road, Bristol</v>
      </c>
      <c r="L3" s="51"/>
      <c r="R3" s="55"/>
    </row>
    <row r="4" spans="1:18" ht="15.75" customHeight="1">
      <c r="A4" s="56"/>
      <c r="C4" s="51"/>
      <c r="D4" s="51"/>
      <c r="E4" s="51"/>
      <c r="F4" s="51"/>
      <c r="H4" s="51"/>
      <c r="I4" s="57" t="s">
        <v>35</v>
      </c>
      <c r="J4" s="51"/>
      <c r="K4" s="53" t="str">
        <f>'Job Details'!C8</f>
        <v>Site 8 - Elton Road (north of Purton Rd)</v>
      </c>
      <c r="L4" s="51"/>
      <c r="O4" s="54"/>
      <c r="P4" s="58"/>
      <c r="Q4" s="58"/>
      <c r="R4" s="59"/>
    </row>
    <row r="5" spans="1:18" ht="15.75" customHeight="1">
      <c r="A5" s="56"/>
      <c r="C5" s="51"/>
      <c r="D5" s="51"/>
      <c r="E5" s="51"/>
      <c r="F5" s="51"/>
      <c r="H5" s="51"/>
      <c r="I5" s="54" t="s">
        <v>19</v>
      </c>
      <c r="J5" s="51"/>
      <c r="K5" s="53" t="str">
        <f>'Job Details'!C9</f>
        <v>Tuesday 29th September 2015</v>
      </c>
      <c r="L5" s="51"/>
      <c r="O5" s="54"/>
      <c r="P5" s="58"/>
      <c r="Q5" s="58"/>
      <c r="R5" s="59"/>
    </row>
    <row r="6" spans="1:18" ht="15.75" customHeight="1">
      <c r="A6" s="60"/>
      <c r="B6" s="121"/>
      <c r="C6" s="121"/>
      <c r="D6" s="122"/>
      <c r="E6" s="121"/>
      <c r="F6" s="123"/>
      <c r="G6" s="124"/>
      <c r="H6" s="121"/>
      <c r="I6" s="121"/>
      <c r="J6" s="121"/>
      <c r="K6" s="121"/>
      <c r="L6" s="124"/>
      <c r="M6" s="123"/>
      <c r="N6" s="123"/>
      <c r="O6" s="123"/>
      <c r="P6" s="123"/>
      <c r="Q6" s="123"/>
      <c r="R6" s="125"/>
    </row>
    <row r="7" spans="1:18" ht="15.75" customHeight="1">
      <c r="A7" s="61"/>
      <c r="B7" s="54"/>
      <c r="C7" s="54"/>
      <c r="D7" s="54"/>
      <c r="G7" s="54"/>
      <c r="H7" s="54"/>
      <c r="I7" s="54"/>
      <c r="J7" s="54"/>
      <c r="K7" s="58"/>
      <c r="L7" s="58"/>
    </row>
    <row r="8" spans="1:18" ht="15.75" customHeight="1">
      <c r="A8" s="62" t="s">
        <v>36</v>
      </c>
      <c r="B8" s="54"/>
      <c r="C8" s="54"/>
      <c r="D8" s="54"/>
      <c r="G8" s="54"/>
      <c r="H8" s="54"/>
      <c r="I8" s="54"/>
      <c r="J8" s="54"/>
      <c r="K8" s="58"/>
      <c r="L8" s="58"/>
    </row>
    <row r="9" spans="1:18" ht="15.75" customHeight="1">
      <c r="B9" s="106" t="s">
        <v>23</v>
      </c>
      <c r="C9" s="107"/>
      <c r="D9" s="107"/>
      <c r="E9" s="107"/>
      <c r="F9" s="107"/>
      <c r="G9" s="107"/>
      <c r="H9" s="126"/>
      <c r="J9" s="106" t="s">
        <v>24</v>
      </c>
      <c r="K9" s="107"/>
      <c r="L9" s="107"/>
      <c r="M9" s="107"/>
      <c r="N9" s="107"/>
      <c r="O9" s="107"/>
      <c r="P9" s="126"/>
    </row>
    <row r="10" spans="1:18" s="67" customFormat="1" ht="15.75" customHeight="1">
      <c r="A10" s="64"/>
      <c r="B10" s="108" t="s">
        <v>37</v>
      </c>
      <c r="C10" s="109"/>
      <c r="D10" s="110"/>
      <c r="E10" s="65"/>
      <c r="F10" s="111" t="s">
        <v>38</v>
      </c>
      <c r="G10" s="112"/>
      <c r="H10" s="113"/>
      <c r="I10" s="66"/>
      <c r="J10" s="108" t="s">
        <v>37</v>
      </c>
      <c r="K10" s="109"/>
      <c r="L10" s="110"/>
      <c r="M10" s="65"/>
      <c r="N10" s="111" t="s">
        <v>38</v>
      </c>
      <c r="O10" s="112"/>
      <c r="P10" s="113"/>
    </row>
    <row r="11" spans="1:18" ht="15.75" customHeight="1">
      <c r="B11" s="72" t="str">
        <f>$J$11</f>
        <v>Peds</v>
      </c>
      <c r="C11" s="127" t="str">
        <f>$K$11</f>
        <v>Cycles</v>
      </c>
      <c r="D11" s="73" t="s">
        <v>26</v>
      </c>
      <c r="E11" s="51"/>
      <c r="F11" s="72" t="str">
        <f>$J$11</f>
        <v>Peds</v>
      </c>
      <c r="G11" s="127" t="str">
        <f>$K$11</f>
        <v>Cycles</v>
      </c>
      <c r="H11" s="73" t="s">
        <v>26</v>
      </c>
      <c r="I11" s="71"/>
      <c r="J11" s="68" t="s">
        <v>39</v>
      </c>
      <c r="K11" s="69" t="s">
        <v>40</v>
      </c>
      <c r="L11" s="70" t="s">
        <v>26</v>
      </c>
      <c r="M11" s="71"/>
      <c r="N11" s="72" t="str">
        <f>$J$11</f>
        <v>Peds</v>
      </c>
      <c r="O11" s="127" t="str">
        <f>$K$11</f>
        <v>Cycles</v>
      </c>
      <c r="P11" s="73" t="s">
        <v>26</v>
      </c>
    </row>
    <row r="12" spans="1:18" ht="15.75" customHeight="1">
      <c r="B12" s="58"/>
      <c r="E12" s="51"/>
      <c r="F12" s="58"/>
      <c r="M12" s="53"/>
      <c r="N12" s="58"/>
      <c r="O12" s="53"/>
      <c r="P12" s="53"/>
    </row>
    <row r="13" spans="1:18" ht="15.75" customHeight="1">
      <c r="A13" s="74" t="s">
        <v>41</v>
      </c>
      <c r="B13" s="75">
        <v>2</v>
      </c>
      <c r="C13" s="77">
        <v>0</v>
      </c>
      <c r="D13" s="78">
        <f>SUM(B13:C13)</f>
        <v>2</v>
      </c>
      <c r="E13" s="67"/>
      <c r="F13" s="75">
        <v>0</v>
      </c>
      <c r="G13" s="77">
        <v>0</v>
      </c>
      <c r="H13" s="78">
        <f>SUM(F13:G13)</f>
        <v>0</v>
      </c>
      <c r="I13" s="66"/>
      <c r="J13" s="75">
        <v>5</v>
      </c>
      <c r="K13" s="76">
        <v>0</v>
      </c>
      <c r="L13" s="76">
        <f>SUM(J13:K13)</f>
        <v>5</v>
      </c>
      <c r="M13" s="66"/>
      <c r="N13" s="75">
        <v>1</v>
      </c>
      <c r="O13" s="77">
        <v>1</v>
      </c>
      <c r="P13" s="78">
        <f>SUM(N13:O13)</f>
        <v>2</v>
      </c>
    </row>
    <row r="14" spans="1:18" ht="15.75" customHeight="1">
      <c r="A14" s="79" t="s">
        <v>42</v>
      </c>
      <c r="B14" s="80">
        <v>4</v>
      </c>
      <c r="C14" s="66">
        <v>0</v>
      </c>
      <c r="D14" s="82">
        <f>SUM(B14:C14)</f>
        <v>4</v>
      </c>
      <c r="E14" s="67"/>
      <c r="F14" s="80">
        <v>0</v>
      </c>
      <c r="G14" s="66">
        <v>0</v>
      </c>
      <c r="H14" s="82">
        <f>SUM(F14:G14)</f>
        <v>0</v>
      </c>
      <c r="I14" s="66"/>
      <c r="J14" s="80">
        <v>14</v>
      </c>
      <c r="K14" s="81">
        <v>0</v>
      </c>
      <c r="L14" s="81">
        <f>SUM(J14:K14)</f>
        <v>14</v>
      </c>
      <c r="M14" s="66"/>
      <c r="N14" s="80">
        <v>0</v>
      </c>
      <c r="O14" s="66">
        <v>3</v>
      </c>
      <c r="P14" s="82">
        <f>SUM(N14:O14)</f>
        <v>3</v>
      </c>
    </row>
    <row r="15" spans="1:18" ht="15.75" customHeight="1">
      <c r="A15" s="79" t="s">
        <v>43</v>
      </c>
      <c r="B15" s="80">
        <v>3</v>
      </c>
      <c r="C15" s="66">
        <v>0</v>
      </c>
      <c r="D15" s="82">
        <f>SUM(B15:C15)</f>
        <v>3</v>
      </c>
      <c r="E15" s="67"/>
      <c r="F15" s="80">
        <v>0</v>
      </c>
      <c r="G15" s="66">
        <v>0</v>
      </c>
      <c r="H15" s="82">
        <f>SUM(F15:G15)</f>
        <v>0</v>
      </c>
      <c r="I15" s="66"/>
      <c r="J15" s="80">
        <v>7</v>
      </c>
      <c r="K15" s="81">
        <v>0</v>
      </c>
      <c r="L15" s="81">
        <f>SUM(J15:K15)</f>
        <v>7</v>
      </c>
      <c r="M15" s="66"/>
      <c r="N15" s="80">
        <v>0</v>
      </c>
      <c r="O15" s="66">
        <v>6</v>
      </c>
      <c r="P15" s="82">
        <f>SUM(N15:O15)</f>
        <v>6</v>
      </c>
    </row>
    <row r="16" spans="1:18" ht="15.75" customHeight="1">
      <c r="A16" s="79" t="s">
        <v>44</v>
      </c>
      <c r="B16" s="80">
        <v>3</v>
      </c>
      <c r="C16" s="66">
        <v>0</v>
      </c>
      <c r="D16" s="83">
        <f>SUM(B16:C16)</f>
        <v>3</v>
      </c>
      <c r="E16" s="67"/>
      <c r="F16" s="80">
        <v>0</v>
      </c>
      <c r="G16" s="66">
        <v>1</v>
      </c>
      <c r="H16" s="83">
        <f>SUM(F16:G16)</f>
        <v>1</v>
      </c>
      <c r="I16" s="66"/>
      <c r="J16" s="80">
        <v>8</v>
      </c>
      <c r="K16" s="81">
        <v>0</v>
      </c>
      <c r="L16" s="81">
        <f>SUM(J16:K16)</f>
        <v>8</v>
      </c>
      <c r="M16" s="66"/>
      <c r="N16" s="80">
        <v>0</v>
      </c>
      <c r="O16" s="66">
        <v>11</v>
      </c>
      <c r="P16" s="83">
        <f>SUM(N16:O16)</f>
        <v>11</v>
      </c>
    </row>
    <row r="17" spans="1:16" ht="15.75" customHeight="1">
      <c r="A17" s="84" t="s">
        <v>33</v>
      </c>
      <c r="B17" s="85">
        <f t="shared" ref="B17:C17" si="0">SUM(B13:B16)</f>
        <v>12</v>
      </c>
      <c r="C17" s="128">
        <f t="shared" si="0"/>
        <v>0</v>
      </c>
      <c r="D17" s="86">
        <f>SUM(D13:D16)</f>
        <v>12</v>
      </c>
      <c r="E17" s="67"/>
      <c r="F17" s="85">
        <f t="shared" ref="F17:G17" si="1">SUM(F13:F16)</f>
        <v>0</v>
      </c>
      <c r="G17" s="128">
        <f t="shared" si="1"/>
        <v>1</v>
      </c>
      <c r="H17" s="86">
        <f>SUM(H13:H16)</f>
        <v>1</v>
      </c>
      <c r="I17" s="66"/>
      <c r="J17" s="85">
        <f>SUM(J13:J16)</f>
        <v>34</v>
      </c>
      <c r="K17" s="128">
        <f t="shared" ref="K17" si="2">SUM(K13:K16)</f>
        <v>0</v>
      </c>
      <c r="L17" s="128">
        <f>SUM(L13:L16)</f>
        <v>34</v>
      </c>
      <c r="M17" s="66"/>
      <c r="N17" s="85">
        <f t="shared" ref="N17:O17" si="3">SUM(N13:N16)</f>
        <v>1</v>
      </c>
      <c r="O17" s="128">
        <f t="shared" si="3"/>
        <v>21</v>
      </c>
      <c r="P17" s="86">
        <f>SUM(P13:P16)</f>
        <v>22</v>
      </c>
    </row>
    <row r="18" spans="1:16" ht="15.75" customHeight="1">
      <c r="A18" s="79" t="s">
        <v>45</v>
      </c>
      <c r="B18" s="75">
        <v>3</v>
      </c>
      <c r="C18" s="77">
        <v>0</v>
      </c>
      <c r="D18" s="78">
        <f>SUM(B18:C18)</f>
        <v>3</v>
      </c>
      <c r="E18" s="67"/>
      <c r="F18" s="75">
        <v>0</v>
      </c>
      <c r="G18" s="77">
        <v>1</v>
      </c>
      <c r="H18" s="78">
        <f>SUM(F18:G18)</f>
        <v>1</v>
      </c>
      <c r="I18" s="66"/>
      <c r="J18" s="80">
        <v>26</v>
      </c>
      <c r="K18" s="81">
        <v>0</v>
      </c>
      <c r="L18" s="81">
        <f>SUM(J18:K18)</f>
        <v>26</v>
      </c>
      <c r="M18" s="66"/>
      <c r="N18" s="75">
        <v>0</v>
      </c>
      <c r="O18" s="77">
        <v>10</v>
      </c>
      <c r="P18" s="78">
        <f>SUM(N18:O18)</f>
        <v>10</v>
      </c>
    </row>
    <row r="19" spans="1:16" ht="15.75" customHeight="1">
      <c r="A19" s="79" t="s">
        <v>46</v>
      </c>
      <c r="B19" s="80">
        <v>9</v>
      </c>
      <c r="C19" s="66">
        <v>0</v>
      </c>
      <c r="D19" s="82">
        <f>SUM(B19:C19)</f>
        <v>9</v>
      </c>
      <c r="E19" s="67"/>
      <c r="F19" s="80">
        <v>1</v>
      </c>
      <c r="G19" s="66">
        <v>1</v>
      </c>
      <c r="H19" s="82">
        <f>SUM(F19:G19)</f>
        <v>2</v>
      </c>
      <c r="I19" s="66"/>
      <c r="J19" s="80">
        <v>26</v>
      </c>
      <c r="K19" s="81">
        <v>1</v>
      </c>
      <c r="L19" s="81">
        <f>SUM(J19:K19)</f>
        <v>27</v>
      </c>
      <c r="M19" s="66"/>
      <c r="N19" s="80">
        <v>0</v>
      </c>
      <c r="O19" s="66">
        <v>11</v>
      </c>
      <c r="P19" s="82">
        <f>SUM(N19:O19)</f>
        <v>11</v>
      </c>
    </row>
    <row r="20" spans="1:16" ht="15.75" customHeight="1">
      <c r="A20" s="79" t="s">
        <v>47</v>
      </c>
      <c r="B20" s="80">
        <v>3</v>
      </c>
      <c r="C20" s="66">
        <v>0</v>
      </c>
      <c r="D20" s="82">
        <f>SUM(B20:C20)</f>
        <v>3</v>
      </c>
      <c r="E20" s="67"/>
      <c r="F20" s="80">
        <v>1</v>
      </c>
      <c r="G20" s="66">
        <v>1</v>
      </c>
      <c r="H20" s="82">
        <f>SUM(F20:G20)</f>
        <v>2</v>
      </c>
      <c r="I20" s="66"/>
      <c r="J20" s="80">
        <v>29</v>
      </c>
      <c r="K20" s="81">
        <v>0</v>
      </c>
      <c r="L20" s="81">
        <f>SUM(J20:K20)</f>
        <v>29</v>
      </c>
      <c r="M20" s="66"/>
      <c r="N20" s="80">
        <v>2</v>
      </c>
      <c r="O20" s="66">
        <v>15</v>
      </c>
      <c r="P20" s="82">
        <f>SUM(N20:O20)</f>
        <v>17</v>
      </c>
    </row>
    <row r="21" spans="1:16" ht="15.75" customHeight="1">
      <c r="A21" s="79" t="s">
        <v>48</v>
      </c>
      <c r="B21" s="80">
        <v>4</v>
      </c>
      <c r="C21" s="66">
        <v>1</v>
      </c>
      <c r="D21" s="83">
        <f>SUM(B21:C21)</f>
        <v>5</v>
      </c>
      <c r="E21" s="67"/>
      <c r="F21" s="80">
        <v>0</v>
      </c>
      <c r="G21" s="66">
        <v>1</v>
      </c>
      <c r="H21" s="83">
        <f>SUM(F21:G21)</f>
        <v>1</v>
      </c>
      <c r="I21" s="66"/>
      <c r="J21" s="80">
        <v>26</v>
      </c>
      <c r="K21" s="81">
        <v>0</v>
      </c>
      <c r="L21" s="81">
        <f>SUM(J21:K21)</f>
        <v>26</v>
      </c>
      <c r="M21" s="66"/>
      <c r="N21" s="80">
        <v>0</v>
      </c>
      <c r="O21" s="66">
        <v>14</v>
      </c>
      <c r="P21" s="83">
        <f>SUM(N21:O21)</f>
        <v>14</v>
      </c>
    </row>
    <row r="22" spans="1:16" ht="15.75" customHeight="1">
      <c r="A22" s="84" t="s">
        <v>33</v>
      </c>
      <c r="B22" s="85">
        <f t="shared" ref="B22:C22" si="4">SUM(B18:B21)</f>
        <v>19</v>
      </c>
      <c r="C22" s="128">
        <f t="shared" si="4"/>
        <v>1</v>
      </c>
      <c r="D22" s="86">
        <f>SUM(D18:D21)</f>
        <v>20</v>
      </c>
      <c r="E22" s="67"/>
      <c r="F22" s="85">
        <f t="shared" ref="F22:G22" si="5">SUM(F18:F21)</f>
        <v>2</v>
      </c>
      <c r="G22" s="128">
        <f t="shared" si="5"/>
        <v>4</v>
      </c>
      <c r="H22" s="86">
        <f>SUM(H18:H21)</f>
        <v>6</v>
      </c>
      <c r="I22" s="66"/>
      <c r="J22" s="85">
        <f>SUM(J18:J21)</f>
        <v>107</v>
      </c>
      <c r="K22" s="128">
        <f t="shared" ref="K22" si="6">SUM(K18:K21)</f>
        <v>1</v>
      </c>
      <c r="L22" s="128">
        <f>SUM(L18:L21)</f>
        <v>108</v>
      </c>
      <c r="M22" s="66"/>
      <c r="N22" s="85">
        <f t="shared" ref="N22:O22" si="7">SUM(N18:N21)</f>
        <v>2</v>
      </c>
      <c r="O22" s="128">
        <f t="shared" si="7"/>
        <v>50</v>
      </c>
      <c r="P22" s="86">
        <f>SUM(P18:P21)</f>
        <v>52</v>
      </c>
    </row>
    <row r="23" spans="1:16" ht="15.75" customHeight="1">
      <c r="A23" s="79" t="s">
        <v>49</v>
      </c>
      <c r="B23" s="75">
        <v>5</v>
      </c>
      <c r="C23" s="77">
        <v>0</v>
      </c>
      <c r="D23" s="78">
        <f>SUM(B23:C23)</f>
        <v>5</v>
      </c>
      <c r="E23" s="67"/>
      <c r="F23" s="75">
        <v>0</v>
      </c>
      <c r="G23" s="77">
        <v>1</v>
      </c>
      <c r="H23" s="78">
        <f>SUM(F23:G23)</f>
        <v>1</v>
      </c>
      <c r="I23" s="66"/>
      <c r="J23" s="80">
        <v>12</v>
      </c>
      <c r="K23" s="81">
        <v>0</v>
      </c>
      <c r="L23" s="81">
        <f>SUM(J23:K23)</f>
        <v>12</v>
      </c>
      <c r="M23" s="66"/>
      <c r="N23" s="75">
        <v>0</v>
      </c>
      <c r="O23" s="77">
        <v>5</v>
      </c>
      <c r="P23" s="78">
        <f>SUM(N23:O23)</f>
        <v>5</v>
      </c>
    </row>
    <row r="24" spans="1:16" ht="15.75" customHeight="1">
      <c r="A24" s="79" t="s">
        <v>50</v>
      </c>
      <c r="B24" s="80">
        <v>6</v>
      </c>
      <c r="C24" s="66">
        <v>0</v>
      </c>
      <c r="D24" s="82">
        <f>SUM(B24:C24)</f>
        <v>6</v>
      </c>
      <c r="E24" s="67"/>
      <c r="F24" s="80">
        <v>0</v>
      </c>
      <c r="G24" s="66">
        <v>0</v>
      </c>
      <c r="H24" s="82">
        <f>SUM(F24:G24)</f>
        <v>0</v>
      </c>
      <c r="I24" s="66"/>
      <c r="J24" s="80">
        <v>5</v>
      </c>
      <c r="K24" s="81">
        <v>0</v>
      </c>
      <c r="L24" s="81">
        <f>SUM(J24:K24)</f>
        <v>5</v>
      </c>
      <c r="M24" s="66"/>
      <c r="N24" s="80">
        <v>0</v>
      </c>
      <c r="O24" s="66">
        <v>3</v>
      </c>
      <c r="P24" s="82">
        <f>SUM(N24:O24)</f>
        <v>3</v>
      </c>
    </row>
    <row r="25" spans="1:16" ht="15.75" customHeight="1">
      <c r="A25" s="79" t="s">
        <v>51</v>
      </c>
      <c r="B25" s="80">
        <v>4</v>
      </c>
      <c r="C25" s="66">
        <v>0</v>
      </c>
      <c r="D25" s="82">
        <f>SUM(B25:C25)</f>
        <v>4</v>
      </c>
      <c r="E25" s="67"/>
      <c r="F25" s="80">
        <v>0</v>
      </c>
      <c r="G25" s="66">
        <v>1</v>
      </c>
      <c r="H25" s="82">
        <f>SUM(F25:G25)</f>
        <v>1</v>
      </c>
      <c r="I25" s="66"/>
      <c r="J25" s="80">
        <v>8</v>
      </c>
      <c r="K25" s="81">
        <v>0</v>
      </c>
      <c r="L25" s="81">
        <f>SUM(J25:K25)</f>
        <v>8</v>
      </c>
      <c r="M25" s="66"/>
      <c r="N25" s="80">
        <v>0</v>
      </c>
      <c r="O25" s="66">
        <v>2</v>
      </c>
      <c r="P25" s="82">
        <f>SUM(N25:O25)</f>
        <v>2</v>
      </c>
    </row>
    <row r="26" spans="1:16" ht="15.75" customHeight="1">
      <c r="A26" s="79" t="s">
        <v>52</v>
      </c>
      <c r="B26" s="80">
        <v>7</v>
      </c>
      <c r="C26" s="66">
        <v>0</v>
      </c>
      <c r="D26" s="83">
        <f>SUM(B26:C26)</f>
        <v>7</v>
      </c>
      <c r="E26" s="67"/>
      <c r="F26" s="80">
        <v>0</v>
      </c>
      <c r="G26" s="66">
        <v>0</v>
      </c>
      <c r="H26" s="83">
        <f>SUM(F26:G26)</f>
        <v>0</v>
      </c>
      <c r="I26" s="66"/>
      <c r="J26" s="80">
        <v>6</v>
      </c>
      <c r="K26" s="81">
        <v>0</v>
      </c>
      <c r="L26" s="81">
        <f>SUM(J26:K26)</f>
        <v>6</v>
      </c>
      <c r="M26" s="66"/>
      <c r="N26" s="80">
        <v>0</v>
      </c>
      <c r="O26" s="66">
        <v>3</v>
      </c>
      <c r="P26" s="83">
        <f>SUM(N26:O26)</f>
        <v>3</v>
      </c>
    </row>
    <row r="27" spans="1:16" ht="15.75" customHeight="1">
      <c r="A27" s="84" t="s">
        <v>33</v>
      </c>
      <c r="B27" s="85">
        <f t="shared" ref="B27:C27" si="8">SUM(B23:B26)</f>
        <v>22</v>
      </c>
      <c r="C27" s="128">
        <f t="shared" si="8"/>
        <v>0</v>
      </c>
      <c r="D27" s="86">
        <f>SUM(D23:D26)</f>
        <v>22</v>
      </c>
      <c r="E27" s="67"/>
      <c r="F27" s="85">
        <f t="shared" ref="F27:G27" si="9">SUM(F23:F26)</f>
        <v>0</v>
      </c>
      <c r="G27" s="128">
        <f t="shared" si="9"/>
        <v>2</v>
      </c>
      <c r="H27" s="86">
        <f>SUM(H23:H26)</f>
        <v>2</v>
      </c>
      <c r="I27" s="66"/>
      <c r="J27" s="85">
        <f>SUM(J23:J26)</f>
        <v>31</v>
      </c>
      <c r="K27" s="128">
        <f t="shared" ref="K27" si="10">SUM(K23:K26)</f>
        <v>0</v>
      </c>
      <c r="L27" s="128">
        <f>SUM(L23:L26)</f>
        <v>31</v>
      </c>
      <c r="M27" s="66"/>
      <c r="N27" s="85">
        <f t="shared" ref="N27:O27" si="11">SUM(N23:N26)</f>
        <v>0</v>
      </c>
      <c r="O27" s="128">
        <f t="shared" si="11"/>
        <v>13</v>
      </c>
      <c r="P27" s="86">
        <f>SUM(P23:P26)</f>
        <v>13</v>
      </c>
    </row>
    <row r="28" spans="1:16" ht="15.75" customHeight="1">
      <c r="A28" s="79" t="s">
        <v>53</v>
      </c>
      <c r="B28" s="75">
        <v>4</v>
      </c>
      <c r="C28" s="77">
        <v>0</v>
      </c>
      <c r="D28" s="78">
        <f>SUM(B28:C28)</f>
        <v>4</v>
      </c>
      <c r="E28" s="67"/>
      <c r="F28" s="75">
        <v>0</v>
      </c>
      <c r="G28" s="77">
        <v>1</v>
      </c>
      <c r="H28" s="78">
        <f>SUM(F28:G28)</f>
        <v>1</v>
      </c>
      <c r="I28" s="66"/>
      <c r="J28" s="80">
        <v>3</v>
      </c>
      <c r="K28" s="81">
        <v>0</v>
      </c>
      <c r="L28" s="81">
        <f>SUM(J28:K28)</f>
        <v>3</v>
      </c>
      <c r="M28" s="66"/>
      <c r="N28" s="75">
        <v>0</v>
      </c>
      <c r="O28" s="77">
        <v>4</v>
      </c>
      <c r="P28" s="78">
        <f>SUM(N28:O28)</f>
        <v>4</v>
      </c>
    </row>
    <row r="29" spans="1:16" ht="15.75" customHeight="1">
      <c r="A29" s="79" t="s">
        <v>54</v>
      </c>
      <c r="B29" s="80">
        <v>2</v>
      </c>
      <c r="C29" s="66">
        <v>0</v>
      </c>
      <c r="D29" s="82">
        <f>SUM(B29:C29)</f>
        <v>2</v>
      </c>
      <c r="E29" s="67"/>
      <c r="F29" s="80">
        <v>0</v>
      </c>
      <c r="G29" s="66">
        <v>0</v>
      </c>
      <c r="H29" s="82">
        <f>SUM(F29:G29)</f>
        <v>0</v>
      </c>
      <c r="I29" s="66"/>
      <c r="J29" s="80">
        <v>3</v>
      </c>
      <c r="K29" s="81">
        <v>0</v>
      </c>
      <c r="L29" s="81">
        <f>SUM(J29:K29)</f>
        <v>3</v>
      </c>
      <c r="M29" s="66"/>
      <c r="N29" s="80">
        <v>0</v>
      </c>
      <c r="O29" s="66">
        <v>1</v>
      </c>
      <c r="P29" s="82">
        <f>SUM(N29:O29)</f>
        <v>1</v>
      </c>
    </row>
    <row r="30" spans="1:16" ht="15.75" customHeight="1">
      <c r="A30" s="79" t="s">
        <v>55</v>
      </c>
      <c r="B30" s="80">
        <v>1</v>
      </c>
      <c r="C30" s="66">
        <v>0</v>
      </c>
      <c r="D30" s="82">
        <f>SUM(B30:C30)</f>
        <v>1</v>
      </c>
      <c r="E30" s="67"/>
      <c r="F30" s="80">
        <v>0</v>
      </c>
      <c r="G30" s="66">
        <v>1</v>
      </c>
      <c r="H30" s="82">
        <f>SUM(F30:G30)</f>
        <v>1</v>
      </c>
      <c r="I30" s="66"/>
      <c r="J30" s="80">
        <v>8</v>
      </c>
      <c r="K30" s="81">
        <v>0</v>
      </c>
      <c r="L30" s="81">
        <f>SUM(J30:K30)</f>
        <v>8</v>
      </c>
      <c r="M30" s="66"/>
      <c r="N30" s="80">
        <v>1</v>
      </c>
      <c r="O30" s="66">
        <v>1</v>
      </c>
      <c r="P30" s="82">
        <f>SUM(N30:O30)</f>
        <v>2</v>
      </c>
    </row>
    <row r="31" spans="1:16" ht="15.75" customHeight="1">
      <c r="A31" s="79" t="s">
        <v>56</v>
      </c>
      <c r="B31" s="80">
        <v>6</v>
      </c>
      <c r="C31" s="66">
        <v>0</v>
      </c>
      <c r="D31" s="83">
        <f>SUM(B31:C31)</f>
        <v>6</v>
      </c>
      <c r="E31" s="67"/>
      <c r="F31" s="80">
        <v>0</v>
      </c>
      <c r="G31" s="66">
        <v>1</v>
      </c>
      <c r="H31" s="83">
        <f>SUM(F31:G31)</f>
        <v>1</v>
      </c>
      <c r="I31" s="66"/>
      <c r="J31" s="80">
        <v>7</v>
      </c>
      <c r="K31" s="81">
        <v>0</v>
      </c>
      <c r="L31" s="81">
        <f>SUM(J31:K31)</f>
        <v>7</v>
      </c>
      <c r="M31" s="66"/>
      <c r="N31" s="80">
        <v>2</v>
      </c>
      <c r="O31" s="66">
        <v>0</v>
      </c>
      <c r="P31" s="83">
        <f>SUM(N31:O31)</f>
        <v>2</v>
      </c>
    </row>
    <row r="32" spans="1:16" ht="15.75" customHeight="1">
      <c r="A32" s="84" t="s">
        <v>33</v>
      </c>
      <c r="B32" s="85">
        <f t="shared" ref="B32:C32" si="12">SUM(B28:B31)</f>
        <v>13</v>
      </c>
      <c r="C32" s="128">
        <f t="shared" si="12"/>
        <v>0</v>
      </c>
      <c r="D32" s="86">
        <f>SUM(D28:D31)</f>
        <v>13</v>
      </c>
      <c r="E32" s="67"/>
      <c r="F32" s="85">
        <f t="shared" ref="F32:G32" si="13">SUM(F28:F31)</f>
        <v>0</v>
      </c>
      <c r="G32" s="128">
        <f t="shared" si="13"/>
        <v>3</v>
      </c>
      <c r="H32" s="86">
        <f>SUM(H28:H31)</f>
        <v>3</v>
      </c>
      <c r="I32" s="66"/>
      <c r="J32" s="85">
        <f>SUM(J28:J31)</f>
        <v>21</v>
      </c>
      <c r="K32" s="128">
        <f t="shared" ref="K32" si="14">SUM(K28:K31)</f>
        <v>0</v>
      </c>
      <c r="L32" s="128">
        <f>SUM(L28:L31)</f>
        <v>21</v>
      </c>
      <c r="M32" s="66"/>
      <c r="N32" s="85">
        <f t="shared" ref="N32:O32" si="15">SUM(N28:N31)</f>
        <v>3</v>
      </c>
      <c r="O32" s="128">
        <f t="shared" si="15"/>
        <v>6</v>
      </c>
      <c r="P32" s="86">
        <f>SUM(P28:P31)</f>
        <v>9</v>
      </c>
    </row>
    <row r="33" spans="1:16" ht="15.75" customHeight="1">
      <c r="A33" s="79" t="s">
        <v>57</v>
      </c>
      <c r="B33" s="75">
        <v>6</v>
      </c>
      <c r="C33" s="77">
        <v>0</v>
      </c>
      <c r="D33" s="78">
        <f>SUM(B33:C33)</f>
        <v>6</v>
      </c>
      <c r="E33" s="67"/>
      <c r="F33" s="75">
        <v>0</v>
      </c>
      <c r="G33" s="77">
        <v>0</v>
      </c>
      <c r="H33" s="78">
        <f>SUM(F33:G33)</f>
        <v>0</v>
      </c>
      <c r="I33" s="66"/>
      <c r="J33" s="80">
        <v>10</v>
      </c>
      <c r="K33" s="81">
        <v>0</v>
      </c>
      <c r="L33" s="81">
        <f>SUM(J33:K33)</f>
        <v>10</v>
      </c>
      <c r="M33" s="66"/>
      <c r="N33" s="75">
        <v>0</v>
      </c>
      <c r="O33" s="77">
        <v>2</v>
      </c>
      <c r="P33" s="78">
        <f>SUM(N33:O33)</f>
        <v>2</v>
      </c>
    </row>
    <row r="34" spans="1:16" ht="15.75" customHeight="1">
      <c r="A34" s="79" t="s">
        <v>58</v>
      </c>
      <c r="B34" s="80">
        <v>8</v>
      </c>
      <c r="C34" s="66">
        <v>0</v>
      </c>
      <c r="D34" s="82">
        <f>SUM(B34:C34)</f>
        <v>8</v>
      </c>
      <c r="E34" s="67"/>
      <c r="F34" s="80">
        <v>0</v>
      </c>
      <c r="G34" s="66">
        <v>1</v>
      </c>
      <c r="H34" s="82">
        <f>SUM(F34:G34)</f>
        <v>1</v>
      </c>
      <c r="I34" s="66"/>
      <c r="J34" s="80">
        <v>5</v>
      </c>
      <c r="K34" s="81">
        <v>0</v>
      </c>
      <c r="L34" s="81">
        <f>SUM(J34:K34)</f>
        <v>5</v>
      </c>
      <c r="M34" s="66"/>
      <c r="N34" s="80">
        <v>0</v>
      </c>
      <c r="O34" s="66">
        <v>0</v>
      </c>
      <c r="P34" s="82">
        <f>SUM(N34:O34)</f>
        <v>0</v>
      </c>
    </row>
    <row r="35" spans="1:16" ht="15.75" customHeight="1">
      <c r="A35" s="79" t="s">
        <v>59</v>
      </c>
      <c r="B35" s="80">
        <v>2</v>
      </c>
      <c r="C35" s="66">
        <v>0</v>
      </c>
      <c r="D35" s="82">
        <f>SUM(B35:C35)</f>
        <v>2</v>
      </c>
      <c r="E35" s="67"/>
      <c r="F35" s="80">
        <v>1</v>
      </c>
      <c r="G35" s="66">
        <v>1</v>
      </c>
      <c r="H35" s="82">
        <f>SUM(F35:G35)</f>
        <v>2</v>
      </c>
      <c r="I35" s="66"/>
      <c r="J35" s="80">
        <v>6</v>
      </c>
      <c r="K35" s="81">
        <v>0</v>
      </c>
      <c r="L35" s="81">
        <f>SUM(J35:K35)</f>
        <v>6</v>
      </c>
      <c r="M35" s="66"/>
      <c r="N35" s="80">
        <v>1</v>
      </c>
      <c r="O35" s="66">
        <v>1</v>
      </c>
      <c r="P35" s="82">
        <f>SUM(N35:O35)</f>
        <v>2</v>
      </c>
    </row>
    <row r="36" spans="1:16" ht="15.75" customHeight="1">
      <c r="A36" s="79" t="s">
        <v>60</v>
      </c>
      <c r="B36" s="80">
        <v>1</v>
      </c>
      <c r="C36" s="66">
        <v>0</v>
      </c>
      <c r="D36" s="83">
        <f>SUM(B36:C36)</f>
        <v>1</v>
      </c>
      <c r="E36" s="67"/>
      <c r="F36" s="80">
        <v>0</v>
      </c>
      <c r="G36" s="66">
        <v>1</v>
      </c>
      <c r="H36" s="83">
        <f>SUM(F36:G36)</f>
        <v>1</v>
      </c>
      <c r="I36" s="66"/>
      <c r="J36" s="80">
        <v>5</v>
      </c>
      <c r="K36" s="81">
        <v>0</v>
      </c>
      <c r="L36" s="81">
        <f>SUM(J36:K36)</f>
        <v>5</v>
      </c>
      <c r="M36" s="66"/>
      <c r="N36" s="80">
        <v>0</v>
      </c>
      <c r="O36" s="66">
        <v>2</v>
      </c>
      <c r="P36" s="83">
        <f>SUM(N36:O36)</f>
        <v>2</v>
      </c>
    </row>
    <row r="37" spans="1:16" ht="15.75" customHeight="1">
      <c r="A37" s="84" t="s">
        <v>33</v>
      </c>
      <c r="B37" s="85">
        <f t="shared" ref="B37:C37" si="16">SUM(B33:B36)</f>
        <v>17</v>
      </c>
      <c r="C37" s="128">
        <f t="shared" si="16"/>
        <v>0</v>
      </c>
      <c r="D37" s="86">
        <f>SUM(D33:D36)</f>
        <v>17</v>
      </c>
      <c r="E37" s="67"/>
      <c r="F37" s="85">
        <f t="shared" ref="F37:G37" si="17">SUM(F33:F36)</f>
        <v>1</v>
      </c>
      <c r="G37" s="128">
        <f t="shared" si="17"/>
        <v>3</v>
      </c>
      <c r="H37" s="86">
        <f>SUM(H33:H36)</f>
        <v>4</v>
      </c>
      <c r="I37" s="66"/>
      <c r="J37" s="85">
        <f>SUM(J33:J36)</f>
        <v>26</v>
      </c>
      <c r="K37" s="128">
        <f t="shared" ref="K37" si="18">SUM(K33:K36)</f>
        <v>0</v>
      </c>
      <c r="L37" s="128">
        <f>SUM(L33:L36)</f>
        <v>26</v>
      </c>
      <c r="M37" s="66"/>
      <c r="N37" s="85">
        <f t="shared" ref="N37:O37" si="19">SUM(N33:N36)</f>
        <v>1</v>
      </c>
      <c r="O37" s="128">
        <f t="shared" si="19"/>
        <v>5</v>
      </c>
      <c r="P37" s="86">
        <f>SUM(P33:P36)</f>
        <v>6</v>
      </c>
    </row>
    <row r="38" spans="1:16" ht="15.75" customHeight="1">
      <c r="A38" s="79" t="s">
        <v>61</v>
      </c>
      <c r="B38" s="75">
        <v>5</v>
      </c>
      <c r="C38" s="77">
        <v>0</v>
      </c>
      <c r="D38" s="78">
        <f>SUM(B38:C38)</f>
        <v>5</v>
      </c>
      <c r="E38" s="67"/>
      <c r="F38" s="75">
        <v>0</v>
      </c>
      <c r="G38" s="77">
        <v>0</v>
      </c>
      <c r="H38" s="78">
        <f>SUM(F38:G38)</f>
        <v>0</v>
      </c>
      <c r="I38" s="66"/>
      <c r="J38" s="80">
        <v>4</v>
      </c>
      <c r="K38" s="81">
        <v>0</v>
      </c>
      <c r="L38" s="81">
        <f>SUM(J38:K38)</f>
        <v>4</v>
      </c>
      <c r="M38" s="66"/>
      <c r="N38" s="75">
        <v>0</v>
      </c>
      <c r="O38" s="77">
        <v>0</v>
      </c>
      <c r="P38" s="78">
        <f>SUM(N38:O38)</f>
        <v>0</v>
      </c>
    </row>
    <row r="39" spans="1:16" ht="15.75" customHeight="1">
      <c r="A39" s="79" t="s">
        <v>62</v>
      </c>
      <c r="B39" s="80">
        <v>2</v>
      </c>
      <c r="C39" s="66">
        <v>0</v>
      </c>
      <c r="D39" s="82">
        <f>SUM(B39:C39)</f>
        <v>2</v>
      </c>
      <c r="E39" s="67"/>
      <c r="F39" s="80">
        <v>0</v>
      </c>
      <c r="G39" s="66">
        <v>0</v>
      </c>
      <c r="H39" s="82">
        <f>SUM(F39:G39)</f>
        <v>0</v>
      </c>
      <c r="I39" s="66"/>
      <c r="J39" s="80">
        <v>5</v>
      </c>
      <c r="K39" s="81">
        <v>0</v>
      </c>
      <c r="L39" s="81">
        <f>SUM(J39:K39)</f>
        <v>5</v>
      </c>
      <c r="M39" s="66"/>
      <c r="N39" s="80">
        <v>0</v>
      </c>
      <c r="O39" s="66">
        <v>2</v>
      </c>
      <c r="P39" s="82">
        <f>SUM(N39:O39)</f>
        <v>2</v>
      </c>
    </row>
    <row r="40" spans="1:16" ht="15.75" customHeight="1">
      <c r="A40" s="79" t="s">
        <v>63</v>
      </c>
      <c r="B40" s="80">
        <v>5</v>
      </c>
      <c r="C40" s="66">
        <v>0</v>
      </c>
      <c r="D40" s="82">
        <f>SUM(B40:C40)</f>
        <v>5</v>
      </c>
      <c r="E40" s="67"/>
      <c r="F40" s="80">
        <v>0</v>
      </c>
      <c r="G40" s="66">
        <v>0</v>
      </c>
      <c r="H40" s="82">
        <f>SUM(F40:G40)</f>
        <v>0</v>
      </c>
      <c r="I40" s="66"/>
      <c r="J40" s="80">
        <v>7</v>
      </c>
      <c r="K40" s="81">
        <v>0</v>
      </c>
      <c r="L40" s="81">
        <f>SUM(J40:K40)</f>
        <v>7</v>
      </c>
      <c r="M40" s="66"/>
      <c r="N40" s="80">
        <v>0</v>
      </c>
      <c r="O40" s="66">
        <v>0</v>
      </c>
      <c r="P40" s="82">
        <f>SUM(N40:O40)</f>
        <v>0</v>
      </c>
    </row>
    <row r="41" spans="1:16" ht="15.75" customHeight="1">
      <c r="A41" s="79" t="s">
        <v>64</v>
      </c>
      <c r="B41" s="80">
        <v>6</v>
      </c>
      <c r="C41" s="66">
        <v>0</v>
      </c>
      <c r="D41" s="83">
        <f>SUM(B41:C41)</f>
        <v>6</v>
      </c>
      <c r="E41" s="67"/>
      <c r="F41" s="80">
        <v>1</v>
      </c>
      <c r="G41" s="66">
        <v>2</v>
      </c>
      <c r="H41" s="83">
        <f>SUM(F41:G41)</f>
        <v>3</v>
      </c>
      <c r="I41" s="66"/>
      <c r="J41" s="80">
        <v>5</v>
      </c>
      <c r="K41" s="81">
        <v>0</v>
      </c>
      <c r="L41" s="81">
        <f>SUM(J41:K41)</f>
        <v>5</v>
      </c>
      <c r="M41" s="66"/>
      <c r="N41" s="80">
        <v>1</v>
      </c>
      <c r="O41" s="66">
        <v>0</v>
      </c>
      <c r="P41" s="83">
        <f>SUM(N41:O41)</f>
        <v>1</v>
      </c>
    </row>
    <row r="42" spans="1:16" ht="15.75" customHeight="1">
      <c r="A42" s="84" t="s">
        <v>33</v>
      </c>
      <c r="B42" s="85">
        <f t="shared" ref="B42:C42" si="20">SUM(B38:B41)</f>
        <v>18</v>
      </c>
      <c r="C42" s="128">
        <f t="shared" si="20"/>
        <v>0</v>
      </c>
      <c r="D42" s="86">
        <f>SUM(D38:D41)</f>
        <v>18</v>
      </c>
      <c r="E42" s="67"/>
      <c r="F42" s="85">
        <f t="shared" ref="F42:G42" si="21">SUM(F38:F41)</f>
        <v>1</v>
      </c>
      <c r="G42" s="128">
        <f t="shared" si="21"/>
        <v>2</v>
      </c>
      <c r="H42" s="86">
        <f>SUM(H38:H41)</f>
        <v>3</v>
      </c>
      <c r="I42" s="66"/>
      <c r="J42" s="85">
        <f>SUM(J38:J41)</f>
        <v>21</v>
      </c>
      <c r="K42" s="128">
        <f t="shared" ref="K42" si="22">SUM(K38:K41)</f>
        <v>0</v>
      </c>
      <c r="L42" s="128">
        <f>SUM(L38:L41)</f>
        <v>21</v>
      </c>
      <c r="M42" s="66"/>
      <c r="N42" s="85">
        <f t="shared" ref="N42:O42" si="23">SUM(N38:N41)</f>
        <v>1</v>
      </c>
      <c r="O42" s="128">
        <f t="shared" si="23"/>
        <v>2</v>
      </c>
      <c r="P42" s="86">
        <f>SUM(P38:P41)</f>
        <v>3</v>
      </c>
    </row>
    <row r="43" spans="1:16" ht="15.75" customHeight="1">
      <c r="A43" s="87"/>
      <c r="B43" s="88"/>
      <c r="C43" s="88"/>
      <c r="D43" s="89"/>
      <c r="E43" s="90"/>
      <c r="F43" s="88"/>
      <c r="G43" s="88"/>
      <c r="H43" s="89"/>
      <c r="I43" s="88"/>
      <c r="J43" s="88"/>
      <c r="K43" s="88"/>
      <c r="L43" s="89"/>
      <c r="M43" s="88"/>
      <c r="N43" s="88"/>
      <c r="O43" s="88"/>
      <c r="P43" s="89"/>
    </row>
    <row r="44" spans="1:16" ht="15.75" customHeight="1">
      <c r="A44" s="84" t="s">
        <v>34</v>
      </c>
      <c r="B44" s="85">
        <f>SUM(B17+B22+B27+B32+B37+B42)</f>
        <v>101</v>
      </c>
      <c r="C44" s="92">
        <f>SUM(C17+C22+C27+C32+C37+C42)</f>
        <v>1</v>
      </c>
      <c r="D44" s="91">
        <f>SUM(D17+D22+D27+D32+D37+D42)</f>
        <v>102</v>
      </c>
      <c r="E44" s="67"/>
      <c r="F44" s="85">
        <f>SUM(F17+F22+F27+F32+F37+F42)</f>
        <v>4</v>
      </c>
      <c r="G44" s="92">
        <f>SUM(G17+G22+G27+G32+G37+G42)</f>
        <v>15</v>
      </c>
      <c r="H44" s="91">
        <f>SUM(H17+H22+H27+H32+H37+H42)</f>
        <v>19</v>
      </c>
      <c r="I44" s="66"/>
      <c r="J44" s="85">
        <f>SUM(J17+J22+J27+J32+J37+J42)</f>
        <v>240</v>
      </c>
      <c r="K44" s="128">
        <f>SUM(K17+K22+K27+K32+K37+K42)</f>
        <v>1</v>
      </c>
      <c r="L44" s="91">
        <f>SUM(L17+L22+L27+L32+L37+L42)</f>
        <v>241</v>
      </c>
      <c r="M44" s="66"/>
      <c r="N44" s="85">
        <f>SUM(N17+N22+N27+N32+N37+N42)</f>
        <v>8</v>
      </c>
      <c r="O44" s="92">
        <f>SUM(O17+O22+O27+O32+O37+O42)</f>
        <v>97</v>
      </c>
      <c r="P44" s="91">
        <f>SUM(P17+P22+P27+P32+P37+P42)</f>
        <v>105</v>
      </c>
    </row>
    <row r="45" spans="1:16" ht="15.75" customHeight="1">
      <c r="A45" s="87"/>
      <c r="B45" s="58"/>
      <c r="C45" s="58"/>
      <c r="D45" s="58"/>
      <c r="E45" s="93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</row>
    <row r="46" spans="1:16" ht="15.75" customHeight="1">
      <c r="A46" s="62" t="s">
        <v>36</v>
      </c>
      <c r="B46" s="58"/>
      <c r="C46" s="58"/>
      <c r="D46" s="58"/>
      <c r="E46" s="93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</row>
    <row r="47" spans="1:16" ht="15.75" customHeight="1">
      <c r="B47" s="106" t="str">
        <f>$B$9</f>
        <v>Northbound</v>
      </c>
      <c r="C47" s="107"/>
      <c r="D47" s="107"/>
      <c r="E47" s="107"/>
      <c r="F47" s="107"/>
      <c r="G47" s="107"/>
      <c r="H47" s="126"/>
      <c r="I47" s="54"/>
      <c r="J47" s="106" t="str">
        <f>$J$9</f>
        <v>Southbound</v>
      </c>
      <c r="K47" s="107"/>
      <c r="L47" s="107"/>
      <c r="M47" s="107"/>
      <c r="N47" s="107"/>
      <c r="O47" s="107"/>
      <c r="P47" s="126"/>
    </row>
    <row r="48" spans="1:16" s="67" customFormat="1" ht="15.75" customHeight="1">
      <c r="A48" s="64"/>
      <c r="B48" s="108" t="str">
        <f>$B$10</f>
        <v>Using the Footpath</v>
      </c>
      <c r="C48" s="109"/>
      <c r="D48" s="110"/>
      <c r="E48" s="65"/>
      <c r="F48" s="108" t="str">
        <f>$F$10</f>
        <v>Using the Road</v>
      </c>
      <c r="G48" s="109"/>
      <c r="H48" s="110"/>
      <c r="I48" s="66"/>
      <c r="J48" s="108" t="str">
        <f>$J$10</f>
        <v>Using the Footpath</v>
      </c>
      <c r="K48" s="109"/>
      <c r="L48" s="110"/>
      <c r="M48" s="65"/>
      <c r="N48" s="108" t="str">
        <f>$N$10</f>
        <v>Using the Road</v>
      </c>
      <c r="O48" s="109"/>
      <c r="P48" s="110"/>
    </row>
    <row r="49" spans="1:16" ht="15.75" customHeight="1">
      <c r="B49" s="72" t="str">
        <f>$J$11</f>
        <v>Peds</v>
      </c>
      <c r="C49" s="127" t="str">
        <f>$K$11</f>
        <v>Cycles</v>
      </c>
      <c r="D49" s="73" t="s">
        <v>26</v>
      </c>
      <c r="E49" s="51"/>
      <c r="F49" s="72" t="str">
        <f>$J$11</f>
        <v>Peds</v>
      </c>
      <c r="G49" s="127" t="str">
        <f>$K$11</f>
        <v>Cycles</v>
      </c>
      <c r="H49" s="73" t="s">
        <v>26</v>
      </c>
      <c r="I49" s="71"/>
      <c r="J49" s="72" t="str">
        <f>$J$11</f>
        <v>Peds</v>
      </c>
      <c r="K49" s="127" t="str">
        <f>$K$11</f>
        <v>Cycles</v>
      </c>
      <c r="L49" s="73" t="s">
        <v>26</v>
      </c>
      <c r="M49" s="71"/>
      <c r="N49" s="72" t="str">
        <f>$J$11</f>
        <v>Peds</v>
      </c>
      <c r="O49" s="127" t="str">
        <f>$K$11</f>
        <v>Cycles</v>
      </c>
      <c r="P49" s="73" t="s">
        <v>26</v>
      </c>
    </row>
    <row r="50" spans="1:16" ht="15.75" customHeight="1">
      <c r="B50" s="58"/>
      <c r="E50" s="51"/>
      <c r="F50" s="58"/>
      <c r="J50" s="58"/>
      <c r="M50" s="53"/>
      <c r="N50" s="58"/>
      <c r="O50" s="53"/>
      <c r="P50" s="53"/>
    </row>
    <row r="51" spans="1:16" ht="15.75" customHeight="1">
      <c r="A51" s="94" t="s">
        <v>65</v>
      </c>
      <c r="B51" s="75">
        <v>8</v>
      </c>
      <c r="C51" s="77">
        <v>0</v>
      </c>
      <c r="D51" s="78">
        <f>SUM(B51:C51)</f>
        <v>8</v>
      </c>
      <c r="E51" s="67"/>
      <c r="F51" s="75">
        <v>0</v>
      </c>
      <c r="G51" s="77">
        <v>2</v>
      </c>
      <c r="H51" s="78">
        <f>SUM(F51:G51)</f>
        <v>2</v>
      </c>
      <c r="I51" s="66"/>
      <c r="J51" s="75">
        <v>5</v>
      </c>
      <c r="K51" s="77">
        <v>0</v>
      </c>
      <c r="L51" s="78">
        <f>SUM(J51:K51)</f>
        <v>5</v>
      </c>
      <c r="M51" s="66"/>
      <c r="N51" s="75">
        <v>0</v>
      </c>
      <c r="O51" s="77">
        <v>2</v>
      </c>
      <c r="P51" s="78">
        <f>SUM(N51:O51)</f>
        <v>2</v>
      </c>
    </row>
    <row r="52" spans="1:16" ht="15.75" customHeight="1">
      <c r="A52" s="95" t="s">
        <v>66</v>
      </c>
      <c r="B52" s="80">
        <v>2</v>
      </c>
      <c r="C52" s="66">
        <v>0</v>
      </c>
      <c r="D52" s="82">
        <f>SUM(B52:C52)</f>
        <v>2</v>
      </c>
      <c r="E52" s="67"/>
      <c r="F52" s="80">
        <v>0</v>
      </c>
      <c r="G52" s="66">
        <v>1</v>
      </c>
      <c r="H52" s="82">
        <f>SUM(F52:G52)</f>
        <v>1</v>
      </c>
      <c r="I52" s="66"/>
      <c r="J52" s="80">
        <v>10</v>
      </c>
      <c r="K52" s="66">
        <v>0</v>
      </c>
      <c r="L52" s="82">
        <f>SUM(J52:K52)</f>
        <v>10</v>
      </c>
      <c r="M52" s="66"/>
      <c r="N52" s="80">
        <v>0</v>
      </c>
      <c r="O52" s="66">
        <v>2</v>
      </c>
      <c r="P52" s="82">
        <f>SUM(N52:O52)</f>
        <v>2</v>
      </c>
    </row>
    <row r="53" spans="1:16" ht="15.75" customHeight="1">
      <c r="A53" s="95" t="s">
        <v>67</v>
      </c>
      <c r="B53" s="80">
        <v>11</v>
      </c>
      <c r="C53" s="66">
        <v>0</v>
      </c>
      <c r="D53" s="82">
        <f>SUM(B53:C53)</f>
        <v>11</v>
      </c>
      <c r="E53" s="67"/>
      <c r="F53" s="80">
        <v>0</v>
      </c>
      <c r="G53" s="66">
        <v>1</v>
      </c>
      <c r="H53" s="82">
        <f>SUM(F53:G53)</f>
        <v>1</v>
      </c>
      <c r="I53" s="66"/>
      <c r="J53" s="80">
        <v>4</v>
      </c>
      <c r="K53" s="66">
        <v>0</v>
      </c>
      <c r="L53" s="82">
        <f>SUM(J53:K53)</f>
        <v>4</v>
      </c>
      <c r="M53" s="66"/>
      <c r="N53" s="80">
        <v>1</v>
      </c>
      <c r="O53" s="66">
        <v>6</v>
      </c>
      <c r="P53" s="82">
        <f>SUM(N53:O53)</f>
        <v>7</v>
      </c>
    </row>
    <row r="54" spans="1:16" ht="15.75" customHeight="1">
      <c r="A54" s="95" t="s">
        <v>68</v>
      </c>
      <c r="B54" s="80">
        <v>11</v>
      </c>
      <c r="C54" s="66">
        <v>0</v>
      </c>
      <c r="D54" s="83">
        <f>SUM(B54:C54)</f>
        <v>11</v>
      </c>
      <c r="E54" s="67"/>
      <c r="F54" s="80">
        <v>0</v>
      </c>
      <c r="G54" s="66">
        <v>2</v>
      </c>
      <c r="H54" s="83">
        <f>SUM(F54:G54)</f>
        <v>2</v>
      </c>
      <c r="I54" s="66"/>
      <c r="J54" s="80">
        <v>5</v>
      </c>
      <c r="K54" s="66">
        <v>0</v>
      </c>
      <c r="L54" s="83">
        <f>SUM(J54:K54)</f>
        <v>5</v>
      </c>
      <c r="M54" s="66"/>
      <c r="N54" s="80">
        <v>0</v>
      </c>
      <c r="O54" s="66">
        <v>1</v>
      </c>
      <c r="P54" s="83">
        <f>SUM(N54:O54)</f>
        <v>1</v>
      </c>
    </row>
    <row r="55" spans="1:16" ht="15.75" customHeight="1">
      <c r="A55" s="96" t="s">
        <v>33</v>
      </c>
      <c r="B55" s="85">
        <f t="shared" ref="B55:C55" si="24">SUM(B51:B54)</f>
        <v>32</v>
      </c>
      <c r="C55" s="128">
        <f t="shared" si="24"/>
        <v>0</v>
      </c>
      <c r="D55" s="86">
        <f>SUM(D51:D54)</f>
        <v>32</v>
      </c>
      <c r="E55" s="67"/>
      <c r="F55" s="85">
        <f t="shared" ref="F55:G55" si="25">SUM(F51:F54)</f>
        <v>0</v>
      </c>
      <c r="G55" s="128">
        <f t="shared" si="25"/>
        <v>6</v>
      </c>
      <c r="H55" s="86">
        <f>SUM(H51:H54)</f>
        <v>6</v>
      </c>
      <c r="I55" s="66"/>
      <c r="J55" s="85">
        <f>SUM(J51:J54)</f>
        <v>24</v>
      </c>
      <c r="K55" s="128">
        <f t="shared" ref="K55" si="26">SUM(K51:K54)</f>
        <v>0</v>
      </c>
      <c r="L55" s="86">
        <f>SUM(L51:L54)</f>
        <v>24</v>
      </c>
      <c r="M55" s="66"/>
      <c r="N55" s="85">
        <f t="shared" ref="N55" si="27">SUM(N51:N54)</f>
        <v>1</v>
      </c>
      <c r="O55" s="128">
        <f t="shared" ref="O55" si="28">SUM(O51:O54)</f>
        <v>11</v>
      </c>
      <c r="P55" s="86">
        <f>SUM(P51:P54)</f>
        <v>12</v>
      </c>
    </row>
    <row r="56" spans="1:16" ht="15.75" customHeight="1">
      <c r="A56" s="94" t="s">
        <v>69</v>
      </c>
      <c r="B56" s="75">
        <v>7</v>
      </c>
      <c r="C56" s="77">
        <v>0</v>
      </c>
      <c r="D56" s="78">
        <f>SUM(B56:C56)</f>
        <v>7</v>
      </c>
      <c r="E56" s="67"/>
      <c r="F56" s="75">
        <v>0</v>
      </c>
      <c r="G56" s="77">
        <v>1</v>
      </c>
      <c r="H56" s="78">
        <f>SUM(F56:G56)</f>
        <v>1</v>
      </c>
      <c r="I56" s="66"/>
      <c r="J56" s="75">
        <v>10</v>
      </c>
      <c r="K56" s="77">
        <v>0</v>
      </c>
      <c r="L56" s="78">
        <f>SUM(J56:K56)</f>
        <v>10</v>
      </c>
      <c r="M56" s="66"/>
      <c r="N56" s="75">
        <v>0</v>
      </c>
      <c r="O56" s="77">
        <v>1</v>
      </c>
      <c r="P56" s="78">
        <f>SUM(N56:O56)</f>
        <v>1</v>
      </c>
    </row>
    <row r="57" spans="1:16" ht="15.75" customHeight="1">
      <c r="A57" s="95" t="s">
        <v>70</v>
      </c>
      <c r="B57" s="80">
        <v>6</v>
      </c>
      <c r="C57" s="66">
        <v>0</v>
      </c>
      <c r="D57" s="82">
        <f>SUM(B57:C57)</f>
        <v>6</v>
      </c>
      <c r="E57" s="67"/>
      <c r="F57" s="80">
        <v>0</v>
      </c>
      <c r="G57" s="66">
        <v>0</v>
      </c>
      <c r="H57" s="82">
        <f>SUM(F57:G57)</f>
        <v>0</v>
      </c>
      <c r="I57" s="66"/>
      <c r="J57" s="80">
        <v>7</v>
      </c>
      <c r="K57" s="66">
        <v>0</v>
      </c>
      <c r="L57" s="82">
        <f>SUM(J57:K57)</f>
        <v>7</v>
      </c>
      <c r="M57" s="66"/>
      <c r="N57" s="80">
        <v>0</v>
      </c>
      <c r="O57" s="66">
        <v>0</v>
      </c>
      <c r="P57" s="82">
        <f>SUM(N57:O57)</f>
        <v>0</v>
      </c>
    </row>
    <row r="58" spans="1:16" ht="15.75" customHeight="1">
      <c r="A58" s="95" t="s">
        <v>71</v>
      </c>
      <c r="B58" s="80">
        <v>8</v>
      </c>
      <c r="C58" s="66">
        <v>1</v>
      </c>
      <c r="D58" s="82">
        <f>SUM(B58:C58)</f>
        <v>9</v>
      </c>
      <c r="E58" s="67"/>
      <c r="F58" s="80">
        <v>1</v>
      </c>
      <c r="G58" s="66">
        <v>3</v>
      </c>
      <c r="H58" s="82">
        <f>SUM(F58:G58)</f>
        <v>4</v>
      </c>
      <c r="I58" s="66"/>
      <c r="J58" s="80">
        <v>13</v>
      </c>
      <c r="K58" s="66">
        <v>0</v>
      </c>
      <c r="L58" s="82">
        <f>SUM(J58:K58)</f>
        <v>13</v>
      </c>
      <c r="M58" s="66"/>
      <c r="N58" s="80">
        <v>0</v>
      </c>
      <c r="O58" s="66">
        <v>0</v>
      </c>
      <c r="P58" s="82">
        <f>SUM(N58:O58)</f>
        <v>0</v>
      </c>
    </row>
    <row r="59" spans="1:16" ht="15.75" customHeight="1">
      <c r="A59" s="95" t="s">
        <v>72</v>
      </c>
      <c r="B59" s="80">
        <v>4</v>
      </c>
      <c r="C59" s="66">
        <v>0</v>
      </c>
      <c r="D59" s="83">
        <f>SUM(B59:C59)</f>
        <v>4</v>
      </c>
      <c r="E59" s="67"/>
      <c r="F59" s="80">
        <v>0</v>
      </c>
      <c r="G59" s="66">
        <v>0</v>
      </c>
      <c r="H59" s="83">
        <f>SUM(F59:G59)</f>
        <v>0</v>
      </c>
      <c r="I59" s="66"/>
      <c r="J59" s="80">
        <v>19</v>
      </c>
      <c r="K59" s="66">
        <v>0</v>
      </c>
      <c r="L59" s="83">
        <f>SUM(J59:K59)</f>
        <v>19</v>
      </c>
      <c r="M59" s="66"/>
      <c r="N59" s="80">
        <v>0</v>
      </c>
      <c r="O59" s="66">
        <v>2</v>
      </c>
      <c r="P59" s="83">
        <f>SUM(N59:O59)</f>
        <v>2</v>
      </c>
    </row>
    <row r="60" spans="1:16" ht="15.75" customHeight="1">
      <c r="A60" s="96" t="s">
        <v>33</v>
      </c>
      <c r="B60" s="85">
        <f t="shared" ref="B60:C60" si="29">SUM(B56:B59)</f>
        <v>25</v>
      </c>
      <c r="C60" s="128">
        <f t="shared" si="29"/>
        <v>1</v>
      </c>
      <c r="D60" s="86">
        <f>SUM(D56:D59)</f>
        <v>26</v>
      </c>
      <c r="E60" s="67"/>
      <c r="F60" s="85">
        <f t="shared" ref="F60:G60" si="30">SUM(F56:F59)</f>
        <v>1</v>
      </c>
      <c r="G60" s="128">
        <f t="shared" si="30"/>
        <v>4</v>
      </c>
      <c r="H60" s="86">
        <f>SUM(H56:H59)</f>
        <v>5</v>
      </c>
      <c r="I60" s="66"/>
      <c r="J60" s="85">
        <f>SUM(J56:J59)</f>
        <v>49</v>
      </c>
      <c r="K60" s="128">
        <f t="shared" ref="K60" si="31">SUM(K56:K59)</f>
        <v>0</v>
      </c>
      <c r="L60" s="86">
        <f>SUM(L56:L59)</f>
        <v>49</v>
      </c>
      <c r="M60" s="66"/>
      <c r="N60" s="85">
        <f t="shared" ref="N60" si="32">SUM(N56:N59)</f>
        <v>0</v>
      </c>
      <c r="O60" s="128">
        <f t="shared" ref="O60" si="33">SUM(O56:O59)</f>
        <v>3</v>
      </c>
      <c r="P60" s="86">
        <f>SUM(P56:P59)</f>
        <v>3</v>
      </c>
    </row>
    <row r="61" spans="1:16" ht="15.75" customHeight="1">
      <c r="A61" s="94" t="s">
        <v>73</v>
      </c>
      <c r="B61" s="75">
        <v>5</v>
      </c>
      <c r="C61" s="77">
        <v>0</v>
      </c>
      <c r="D61" s="78">
        <f>SUM(B61:C61)</f>
        <v>5</v>
      </c>
      <c r="E61" s="67"/>
      <c r="F61" s="75">
        <v>0</v>
      </c>
      <c r="G61" s="77">
        <v>1</v>
      </c>
      <c r="H61" s="78">
        <f>SUM(F61:G61)</f>
        <v>1</v>
      </c>
      <c r="I61" s="66"/>
      <c r="J61" s="75">
        <v>8</v>
      </c>
      <c r="K61" s="77">
        <v>0</v>
      </c>
      <c r="L61" s="78">
        <f>SUM(J61:K61)</f>
        <v>8</v>
      </c>
      <c r="M61" s="66"/>
      <c r="N61" s="75">
        <v>0</v>
      </c>
      <c r="O61" s="77">
        <v>3</v>
      </c>
      <c r="P61" s="78">
        <f>SUM(N61:O61)</f>
        <v>3</v>
      </c>
    </row>
    <row r="62" spans="1:16" ht="15.75" customHeight="1">
      <c r="A62" s="95" t="s">
        <v>74</v>
      </c>
      <c r="B62" s="80">
        <v>6</v>
      </c>
      <c r="C62" s="66">
        <v>0</v>
      </c>
      <c r="D62" s="82">
        <f>SUM(B62:C62)</f>
        <v>6</v>
      </c>
      <c r="E62" s="67"/>
      <c r="F62" s="80">
        <v>0</v>
      </c>
      <c r="G62" s="66">
        <v>3</v>
      </c>
      <c r="H62" s="82">
        <f>SUM(F62:G62)</f>
        <v>3</v>
      </c>
      <c r="I62" s="66"/>
      <c r="J62" s="80">
        <v>7</v>
      </c>
      <c r="K62" s="66">
        <v>0</v>
      </c>
      <c r="L62" s="82">
        <f>SUM(J62:K62)</f>
        <v>7</v>
      </c>
      <c r="M62" s="66"/>
      <c r="N62" s="80">
        <v>0</v>
      </c>
      <c r="O62" s="66">
        <v>1</v>
      </c>
      <c r="P62" s="82">
        <f>SUM(N62:O62)</f>
        <v>1</v>
      </c>
    </row>
    <row r="63" spans="1:16" ht="15.75" customHeight="1">
      <c r="A63" s="95" t="s">
        <v>75</v>
      </c>
      <c r="B63" s="80">
        <v>12</v>
      </c>
      <c r="C63" s="66">
        <v>0</v>
      </c>
      <c r="D63" s="82">
        <f>SUM(B63:C63)</f>
        <v>12</v>
      </c>
      <c r="E63" s="67"/>
      <c r="F63" s="80">
        <v>0</v>
      </c>
      <c r="G63" s="66">
        <v>4</v>
      </c>
      <c r="H63" s="82">
        <f>SUM(F63:G63)</f>
        <v>4</v>
      </c>
      <c r="I63" s="66"/>
      <c r="J63" s="80">
        <v>3</v>
      </c>
      <c r="K63" s="66">
        <v>0</v>
      </c>
      <c r="L63" s="82">
        <f>SUM(J63:K63)</f>
        <v>3</v>
      </c>
      <c r="M63" s="66"/>
      <c r="N63" s="80">
        <v>0</v>
      </c>
      <c r="O63" s="66">
        <v>2</v>
      </c>
      <c r="P63" s="82">
        <f>SUM(N63:O63)</f>
        <v>2</v>
      </c>
    </row>
    <row r="64" spans="1:16" ht="15.75" customHeight="1">
      <c r="A64" s="95" t="s">
        <v>76</v>
      </c>
      <c r="B64" s="80">
        <v>13</v>
      </c>
      <c r="C64" s="66">
        <v>0</v>
      </c>
      <c r="D64" s="83">
        <f>SUM(B64:C64)</f>
        <v>13</v>
      </c>
      <c r="E64" s="67"/>
      <c r="F64" s="80">
        <v>2</v>
      </c>
      <c r="G64" s="66">
        <v>3</v>
      </c>
      <c r="H64" s="83">
        <f>SUM(F64:G64)</f>
        <v>5</v>
      </c>
      <c r="I64" s="66"/>
      <c r="J64" s="80">
        <v>12</v>
      </c>
      <c r="K64" s="66">
        <v>0</v>
      </c>
      <c r="L64" s="83">
        <f>SUM(J64:K64)</f>
        <v>12</v>
      </c>
      <c r="M64" s="66"/>
      <c r="N64" s="80">
        <v>0</v>
      </c>
      <c r="O64" s="66">
        <v>1</v>
      </c>
      <c r="P64" s="83">
        <f>SUM(N64:O64)</f>
        <v>1</v>
      </c>
    </row>
    <row r="65" spans="1:16" ht="15.75" customHeight="1">
      <c r="A65" s="96" t="s">
        <v>33</v>
      </c>
      <c r="B65" s="85">
        <f t="shared" ref="B65:C65" si="34">SUM(B61:B64)</f>
        <v>36</v>
      </c>
      <c r="C65" s="128">
        <f t="shared" si="34"/>
        <v>0</v>
      </c>
      <c r="D65" s="86">
        <f>SUM(D61:D64)</f>
        <v>36</v>
      </c>
      <c r="E65" s="67"/>
      <c r="F65" s="85">
        <f t="shared" ref="F65:G65" si="35">SUM(F61:F64)</f>
        <v>2</v>
      </c>
      <c r="G65" s="128">
        <f t="shared" si="35"/>
        <v>11</v>
      </c>
      <c r="H65" s="86">
        <f>SUM(H61:H64)</f>
        <v>13</v>
      </c>
      <c r="I65" s="66"/>
      <c r="J65" s="85">
        <f>SUM(J61:J64)</f>
        <v>30</v>
      </c>
      <c r="K65" s="128">
        <f t="shared" ref="K65" si="36">SUM(K61:K64)</f>
        <v>0</v>
      </c>
      <c r="L65" s="86">
        <f>SUM(L61:L64)</f>
        <v>30</v>
      </c>
      <c r="M65" s="66"/>
      <c r="N65" s="85">
        <f t="shared" ref="N65" si="37">SUM(N61:N64)</f>
        <v>0</v>
      </c>
      <c r="O65" s="128">
        <f t="shared" ref="O65" si="38">SUM(O61:O64)</f>
        <v>7</v>
      </c>
      <c r="P65" s="86">
        <f>SUM(P61:P64)</f>
        <v>7</v>
      </c>
    </row>
    <row r="66" spans="1:16" ht="15.75" customHeight="1">
      <c r="A66" s="94" t="s">
        <v>77</v>
      </c>
      <c r="B66" s="75">
        <v>11</v>
      </c>
      <c r="C66" s="77">
        <v>0</v>
      </c>
      <c r="D66" s="78">
        <f>SUM(B66:C66)</f>
        <v>11</v>
      </c>
      <c r="E66" s="67"/>
      <c r="F66" s="75">
        <v>2</v>
      </c>
      <c r="G66" s="77">
        <v>4</v>
      </c>
      <c r="H66" s="78">
        <f>SUM(F66:G66)</f>
        <v>6</v>
      </c>
      <c r="I66" s="66"/>
      <c r="J66" s="75">
        <v>8</v>
      </c>
      <c r="K66" s="77">
        <v>0</v>
      </c>
      <c r="L66" s="78">
        <f>SUM(J66:K66)</f>
        <v>8</v>
      </c>
      <c r="M66" s="66"/>
      <c r="N66" s="75">
        <v>0</v>
      </c>
      <c r="O66" s="77">
        <v>0</v>
      </c>
      <c r="P66" s="78">
        <f>SUM(N66:O66)</f>
        <v>0</v>
      </c>
    </row>
    <row r="67" spans="1:16" ht="15.75" customHeight="1">
      <c r="A67" s="95" t="s">
        <v>78</v>
      </c>
      <c r="B67" s="80">
        <v>15</v>
      </c>
      <c r="C67" s="66">
        <v>0</v>
      </c>
      <c r="D67" s="82">
        <f>SUM(B67:C67)</f>
        <v>15</v>
      </c>
      <c r="E67" s="67"/>
      <c r="F67" s="80">
        <v>0</v>
      </c>
      <c r="G67" s="66">
        <v>4</v>
      </c>
      <c r="H67" s="82">
        <f>SUM(F67:G67)</f>
        <v>4</v>
      </c>
      <c r="I67" s="66"/>
      <c r="J67" s="80">
        <v>3</v>
      </c>
      <c r="K67" s="66">
        <v>0</v>
      </c>
      <c r="L67" s="82">
        <f>SUM(J67:K67)</f>
        <v>3</v>
      </c>
      <c r="M67" s="66"/>
      <c r="N67" s="80">
        <v>0</v>
      </c>
      <c r="O67" s="66">
        <v>2</v>
      </c>
      <c r="P67" s="82">
        <f>SUM(N67:O67)</f>
        <v>2</v>
      </c>
    </row>
    <row r="68" spans="1:16" ht="15.75" customHeight="1">
      <c r="A68" s="95" t="s">
        <v>79</v>
      </c>
      <c r="B68" s="80">
        <v>10</v>
      </c>
      <c r="C68" s="66">
        <v>0</v>
      </c>
      <c r="D68" s="82">
        <f>SUM(B68:C68)</f>
        <v>10</v>
      </c>
      <c r="E68" s="67"/>
      <c r="F68" s="80">
        <v>0</v>
      </c>
      <c r="G68" s="66">
        <v>10</v>
      </c>
      <c r="H68" s="82">
        <f>SUM(F68:G68)</f>
        <v>10</v>
      </c>
      <c r="I68" s="66"/>
      <c r="J68" s="80">
        <v>5</v>
      </c>
      <c r="K68" s="66">
        <v>0</v>
      </c>
      <c r="L68" s="82">
        <f>SUM(J68:K68)</f>
        <v>5</v>
      </c>
      <c r="M68" s="66"/>
      <c r="N68" s="80">
        <v>0</v>
      </c>
      <c r="O68" s="66">
        <v>0</v>
      </c>
      <c r="P68" s="82">
        <f>SUM(N68:O68)</f>
        <v>0</v>
      </c>
    </row>
    <row r="69" spans="1:16" ht="15.75" customHeight="1">
      <c r="A69" s="95" t="s">
        <v>80</v>
      </c>
      <c r="B69" s="80">
        <v>12</v>
      </c>
      <c r="C69" s="66">
        <v>0</v>
      </c>
      <c r="D69" s="83">
        <f>SUM(B69:C69)</f>
        <v>12</v>
      </c>
      <c r="E69" s="67"/>
      <c r="F69" s="80">
        <v>0</v>
      </c>
      <c r="G69" s="66">
        <v>3</v>
      </c>
      <c r="H69" s="83">
        <f>SUM(F69:G69)</f>
        <v>3</v>
      </c>
      <c r="I69" s="66"/>
      <c r="J69" s="80">
        <v>6</v>
      </c>
      <c r="K69" s="66">
        <v>0</v>
      </c>
      <c r="L69" s="83">
        <f>SUM(J69:K69)</f>
        <v>6</v>
      </c>
      <c r="M69" s="66"/>
      <c r="N69" s="80">
        <v>0</v>
      </c>
      <c r="O69" s="66">
        <v>1</v>
      </c>
      <c r="P69" s="83">
        <f>SUM(N69:O69)</f>
        <v>1</v>
      </c>
    </row>
    <row r="70" spans="1:16" ht="15.75" customHeight="1">
      <c r="A70" s="96" t="s">
        <v>33</v>
      </c>
      <c r="B70" s="85">
        <f t="shared" ref="B70:C70" si="39">SUM(B66:B69)</f>
        <v>48</v>
      </c>
      <c r="C70" s="128">
        <f t="shared" si="39"/>
        <v>0</v>
      </c>
      <c r="D70" s="86">
        <f>SUM(D66:D69)</f>
        <v>48</v>
      </c>
      <c r="E70" s="67"/>
      <c r="F70" s="85">
        <f t="shared" ref="F70:G70" si="40">SUM(F66:F69)</f>
        <v>2</v>
      </c>
      <c r="G70" s="128">
        <f t="shared" si="40"/>
        <v>21</v>
      </c>
      <c r="H70" s="86">
        <f>SUM(H66:H69)</f>
        <v>23</v>
      </c>
      <c r="I70" s="66"/>
      <c r="J70" s="85">
        <f>SUM(J66:J69)</f>
        <v>22</v>
      </c>
      <c r="K70" s="128">
        <f t="shared" ref="K70" si="41">SUM(K66:K69)</f>
        <v>0</v>
      </c>
      <c r="L70" s="86">
        <f>SUM(L66:L69)</f>
        <v>22</v>
      </c>
      <c r="M70" s="66"/>
      <c r="N70" s="85">
        <f t="shared" ref="N70" si="42">SUM(N66:N69)</f>
        <v>0</v>
      </c>
      <c r="O70" s="128">
        <f t="shared" ref="O70" si="43">SUM(O66:O69)</f>
        <v>3</v>
      </c>
      <c r="P70" s="86">
        <f>SUM(P66:P69)</f>
        <v>3</v>
      </c>
    </row>
    <row r="71" spans="1:16" ht="15.75" customHeight="1">
      <c r="A71" s="94" t="s">
        <v>81</v>
      </c>
      <c r="B71" s="75">
        <v>12</v>
      </c>
      <c r="C71" s="77">
        <v>0</v>
      </c>
      <c r="D71" s="78">
        <f>SUM(B71:C71)</f>
        <v>12</v>
      </c>
      <c r="E71" s="67"/>
      <c r="F71" s="75">
        <v>0</v>
      </c>
      <c r="G71" s="77">
        <v>11</v>
      </c>
      <c r="H71" s="78">
        <f>SUM(F71:G71)</f>
        <v>11</v>
      </c>
      <c r="I71" s="66"/>
      <c r="J71" s="75">
        <v>2</v>
      </c>
      <c r="K71" s="77">
        <v>0</v>
      </c>
      <c r="L71" s="78">
        <f>SUM(J71:K71)</f>
        <v>2</v>
      </c>
      <c r="M71" s="66"/>
      <c r="N71" s="75">
        <v>0</v>
      </c>
      <c r="O71" s="77">
        <v>1</v>
      </c>
      <c r="P71" s="78">
        <f>SUM(N71:O71)</f>
        <v>1</v>
      </c>
    </row>
    <row r="72" spans="1:16" ht="15.75" customHeight="1">
      <c r="A72" s="95" t="s">
        <v>82</v>
      </c>
      <c r="B72" s="80">
        <v>15</v>
      </c>
      <c r="C72" s="66">
        <v>1</v>
      </c>
      <c r="D72" s="82">
        <f>SUM(B72:C72)</f>
        <v>16</v>
      </c>
      <c r="E72" s="67"/>
      <c r="F72" s="80">
        <v>0</v>
      </c>
      <c r="G72" s="66">
        <v>12</v>
      </c>
      <c r="H72" s="82">
        <f>SUM(F72:G72)</f>
        <v>12</v>
      </c>
      <c r="I72" s="66"/>
      <c r="J72" s="80">
        <v>0</v>
      </c>
      <c r="K72" s="66">
        <v>0</v>
      </c>
      <c r="L72" s="82">
        <f>SUM(J72:K72)</f>
        <v>0</v>
      </c>
      <c r="M72" s="66"/>
      <c r="N72" s="80">
        <v>0</v>
      </c>
      <c r="O72" s="66">
        <v>2</v>
      </c>
      <c r="P72" s="82">
        <f>SUM(N72:O72)</f>
        <v>2</v>
      </c>
    </row>
    <row r="73" spans="1:16" ht="15.75" customHeight="1">
      <c r="A73" s="95" t="s">
        <v>83</v>
      </c>
      <c r="B73" s="80">
        <v>18</v>
      </c>
      <c r="C73" s="66">
        <v>0</v>
      </c>
      <c r="D73" s="82">
        <f>SUM(B73:C73)</f>
        <v>18</v>
      </c>
      <c r="E73" s="67"/>
      <c r="F73" s="80">
        <v>0</v>
      </c>
      <c r="G73" s="66">
        <v>12</v>
      </c>
      <c r="H73" s="82">
        <f>SUM(F73:G73)</f>
        <v>12</v>
      </c>
      <c r="I73" s="66"/>
      <c r="J73" s="80">
        <v>6</v>
      </c>
      <c r="K73" s="66">
        <v>0</v>
      </c>
      <c r="L73" s="82">
        <f>SUM(J73:K73)</f>
        <v>6</v>
      </c>
      <c r="M73" s="66"/>
      <c r="N73" s="80">
        <v>0</v>
      </c>
      <c r="O73" s="66">
        <v>0</v>
      </c>
      <c r="P73" s="82">
        <f>SUM(N73:O73)</f>
        <v>0</v>
      </c>
    </row>
    <row r="74" spans="1:16" ht="15.75" customHeight="1">
      <c r="A74" s="97" t="s">
        <v>84</v>
      </c>
      <c r="B74" s="80">
        <v>25</v>
      </c>
      <c r="C74" s="66">
        <v>0</v>
      </c>
      <c r="D74" s="83">
        <f>SUM(B74:C74)</f>
        <v>25</v>
      </c>
      <c r="E74" s="67"/>
      <c r="F74" s="80">
        <v>0</v>
      </c>
      <c r="G74" s="66">
        <v>9</v>
      </c>
      <c r="H74" s="83">
        <f>SUM(F74:G74)</f>
        <v>9</v>
      </c>
      <c r="I74" s="66"/>
      <c r="J74" s="80">
        <v>4</v>
      </c>
      <c r="K74" s="66">
        <v>1</v>
      </c>
      <c r="L74" s="83">
        <f>SUM(J74:K74)</f>
        <v>5</v>
      </c>
      <c r="M74" s="66"/>
      <c r="N74" s="80">
        <v>1</v>
      </c>
      <c r="O74" s="66">
        <v>0</v>
      </c>
      <c r="P74" s="83">
        <f>SUM(N74:O74)</f>
        <v>1</v>
      </c>
    </row>
    <row r="75" spans="1:16" ht="15.75" customHeight="1">
      <c r="A75" s="96" t="s">
        <v>33</v>
      </c>
      <c r="B75" s="85">
        <f t="shared" ref="B75:C75" si="44">SUM(B71:B74)</f>
        <v>70</v>
      </c>
      <c r="C75" s="128">
        <f t="shared" si="44"/>
        <v>1</v>
      </c>
      <c r="D75" s="86">
        <f>SUM(D71:D74)</f>
        <v>71</v>
      </c>
      <c r="E75" s="67"/>
      <c r="F75" s="85">
        <f>SUM(F71:F74)</f>
        <v>0</v>
      </c>
      <c r="G75" s="128">
        <f t="shared" ref="G75" si="45">SUM(G71:G74)</f>
        <v>44</v>
      </c>
      <c r="H75" s="86">
        <f>SUM(H71:H74)</f>
        <v>44</v>
      </c>
      <c r="I75" s="66"/>
      <c r="J75" s="85">
        <f>SUM(J71:J74)</f>
        <v>12</v>
      </c>
      <c r="K75" s="128">
        <f t="shared" ref="K75" si="46">SUM(K71:K74)</f>
        <v>1</v>
      </c>
      <c r="L75" s="86">
        <f>SUM(L71:L74)</f>
        <v>13</v>
      </c>
      <c r="M75" s="66"/>
      <c r="N75" s="85">
        <f t="shared" ref="N75" si="47">SUM(N71:N74)</f>
        <v>1</v>
      </c>
      <c r="O75" s="128">
        <f t="shared" ref="O75" si="48">SUM(O71:O74)</f>
        <v>3</v>
      </c>
      <c r="P75" s="86">
        <f>SUM(P71:P74)</f>
        <v>4</v>
      </c>
    </row>
    <row r="76" spans="1:16" ht="15.75" customHeight="1">
      <c r="A76" s="94" t="s">
        <v>85</v>
      </c>
      <c r="B76" s="75">
        <v>15</v>
      </c>
      <c r="C76" s="77">
        <v>0</v>
      </c>
      <c r="D76" s="78">
        <f>SUM(B76:C76)</f>
        <v>15</v>
      </c>
      <c r="E76" s="67"/>
      <c r="F76" s="75">
        <v>0</v>
      </c>
      <c r="G76" s="77">
        <v>17</v>
      </c>
      <c r="H76" s="78">
        <f>SUM(F76:G76)</f>
        <v>17</v>
      </c>
      <c r="I76" s="66"/>
      <c r="J76" s="75">
        <v>8</v>
      </c>
      <c r="K76" s="77">
        <v>0</v>
      </c>
      <c r="L76" s="78">
        <f>SUM(J76:K76)</f>
        <v>8</v>
      </c>
      <c r="M76" s="66"/>
      <c r="N76" s="75">
        <v>0</v>
      </c>
      <c r="O76" s="77">
        <v>3</v>
      </c>
      <c r="P76" s="78">
        <f>SUM(N76:O76)</f>
        <v>3</v>
      </c>
    </row>
    <row r="77" spans="1:16" ht="15.75" customHeight="1">
      <c r="A77" s="95" t="s">
        <v>86</v>
      </c>
      <c r="B77" s="80">
        <v>19</v>
      </c>
      <c r="C77" s="66">
        <v>0</v>
      </c>
      <c r="D77" s="82">
        <f>SUM(B77:C77)</f>
        <v>19</v>
      </c>
      <c r="E77" s="67"/>
      <c r="F77" s="80">
        <v>3</v>
      </c>
      <c r="G77" s="66">
        <v>12</v>
      </c>
      <c r="H77" s="82">
        <f>SUM(F77:G77)</f>
        <v>15</v>
      </c>
      <c r="I77" s="66"/>
      <c r="J77" s="80">
        <v>1</v>
      </c>
      <c r="K77" s="66">
        <v>0</v>
      </c>
      <c r="L77" s="82">
        <f>SUM(J77:K77)</f>
        <v>1</v>
      </c>
      <c r="M77" s="66"/>
      <c r="N77" s="80">
        <v>0</v>
      </c>
      <c r="O77" s="66">
        <v>1</v>
      </c>
      <c r="P77" s="82">
        <f>SUM(N77:O77)</f>
        <v>1</v>
      </c>
    </row>
    <row r="78" spans="1:16" ht="15.75" customHeight="1">
      <c r="A78" s="95" t="s">
        <v>87</v>
      </c>
      <c r="B78" s="80">
        <v>10</v>
      </c>
      <c r="C78" s="66">
        <v>1</v>
      </c>
      <c r="D78" s="82">
        <f>SUM(B78:C78)</f>
        <v>11</v>
      </c>
      <c r="E78" s="67"/>
      <c r="F78" s="80">
        <v>0</v>
      </c>
      <c r="G78" s="66">
        <v>12</v>
      </c>
      <c r="H78" s="82">
        <f>SUM(F78:G78)</f>
        <v>12</v>
      </c>
      <c r="I78" s="66"/>
      <c r="J78" s="80">
        <v>5</v>
      </c>
      <c r="K78" s="66">
        <v>0</v>
      </c>
      <c r="L78" s="82">
        <f>SUM(J78:K78)</f>
        <v>5</v>
      </c>
      <c r="M78" s="66"/>
      <c r="N78" s="80">
        <v>0</v>
      </c>
      <c r="O78" s="66">
        <v>0</v>
      </c>
      <c r="P78" s="82">
        <f>SUM(N78:O78)</f>
        <v>0</v>
      </c>
    </row>
    <row r="79" spans="1:16" ht="15.75" customHeight="1">
      <c r="A79" s="95" t="s">
        <v>88</v>
      </c>
      <c r="B79" s="80">
        <v>11</v>
      </c>
      <c r="C79" s="66">
        <v>0</v>
      </c>
      <c r="D79" s="83">
        <f>SUM(B79:C79)</f>
        <v>11</v>
      </c>
      <c r="E79" s="67"/>
      <c r="F79" s="80">
        <v>0</v>
      </c>
      <c r="G79" s="66">
        <v>5</v>
      </c>
      <c r="H79" s="83">
        <f>SUM(F79:G79)</f>
        <v>5</v>
      </c>
      <c r="I79" s="66"/>
      <c r="J79" s="80">
        <v>5</v>
      </c>
      <c r="K79" s="66">
        <v>0</v>
      </c>
      <c r="L79" s="83">
        <f>SUM(J79:K79)</f>
        <v>5</v>
      </c>
      <c r="M79" s="66"/>
      <c r="N79" s="80">
        <v>2</v>
      </c>
      <c r="O79" s="66">
        <v>0</v>
      </c>
      <c r="P79" s="83">
        <f>SUM(N79:O79)</f>
        <v>2</v>
      </c>
    </row>
    <row r="80" spans="1:16" ht="15.75" customHeight="1">
      <c r="A80" s="96" t="s">
        <v>33</v>
      </c>
      <c r="B80" s="85">
        <f t="shared" ref="B80:C80" si="49">SUM(B76:B79)</f>
        <v>55</v>
      </c>
      <c r="C80" s="128">
        <f t="shared" si="49"/>
        <v>1</v>
      </c>
      <c r="D80" s="86">
        <f>SUM(D76:D79)</f>
        <v>56</v>
      </c>
      <c r="E80" s="67"/>
      <c r="F80" s="85">
        <f t="shared" ref="F80:G80" si="50">SUM(F76:F79)</f>
        <v>3</v>
      </c>
      <c r="G80" s="128">
        <f t="shared" si="50"/>
        <v>46</v>
      </c>
      <c r="H80" s="86">
        <f>SUM(H76:H79)</f>
        <v>49</v>
      </c>
      <c r="I80" s="66"/>
      <c r="J80" s="85">
        <f>SUM(J76:J79)</f>
        <v>19</v>
      </c>
      <c r="K80" s="128">
        <f t="shared" ref="K80" si="51">SUM(K76:K79)</f>
        <v>0</v>
      </c>
      <c r="L80" s="86">
        <f>SUM(L76:L79)</f>
        <v>19</v>
      </c>
      <c r="M80" s="66"/>
      <c r="N80" s="85">
        <f t="shared" ref="N80" si="52">SUM(N76:N79)</f>
        <v>2</v>
      </c>
      <c r="O80" s="128">
        <f t="shared" ref="O80" si="53">SUM(O76:O79)</f>
        <v>4</v>
      </c>
      <c r="P80" s="86">
        <f>SUM(P76:P79)</f>
        <v>6</v>
      </c>
    </row>
    <row r="81" spans="1:16" ht="15.75" customHeight="1">
      <c r="A81" s="87"/>
      <c r="B81" s="88"/>
      <c r="C81" s="88"/>
      <c r="D81" s="89"/>
      <c r="E81" s="90"/>
      <c r="F81" s="88"/>
      <c r="G81" s="88"/>
      <c r="H81" s="89"/>
      <c r="I81" s="88"/>
      <c r="J81" s="88"/>
      <c r="K81" s="88"/>
      <c r="L81" s="89"/>
      <c r="M81" s="88"/>
      <c r="N81" s="88"/>
      <c r="O81" s="88"/>
      <c r="P81" s="89"/>
    </row>
    <row r="82" spans="1:16" ht="15.75" customHeight="1">
      <c r="A82" s="98" t="s">
        <v>34</v>
      </c>
      <c r="B82" s="85">
        <f>SUM(B55+B60+B65+B70+B75+B80)</f>
        <v>266</v>
      </c>
      <c r="C82" s="92">
        <f>SUM(C55+C60+C65+C70+C75+C80)</f>
        <v>3</v>
      </c>
      <c r="D82" s="91">
        <f>SUM(D55+D60+D65+D70+D75+D80)</f>
        <v>269</v>
      </c>
      <c r="E82" s="67"/>
      <c r="F82" s="85">
        <f>SUM(F55+F60+F65+F70+F75+F80)</f>
        <v>8</v>
      </c>
      <c r="G82" s="92">
        <f>SUM(G55+G60+G65+G70+G75+G80)</f>
        <v>132</v>
      </c>
      <c r="H82" s="91">
        <f>SUM(H55+H60+H65+H70+H75+H80)</f>
        <v>140</v>
      </c>
      <c r="I82" s="66"/>
      <c r="J82" s="85">
        <f>SUM(J55+J60+J65+J70+J75+J80)</f>
        <v>156</v>
      </c>
      <c r="K82" s="92">
        <f>SUM(K55+K60+K65+K70+K75+K80)</f>
        <v>1</v>
      </c>
      <c r="L82" s="91">
        <f>SUM(L55+L60+L65+L70+L75+L80)</f>
        <v>157</v>
      </c>
      <c r="M82" s="66"/>
      <c r="N82" s="85">
        <f>SUM(N55+N60+N65+N70+N75+N80)</f>
        <v>4</v>
      </c>
      <c r="O82" s="92">
        <f>SUM(O55+O60+O65+O70+O75+O80)</f>
        <v>31</v>
      </c>
      <c r="P82" s="91">
        <f>SUM(P55+P60+P65+P70+P75+P80)</f>
        <v>35</v>
      </c>
    </row>
    <row r="83" spans="1:16" ht="15.75" customHeight="1">
      <c r="A83" s="87"/>
      <c r="B83" s="58"/>
      <c r="C83" s="58"/>
      <c r="D83" s="58"/>
      <c r="E83" s="93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</row>
    <row r="84" spans="1:16" ht="15.75" customHeight="1">
      <c r="A84" s="98" t="s">
        <v>26</v>
      </c>
      <c r="B84" s="85">
        <f>SUM(B44+B82)</f>
        <v>367</v>
      </c>
      <c r="C84" s="92">
        <f>SUM(C44+C82)</f>
        <v>4</v>
      </c>
      <c r="D84" s="91">
        <f>SUM(D44+D82)</f>
        <v>371</v>
      </c>
      <c r="E84" s="67"/>
      <c r="F84" s="85">
        <f>SUM(F44+F82)</f>
        <v>12</v>
      </c>
      <c r="G84" s="92">
        <f>SUM(G44+G82)</f>
        <v>147</v>
      </c>
      <c r="H84" s="91">
        <f>SUM(H44+H82)</f>
        <v>159</v>
      </c>
      <c r="I84" s="66"/>
      <c r="J84" s="85">
        <f>SUM(J44+J82)</f>
        <v>396</v>
      </c>
      <c r="K84" s="92">
        <f>SUM(K44+K82)</f>
        <v>2</v>
      </c>
      <c r="L84" s="91">
        <f>SUM(L44+L82)</f>
        <v>398</v>
      </c>
      <c r="M84" s="66"/>
      <c r="N84" s="85">
        <f>SUM(N44+N82)</f>
        <v>12</v>
      </c>
      <c r="O84" s="92">
        <f>SUM(O44+O82)</f>
        <v>128</v>
      </c>
      <c r="P84" s="91">
        <f>SUM(P44+P82)</f>
        <v>140</v>
      </c>
    </row>
    <row r="85" spans="1:16" ht="15.75" customHeight="1">
      <c r="A85" s="87"/>
      <c r="B85" s="88"/>
      <c r="C85" s="88"/>
      <c r="D85" s="88"/>
      <c r="E85" s="90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</row>
    <row r="86" spans="1:16" ht="15.75" customHeight="1">
      <c r="A86" s="64"/>
      <c r="B86" s="66"/>
      <c r="C86" s="66"/>
      <c r="D86" s="66"/>
      <c r="E86" s="67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</row>
    <row r="87" spans="1:16" ht="15.75" customHeight="1">
      <c r="A87" s="64"/>
      <c r="B87" s="66"/>
      <c r="C87" s="66"/>
      <c r="D87" s="66"/>
      <c r="E87" s="67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</row>
    <row r="88" spans="1:16" ht="15.75" customHeight="1">
      <c r="A88" s="64"/>
      <c r="B88" s="66"/>
      <c r="C88" s="66"/>
      <c r="D88" s="66"/>
      <c r="E88" s="67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</row>
    <row r="89" spans="1:16" ht="15.75" customHeight="1">
      <c r="A89" s="64"/>
      <c r="B89" s="66"/>
      <c r="C89" s="66"/>
      <c r="D89" s="66"/>
      <c r="E89" s="67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</row>
    <row r="90" spans="1:16" ht="15.75" customHeight="1">
      <c r="A90" s="64"/>
      <c r="B90" s="66"/>
      <c r="C90" s="66"/>
      <c r="D90" s="66"/>
      <c r="E90" s="67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</row>
    <row r="91" spans="1:16" ht="15.75" customHeight="1">
      <c r="A91" s="64"/>
      <c r="B91" s="66"/>
      <c r="C91" s="66"/>
      <c r="D91" s="66"/>
      <c r="E91" s="67"/>
      <c r="F91" s="66"/>
      <c r="G91" s="66"/>
      <c r="H91" s="66"/>
      <c r="I91" s="66"/>
      <c r="J91" s="51"/>
      <c r="K91" s="51"/>
      <c r="L91" s="51"/>
    </row>
    <row r="92" spans="1:16" ht="15.75" customHeight="1">
      <c r="A92" s="64"/>
      <c r="B92" s="66"/>
      <c r="C92" s="66"/>
      <c r="D92" s="66"/>
      <c r="E92" s="67"/>
      <c r="F92" s="66"/>
      <c r="G92" s="66"/>
      <c r="H92" s="66"/>
      <c r="I92" s="66"/>
      <c r="J92" s="51"/>
      <c r="K92" s="51"/>
      <c r="L92" s="51"/>
    </row>
    <row r="93" spans="1:16" ht="15.75" customHeight="1">
      <c r="A93" s="64"/>
      <c r="B93" s="66"/>
      <c r="C93" s="66"/>
      <c r="D93" s="66"/>
      <c r="E93" s="67"/>
      <c r="F93" s="66"/>
      <c r="G93" s="66"/>
      <c r="H93" s="66"/>
      <c r="I93" s="66"/>
      <c r="J93" s="51"/>
      <c r="K93" s="51"/>
      <c r="L93" s="51"/>
    </row>
    <row r="94" spans="1:16" ht="15.75" customHeight="1">
      <c r="A94" s="64"/>
      <c r="B94" s="66"/>
      <c r="C94" s="66"/>
      <c r="D94" s="66"/>
      <c r="E94" s="67"/>
      <c r="F94" s="66"/>
      <c r="G94" s="66"/>
      <c r="H94" s="66"/>
      <c r="I94" s="66"/>
      <c r="J94" s="51"/>
      <c r="K94" s="51"/>
      <c r="L94" s="51"/>
    </row>
    <row r="95" spans="1:16" ht="15.75" customHeight="1">
      <c r="A95" s="64"/>
      <c r="B95" s="66"/>
      <c r="C95" s="66"/>
      <c r="D95" s="66"/>
      <c r="E95" s="67"/>
      <c r="F95" s="66"/>
      <c r="G95" s="66"/>
      <c r="H95" s="66"/>
      <c r="I95" s="66"/>
      <c r="J95" s="51"/>
      <c r="K95" s="51"/>
      <c r="L95" s="51"/>
    </row>
    <row r="96" spans="1:16" ht="15.75" customHeight="1">
      <c r="A96" s="64"/>
      <c r="B96" s="66"/>
      <c r="C96" s="66"/>
      <c r="D96" s="66"/>
      <c r="E96" s="67"/>
      <c r="F96" s="66"/>
      <c r="G96" s="66"/>
      <c r="H96" s="66"/>
      <c r="I96" s="66"/>
      <c r="J96" s="51"/>
      <c r="K96" s="51"/>
      <c r="L96" s="51"/>
    </row>
    <row r="97" spans="1:12" ht="15.75" customHeight="1">
      <c r="A97" s="64"/>
      <c r="B97" s="66"/>
      <c r="C97" s="66"/>
      <c r="D97" s="66"/>
      <c r="E97" s="67"/>
      <c r="F97" s="66"/>
      <c r="G97" s="66"/>
      <c r="H97" s="66"/>
      <c r="I97" s="66"/>
      <c r="J97" s="51"/>
      <c r="K97" s="51"/>
      <c r="L97" s="51"/>
    </row>
    <row r="98" spans="1:12" ht="15.75" customHeight="1">
      <c r="A98" s="64"/>
      <c r="B98" s="66"/>
      <c r="C98" s="66"/>
      <c r="D98" s="66"/>
      <c r="E98" s="67"/>
      <c r="F98" s="66"/>
      <c r="G98" s="66"/>
      <c r="H98" s="66"/>
      <c r="I98" s="66"/>
      <c r="J98" s="51"/>
      <c r="K98" s="51"/>
      <c r="L98" s="51"/>
    </row>
    <row r="99" spans="1:12" ht="15.75" customHeight="1">
      <c r="A99" s="64"/>
      <c r="B99" s="66"/>
      <c r="C99" s="66"/>
      <c r="D99" s="66"/>
      <c r="E99" s="67"/>
      <c r="F99" s="66"/>
      <c r="G99" s="66"/>
      <c r="H99" s="66"/>
      <c r="I99" s="66"/>
      <c r="J99" s="51"/>
      <c r="K99" s="51"/>
      <c r="L99" s="51"/>
    </row>
    <row r="100" spans="1:12" ht="15.75" customHeight="1">
      <c r="A100" s="64"/>
      <c r="B100" s="66"/>
      <c r="C100" s="66"/>
      <c r="D100" s="66"/>
      <c r="E100" s="67"/>
      <c r="F100" s="66"/>
      <c r="G100" s="66"/>
      <c r="H100" s="66"/>
      <c r="I100" s="66"/>
      <c r="J100" s="51"/>
      <c r="K100" s="51"/>
      <c r="L100" s="51"/>
    </row>
    <row r="101" spans="1:12" ht="15.75" customHeight="1">
      <c r="A101" s="64"/>
      <c r="B101" s="66"/>
      <c r="C101" s="66"/>
      <c r="D101" s="66"/>
      <c r="E101" s="67"/>
      <c r="F101" s="66"/>
      <c r="G101" s="66"/>
      <c r="H101" s="66"/>
      <c r="I101" s="66"/>
      <c r="J101" s="51"/>
      <c r="K101" s="51"/>
      <c r="L101" s="51"/>
    </row>
    <row r="102" spans="1:12" ht="15.75" customHeight="1">
      <c r="A102" s="64"/>
      <c r="B102" s="66"/>
      <c r="C102" s="66"/>
      <c r="D102" s="66"/>
      <c r="E102" s="67"/>
      <c r="F102" s="66"/>
      <c r="G102" s="66"/>
      <c r="H102" s="66"/>
      <c r="I102" s="66"/>
      <c r="J102" s="51"/>
      <c r="K102" s="51"/>
      <c r="L102" s="51"/>
    </row>
    <row r="103" spans="1:12" ht="15.75" customHeight="1">
      <c r="A103" s="64"/>
      <c r="B103" s="66"/>
      <c r="C103" s="66"/>
      <c r="D103" s="66"/>
      <c r="E103" s="67"/>
      <c r="F103" s="66"/>
      <c r="G103" s="66"/>
      <c r="H103" s="66"/>
      <c r="I103" s="66"/>
      <c r="J103" s="51"/>
      <c r="K103" s="51"/>
      <c r="L103" s="51"/>
    </row>
    <row r="104" spans="1:12" ht="15.75" customHeight="1">
      <c r="A104" s="64"/>
      <c r="B104" s="66"/>
      <c r="C104" s="66"/>
      <c r="D104" s="66"/>
      <c r="E104" s="67"/>
      <c r="F104" s="66"/>
      <c r="G104" s="66"/>
      <c r="H104" s="66"/>
      <c r="I104" s="66"/>
      <c r="J104" s="51"/>
      <c r="K104" s="51"/>
      <c r="L104" s="51"/>
    </row>
    <row r="105" spans="1:12" ht="15.75" customHeight="1">
      <c r="A105" s="64"/>
      <c r="B105" s="66"/>
      <c r="C105" s="66"/>
      <c r="D105" s="66"/>
      <c r="E105" s="67"/>
      <c r="F105" s="66"/>
      <c r="G105" s="66"/>
      <c r="H105" s="66"/>
      <c r="I105" s="66"/>
      <c r="J105" s="51"/>
      <c r="K105" s="51"/>
      <c r="L105" s="51"/>
    </row>
    <row r="106" spans="1:12" ht="15.75" customHeight="1">
      <c r="A106" s="64"/>
      <c r="B106" s="66"/>
      <c r="C106" s="66"/>
      <c r="D106" s="66"/>
      <c r="E106" s="67"/>
      <c r="F106" s="66"/>
      <c r="G106" s="66"/>
      <c r="H106" s="66"/>
      <c r="I106" s="66"/>
      <c r="J106" s="51"/>
      <c r="K106" s="51"/>
      <c r="L106" s="51"/>
    </row>
    <row r="107" spans="1:12" ht="15.75" customHeight="1">
      <c r="A107" s="64"/>
      <c r="B107" s="66"/>
      <c r="C107" s="66"/>
      <c r="D107" s="66"/>
      <c r="E107" s="67"/>
      <c r="F107" s="66"/>
      <c r="G107" s="66"/>
      <c r="H107" s="66"/>
      <c r="I107" s="66"/>
      <c r="J107" s="51"/>
      <c r="K107" s="51"/>
      <c r="L107" s="51"/>
    </row>
    <row r="108" spans="1:12" ht="15.75" customHeight="1">
      <c r="A108" s="64"/>
      <c r="B108" s="66"/>
      <c r="C108" s="66"/>
      <c r="D108" s="66"/>
      <c r="E108" s="67"/>
      <c r="F108" s="66"/>
      <c r="G108" s="66"/>
      <c r="H108" s="66"/>
      <c r="I108" s="66"/>
      <c r="J108" s="51"/>
      <c r="K108" s="51"/>
      <c r="L108" s="51"/>
    </row>
    <row r="109" spans="1:12" ht="15.75" customHeight="1">
      <c r="A109" s="64"/>
      <c r="B109" s="66"/>
      <c r="C109" s="66"/>
      <c r="D109" s="66"/>
      <c r="E109" s="67"/>
      <c r="F109" s="66"/>
      <c r="G109" s="66"/>
      <c r="H109" s="66"/>
      <c r="I109" s="66"/>
      <c r="J109" s="51"/>
      <c r="K109" s="51"/>
      <c r="L109" s="51"/>
    </row>
    <row r="110" spans="1:12" ht="15.75" customHeight="1">
      <c r="A110" s="64"/>
      <c r="B110" s="66"/>
      <c r="C110" s="66"/>
      <c r="D110" s="66"/>
      <c r="E110" s="67"/>
      <c r="F110" s="66"/>
      <c r="G110" s="66"/>
      <c r="H110" s="66"/>
      <c r="I110" s="66"/>
      <c r="J110" s="51"/>
      <c r="K110" s="51"/>
      <c r="L110" s="51"/>
    </row>
    <row r="111" spans="1:12" ht="15.75" customHeight="1">
      <c r="A111" s="64"/>
      <c r="B111" s="66"/>
      <c r="C111" s="66"/>
      <c r="D111" s="66"/>
      <c r="E111" s="67"/>
      <c r="F111" s="66"/>
      <c r="G111" s="66"/>
      <c r="H111" s="66"/>
      <c r="I111" s="66"/>
      <c r="J111" s="51"/>
      <c r="K111" s="51"/>
      <c r="L111" s="51"/>
    </row>
    <row r="112" spans="1:12" ht="15.75" customHeight="1">
      <c r="A112" s="64"/>
      <c r="B112" s="66"/>
      <c r="C112" s="66"/>
      <c r="D112" s="66"/>
      <c r="E112" s="67"/>
      <c r="F112" s="51"/>
      <c r="G112" s="51"/>
      <c r="H112" s="51"/>
      <c r="I112" s="66"/>
      <c r="J112" s="51"/>
      <c r="K112" s="51"/>
      <c r="L112" s="51"/>
    </row>
    <row r="113" spans="1:12" ht="15.75" customHeight="1">
      <c r="A113" s="64"/>
      <c r="B113" s="66"/>
      <c r="C113" s="66"/>
      <c r="D113" s="66"/>
      <c r="E113" s="67"/>
      <c r="F113" s="51"/>
      <c r="G113" s="51"/>
      <c r="H113" s="51"/>
      <c r="I113" s="66"/>
      <c r="J113" s="51"/>
      <c r="K113" s="51"/>
      <c r="L113" s="51"/>
    </row>
    <row r="114" spans="1:12" ht="15.75" customHeight="1">
      <c r="A114" s="64"/>
      <c r="B114" s="66"/>
      <c r="C114" s="66"/>
      <c r="D114" s="66"/>
      <c r="E114" s="67"/>
      <c r="F114" s="51"/>
      <c r="G114" s="51"/>
      <c r="H114" s="51"/>
      <c r="I114" s="66"/>
      <c r="J114" s="51"/>
      <c r="K114" s="51"/>
      <c r="L114" s="51"/>
    </row>
    <row r="115" spans="1:12" ht="15.75" customHeight="1">
      <c r="A115" s="64"/>
      <c r="B115" s="66"/>
      <c r="C115" s="66"/>
      <c r="D115" s="66"/>
      <c r="E115" s="67"/>
      <c r="F115" s="51"/>
      <c r="G115" s="51"/>
      <c r="H115" s="51"/>
      <c r="I115" s="66"/>
      <c r="J115" s="51"/>
      <c r="K115" s="51"/>
      <c r="L115" s="51"/>
    </row>
    <row r="116" spans="1:12" ht="15.75" customHeight="1">
      <c r="A116" s="64"/>
      <c r="B116" s="66"/>
      <c r="C116" s="66"/>
      <c r="D116" s="66"/>
      <c r="E116" s="67"/>
      <c r="F116" s="51"/>
      <c r="G116" s="51"/>
      <c r="H116" s="51"/>
      <c r="I116" s="66"/>
      <c r="J116" s="51"/>
      <c r="K116" s="51"/>
      <c r="L116" s="51"/>
    </row>
    <row r="117" spans="1:12" ht="15.75" customHeight="1">
      <c r="A117" s="64"/>
      <c r="B117" s="66"/>
      <c r="C117" s="66"/>
      <c r="D117" s="66"/>
      <c r="E117" s="67"/>
      <c r="F117" s="51"/>
      <c r="G117" s="51"/>
      <c r="H117" s="51"/>
      <c r="I117" s="66"/>
      <c r="J117" s="51"/>
      <c r="K117" s="51"/>
      <c r="L117" s="51"/>
    </row>
    <row r="118" spans="1:12" ht="15.75" customHeight="1">
      <c r="A118" s="64"/>
      <c r="B118" s="66"/>
      <c r="C118" s="66"/>
      <c r="D118" s="66"/>
      <c r="E118" s="67"/>
      <c r="F118" s="51"/>
      <c r="G118" s="51"/>
      <c r="H118" s="51"/>
      <c r="I118" s="66"/>
      <c r="J118" s="51"/>
      <c r="K118" s="51"/>
      <c r="L118" s="51"/>
    </row>
    <row r="119" spans="1:12" ht="15.75" customHeight="1">
      <c r="A119" s="64"/>
      <c r="B119" s="66"/>
      <c r="C119" s="66"/>
      <c r="D119" s="66"/>
      <c r="E119" s="67"/>
      <c r="F119" s="51"/>
      <c r="G119" s="51"/>
      <c r="H119" s="51"/>
      <c r="I119" s="66"/>
      <c r="J119" s="51"/>
      <c r="K119" s="51"/>
      <c r="L119" s="51"/>
    </row>
    <row r="120" spans="1:12" ht="15.75" customHeight="1">
      <c r="A120" s="64"/>
      <c r="B120" s="66"/>
      <c r="C120" s="66"/>
      <c r="D120" s="66"/>
      <c r="E120" s="67"/>
      <c r="F120" s="51"/>
      <c r="G120" s="51"/>
      <c r="H120" s="51"/>
      <c r="I120" s="66"/>
      <c r="J120" s="51"/>
      <c r="K120" s="51"/>
      <c r="L120" s="51"/>
    </row>
    <row r="121" spans="1:12" ht="15.75" customHeight="1">
      <c r="A121" s="64"/>
      <c r="B121" s="66"/>
      <c r="C121" s="66"/>
      <c r="D121" s="66"/>
      <c r="E121" s="67"/>
      <c r="F121" s="51"/>
      <c r="G121" s="51"/>
      <c r="H121" s="51"/>
      <c r="I121" s="66"/>
      <c r="J121" s="51"/>
      <c r="K121" s="51"/>
      <c r="L121" s="51"/>
    </row>
    <row r="122" spans="1:12" ht="15.75" customHeight="1">
      <c r="A122" s="64"/>
      <c r="B122" s="66"/>
      <c r="C122" s="66"/>
      <c r="D122" s="66"/>
      <c r="E122" s="67"/>
      <c r="F122" s="51"/>
      <c r="G122" s="51"/>
      <c r="H122" s="51"/>
      <c r="I122" s="66"/>
      <c r="J122" s="51"/>
      <c r="K122" s="51"/>
      <c r="L122" s="51"/>
    </row>
    <row r="123" spans="1:12" ht="15.75" customHeight="1">
      <c r="A123" s="64"/>
      <c r="B123" s="66"/>
      <c r="C123" s="66"/>
      <c r="D123" s="66"/>
      <c r="E123" s="67"/>
      <c r="F123" s="51"/>
      <c r="G123" s="51"/>
      <c r="H123" s="51"/>
      <c r="I123" s="66"/>
      <c r="J123" s="51"/>
      <c r="K123" s="51"/>
      <c r="L123" s="51"/>
    </row>
    <row r="124" spans="1:12" ht="15.75" customHeight="1">
      <c r="A124" s="64"/>
      <c r="B124" s="66"/>
      <c r="C124" s="66"/>
      <c r="D124" s="66"/>
      <c r="E124" s="67"/>
      <c r="F124" s="51"/>
      <c r="G124" s="51"/>
      <c r="H124" s="51"/>
      <c r="I124" s="66"/>
      <c r="J124" s="51"/>
      <c r="K124" s="51"/>
      <c r="L124" s="51"/>
    </row>
    <row r="125" spans="1:12" ht="15.75" customHeight="1">
      <c r="A125" s="64"/>
      <c r="B125" s="66"/>
      <c r="C125" s="66"/>
      <c r="D125" s="66"/>
      <c r="E125" s="67"/>
      <c r="F125" s="51"/>
      <c r="G125" s="51"/>
      <c r="H125" s="51"/>
      <c r="I125" s="66"/>
      <c r="J125" s="51"/>
      <c r="K125" s="51"/>
      <c r="L125" s="51"/>
    </row>
    <row r="126" spans="1:12" ht="15.75" customHeight="1">
      <c r="A126" s="64"/>
      <c r="B126" s="66"/>
      <c r="C126" s="66"/>
      <c r="D126" s="66"/>
      <c r="E126" s="67"/>
      <c r="F126" s="51"/>
      <c r="G126" s="51"/>
      <c r="H126" s="51"/>
      <c r="I126" s="66"/>
      <c r="J126" s="51"/>
      <c r="K126" s="51"/>
      <c r="L126" s="51"/>
    </row>
    <row r="127" spans="1:12" ht="15.75" customHeight="1">
      <c r="A127" s="64"/>
      <c r="B127" s="66"/>
      <c r="C127" s="66"/>
      <c r="D127" s="66"/>
      <c r="E127" s="67"/>
      <c r="F127" s="51"/>
      <c r="G127" s="51"/>
      <c r="H127" s="51"/>
      <c r="I127" s="66"/>
      <c r="J127" s="51"/>
      <c r="K127" s="51"/>
      <c r="L127" s="51"/>
    </row>
    <row r="128" spans="1:12" ht="15.75" customHeight="1">
      <c r="A128" s="64"/>
      <c r="B128" s="66"/>
      <c r="C128" s="66"/>
      <c r="D128" s="66"/>
      <c r="E128" s="67"/>
      <c r="F128" s="51"/>
      <c r="G128" s="51"/>
      <c r="H128" s="51"/>
      <c r="I128" s="66"/>
      <c r="J128" s="51"/>
      <c r="K128" s="51"/>
      <c r="L128" s="51"/>
    </row>
    <row r="129" spans="1:12" ht="15.75" customHeight="1">
      <c r="A129" s="64"/>
      <c r="B129" s="66"/>
      <c r="C129" s="66"/>
      <c r="D129" s="66"/>
      <c r="E129" s="67"/>
      <c r="F129" s="51"/>
      <c r="G129" s="51"/>
      <c r="H129" s="51"/>
      <c r="I129" s="66"/>
      <c r="J129" s="51"/>
      <c r="K129" s="51"/>
      <c r="L129" s="51"/>
    </row>
    <row r="130" spans="1:12" ht="15.75" customHeight="1">
      <c r="A130" s="64"/>
      <c r="B130" s="66"/>
      <c r="C130" s="66"/>
      <c r="D130" s="66"/>
      <c r="E130" s="67"/>
      <c r="F130" s="51"/>
      <c r="G130" s="51"/>
      <c r="H130" s="51"/>
      <c r="I130" s="66"/>
      <c r="J130" s="51"/>
      <c r="K130" s="51"/>
      <c r="L130" s="51"/>
    </row>
    <row r="131" spans="1:12" ht="15.75" customHeight="1">
      <c r="A131" s="64"/>
      <c r="B131" s="66"/>
      <c r="C131" s="66"/>
      <c r="D131" s="66"/>
      <c r="E131" s="67"/>
      <c r="F131" s="51"/>
      <c r="G131" s="51"/>
      <c r="H131" s="51"/>
      <c r="I131" s="66"/>
      <c r="J131" s="51"/>
      <c r="K131" s="51"/>
      <c r="L131" s="51"/>
    </row>
    <row r="132" spans="1:12" ht="15.75" customHeight="1">
      <c r="A132" s="64"/>
      <c r="B132" s="66"/>
      <c r="C132" s="66"/>
      <c r="D132" s="66"/>
      <c r="E132" s="67"/>
      <c r="F132" s="51"/>
      <c r="G132" s="51"/>
      <c r="H132" s="51"/>
      <c r="I132" s="66"/>
      <c r="J132" s="51"/>
      <c r="K132" s="51"/>
      <c r="L132" s="51"/>
    </row>
    <row r="133" spans="1:12" ht="15.75" customHeight="1">
      <c r="A133" s="64"/>
      <c r="B133" s="66"/>
      <c r="C133" s="66"/>
      <c r="D133" s="66"/>
      <c r="E133" s="67"/>
      <c r="F133" s="51"/>
      <c r="G133" s="51"/>
      <c r="H133" s="51"/>
      <c r="I133" s="66"/>
      <c r="J133" s="51"/>
      <c r="K133" s="51"/>
      <c r="L133" s="51"/>
    </row>
    <row r="134" spans="1:12" ht="15.75" customHeight="1">
      <c r="A134" s="64"/>
      <c r="B134" s="66"/>
      <c r="C134" s="66"/>
      <c r="D134" s="66"/>
      <c r="E134" s="67"/>
      <c r="F134" s="51"/>
      <c r="G134" s="51"/>
      <c r="H134" s="51"/>
      <c r="I134" s="66"/>
      <c r="J134" s="51"/>
      <c r="K134" s="51"/>
      <c r="L134" s="51"/>
    </row>
    <row r="135" spans="1:12" ht="15.75" customHeight="1">
      <c r="A135" s="64"/>
      <c r="B135" s="66"/>
      <c r="C135" s="66"/>
      <c r="D135" s="66"/>
      <c r="E135" s="67"/>
      <c r="F135" s="51"/>
      <c r="G135" s="51"/>
      <c r="H135" s="51"/>
      <c r="I135" s="66"/>
      <c r="J135" s="51"/>
      <c r="K135" s="51"/>
      <c r="L135" s="51"/>
    </row>
    <row r="136" spans="1:12" ht="15.75" customHeight="1">
      <c r="A136" s="64"/>
      <c r="B136" s="66"/>
      <c r="C136" s="66"/>
      <c r="D136" s="66"/>
      <c r="E136" s="67"/>
      <c r="F136" s="51"/>
      <c r="G136" s="51"/>
      <c r="H136" s="51"/>
      <c r="I136" s="66"/>
      <c r="J136" s="51"/>
      <c r="K136" s="51"/>
      <c r="L136" s="51"/>
    </row>
    <row r="137" spans="1:12" ht="15.75" customHeight="1">
      <c r="A137" s="64"/>
      <c r="B137" s="66"/>
      <c r="C137" s="66"/>
      <c r="D137" s="66"/>
      <c r="E137" s="67"/>
      <c r="F137" s="51"/>
      <c r="G137" s="51"/>
      <c r="H137" s="51"/>
      <c r="I137" s="66"/>
      <c r="J137" s="51"/>
      <c r="K137" s="51"/>
      <c r="L137" s="51"/>
    </row>
    <row r="138" spans="1:12" ht="15.75" customHeight="1">
      <c r="A138" s="64"/>
      <c r="B138" s="66"/>
      <c r="C138" s="66"/>
      <c r="D138" s="66"/>
      <c r="E138" s="67"/>
      <c r="F138" s="51"/>
      <c r="G138" s="51"/>
      <c r="H138" s="51"/>
      <c r="I138" s="66"/>
      <c r="J138" s="51"/>
      <c r="K138" s="51"/>
      <c r="L138" s="51"/>
    </row>
    <row r="139" spans="1:12" ht="15.75" customHeight="1">
      <c r="A139" s="64"/>
      <c r="B139" s="66"/>
      <c r="C139" s="66"/>
      <c r="D139" s="66"/>
      <c r="E139" s="67"/>
      <c r="F139" s="51"/>
      <c r="G139" s="51"/>
      <c r="H139" s="51"/>
      <c r="I139" s="66"/>
      <c r="J139" s="51"/>
      <c r="K139" s="51"/>
      <c r="L139" s="51"/>
    </row>
    <row r="140" spans="1:12" ht="15.75" customHeight="1">
      <c r="A140" s="64"/>
      <c r="B140" s="66"/>
      <c r="C140" s="66"/>
      <c r="D140" s="66"/>
      <c r="E140" s="67"/>
      <c r="F140" s="51"/>
      <c r="G140" s="51"/>
      <c r="H140" s="51"/>
      <c r="I140" s="66"/>
      <c r="J140" s="51"/>
      <c r="K140" s="51"/>
      <c r="L140" s="51"/>
    </row>
    <row r="141" spans="1:12" ht="15.75" customHeight="1">
      <c r="A141" s="64"/>
      <c r="B141" s="66"/>
      <c r="C141" s="66"/>
      <c r="D141" s="66"/>
      <c r="E141" s="67"/>
      <c r="F141" s="51"/>
      <c r="G141" s="51"/>
      <c r="H141" s="51"/>
      <c r="I141" s="66"/>
      <c r="J141" s="51"/>
      <c r="K141" s="51"/>
      <c r="L141" s="51"/>
    </row>
    <row r="142" spans="1:12" ht="15.75" customHeight="1">
      <c r="A142" s="64"/>
      <c r="B142" s="66"/>
      <c r="C142" s="66"/>
      <c r="D142" s="66"/>
      <c r="E142" s="67"/>
      <c r="F142" s="51"/>
      <c r="G142" s="51"/>
      <c r="H142" s="51"/>
      <c r="I142" s="66"/>
      <c r="J142" s="51"/>
      <c r="K142" s="51"/>
      <c r="L142" s="51"/>
    </row>
    <row r="143" spans="1:12" ht="15.75" customHeight="1">
      <c r="A143" s="64"/>
      <c r="B143" s="66"/>
      <c r="C143" s="66"/>
      <c r="D143" s="66"/>
      <c r="E143" s="67"/>
      <c r="F143" s="51"/>
      <c r="G143" s="51"/>
      <c r="H143" s="51"/>
      <c r="I143" s="66"/>
      <c r="J143" s="51"/>
      <c r="K143" s="51"/>
      <c r="L143" s="51"/>
    </row>
    <row r="144" spans="1:12" ht="15.75" customHeight="1">
      <c r="A144" s="64"/>
      <c r="B144" s="66"/>
      <c r="C144" s="66"/>
      <c r="D144" s="66"/>
      <c r="E144" s="67"/>
      <c r="F144" s="51"/>
      <c r="G144" s="51"/>
      <c r="H144" s="51"/>
      <c r="I144" s="66"/>
      <c r="J144" s="51"/>
      <c r="K144" s="51"/>
      <c r="L144" s="51"/>
    </row>
    <row r="145" spans="1:12" ht="15.75" customHeight="1">
      <c r="A145" s="64"/>
      <c r="B145" s="66"/>
      <c r="C145" s="66"/>
      <c r="D145" s="66"/>
      <c r="E145" s="67"/>
      <c r="F145" s="51"/>
      <c r="G145" s="51"/>
      <c r="H145" s="51"/>
      <c r="I145" s="66"/>
      <c r="J145" s="51"/>
      <c r="K145" s="51"/>
      <c r="L145" s="51"/>
    </row>
    <row r="146" spans="1:12" ht="15.75" customHeight="1">
      <c r="A146" s="64"/>
      <c r="B146" s="66"/>
      <c r="C146" s="66"/>
      <c r="D146" s="66"/>
      <c r="E146" s="67"/>
      <c r="F146" s="51"/>
      <c r="G146" s="51"/>
      <c r="H146" s="51"/>
      <c r="I146" s="66"/>
      <c r="J146" s="51"/>
      <c r="K146" s="51"/>
      <c r="L146" s="51"/>
    </row>
    <row r="147" spans="1:12" ht="15.75" customHeight="1">
      <c r="A147" s="64"/>
      <c r="B147" s="66"/>
      <c r="C147" s="66"/>
      <c r="D147" s="66"/>
      <c r="E147" s="67"/>
      <c r="F147" s="51"/>
      <c r="G147" s="51"/>
      <c r="H147" s="51"/>
      <c r="I147" s="66"/>
      <c r="J147" s="51"/>
      <c r="K147" s="51"/>
      <c r="L147" s="51"/>
    </row>
    <row r="148" spans="1:12" ht="15.75" customHeight="1">
      <c r="A148" s="64"/>
      <c r="B148" s="66"/>
      <c r="C148" s="66"/>
      <c r="D148" s="66"/>
      <c r="E148" s="67"/>
      <c r="F148" s="51"/>
      <c r="G148" s="51"/>
      <c r="H148" s="51"/>
      <c r="I148" s="66"/>
      <c r="J148" s="51"/>
      <c r="K148" s="51"/>
      <c r="L148" s="51"/>
    </row>
    <row r="149" spans="1:12" ht="15.75" customHeight="1">
      <c r="A149" s="64"/>
      <c r="B149" s="66"/>
      <c r="C149" s="66"/>
      <c r="D149" s="66"/>
      <c r="E149" s="67"/>
      <c r="F149" s="51"/>
      <c r="G149" s="51"/>
      <c r="H149" s="51"/>
      <c r="I149" s="66"/>
      <c r="J149" s="51"/>
      <c r="K149" s="51"/>
      <c r="L149" s="51"/>
    </row>
    <row r="150" spans="1:12" ht="15.75" customHeight="1">
      <c r="A150" s="64"/>
      <c r="B150" s="66"/>
      <c r="C150" s="66"/>
      <c r="D150" s="66"/>
      <c r="E150" s="67"/>
      <c r="F150" s="51"/>
      <c r="G150" s="51"/>
      <c r="H150" s="51"/>
      <c r="I150" s="66"/>
      <c r="J150" s="51"/>
      <c r="K150" s="51"/>
      <c r="L150" s="51"/>
    </row>
    <row r="151" spans="1:12" ht="15.75" customHeight="1">
      <c r="A151" s="64"/>
      <c r="B151" s="66"/>
      <c r="C151" s="66"/>
      <c r="D151" s="66"/>
      <c r="E151" s="67"/>
      <c r="F151" s="51"/>
      <c r="G151" s="51"/>
      <c r="H151" s="51"/>
      <c r="I151" s="66"/>
      <c r="J151" s="51"/>
      <c r="K151" s="51"/>
      <c r="L151" s="51"/>
    </row>
    <row r="152" spans="1:12" ht="15.75" customHeight="1">
      <c r="A152" s="64"/>
      <c r="B152" s="66"/>
      <c r="C152" s="66"/>
      <c r="D152" s="66"/>
      <c r="E152" s="67"/>
      <c r="F152" s="51"/>
      <c r="G152" s="51"/>
      <c r="H152" s="51"/>
      <c r="I152" s="66"/>
      <c r="J152" s="51"/>
      <c r="K152" s="51"/>
      <c r="L152" s="51"/>
    </row>
    <row r="153" spans="1:12" ht="15.75" customHeight="1">
      <c r="A153" s="64"/>
      <c r="B153" s="66"/>
      <c r="C153" s="66"/>
      <c r="D153" s="66"/>
      <c r="E153" s="67"/>
      <c r="F153" s="51"/>
      <c r="G153" s="51"/>
      <c r="H153" s="51"/>
      <c r="I153" s="66"/>
      <c r="J153" s="51"/>
      <c r="K153" s="51"/>
      <c r="L153" s="51"/>
    </row>
    <row r="154" spans="1:12" ht="15.75" customHeight="1">
      <c r="A154" s="64"/>
      <c r="B154" s="66"/>
      <c r="C154" s="66"/>
      <c r="D154" s="66"/>
      <c r="E154" s="67"/>
      <c r="F154" s="51"/>
      <c r="G154" s="51"/>
      <c r="H154" s="51"/>
      <c r="I154" s="66"/>
      <c r="J154" s="51"/>
      <c r="K154" s="51"/>
      <c r="L154" s="51"/>
    </row>
    <row r="155" spans="1:12" ht="15.75" customHeight="1">
      <c r="A155" s="64"/>
      <c r="B155" s="66"/>
      <c r="C155" s="66"/>
      <c r="D155" s="66"/>
      <c r="E155" s="67"/>
      <c r="F155" s="51"/>
      <c r="G155" s="51"/>
      <c r="H155" s="51"/>
      <c r="I155" s="66"/>
      <c r="J155" s="51"/>
      <c r="K155" s="51"/>
      <c r="L155" s="51"/>
    </row>
    <row r="156" spans="1:12" ht="15.75" customHeight="1">
      <c r="A156" s="64"/>
      <c r="B156" s="66"/>
      <c r="C156" s="66"/>
      <c r="D156" s="66"/>
      <c r="E156" s="67"/>
      <c r="F156" s="51"/>
      <c r="G156" s="51"/>
      <c r="H156" s="51"/>
      <c r="I156" s="66"/>
      <c r="J156" s="51"/>
      <c r="K156" s="51"/>
      <c r="L156" s="51"/>
    </row>
    <row r="157" spans="1:12" ht="15.75" customHeight="1">
      <c r="A157" s="64"/>
      <c r="B157" s="66"/>
      <c r="C157" s="66"/>
      <c r="D157" s="66"/>
      <c r="E157" s="67"/>
      <c r="F157" s="51"/>
      <c r="G157" s="51"/>
      <c r="H157" s="51"/>
      <c r="I157" s="66"/>
      <c r="J157" s="51"/>
      <c r="K157" s="51"/>
      <c r="L157" s="51"/>
    </row>
    <row r="158" spans="1:12" ht="15.75" customHeight="1">
      <c r="A158" s="64"/>
      <c r="B158" s="66"/>
      <c r="C158" s="66"/>
      <c r="D158" s="66"/>
      <c r="E158" s="67"/>
      <c r="F158" s="51"/>
      <c r="G158" s="51"/>
      <c r="H158" s="51"/>
      <c r="I158" s="66"/>
      <c r="J158" s="51"/>
      <c r="K158" s="51"/>
      <c r="L158" s="51"/>
    </row>
    <row r="159" spans="1:12" ht="15.75" customHeight="1">
      <c r="A159" s="64"/>
      <c r="B159" s="66"/>
      <c r="C159" s="66"/>
      <c r="D159" s="66"/>
      <c r="E159" s="67"/>
      <c r="F159" s="51"/>
      <c r="G159" s="51"/>
      <c r="H159" s="51"/>
      <c r="I159" s="66"/>
      <c r="J159" s="51"/>
      <c r="K159" s="51"/>
      <c r="L159" s="51"/>
    </row>
    <row r="160" spans="1:12" ht="15.75" customHeight="1">
      <c r="A160" s="64"/>
      <c r="B160" s="66"/>
      <c r="C160" s="66"/>
      <c r="D160" s="66"/>
      <c r="E160" s="67"/>
      <c r="F160" s="51"/>
      <c r="G160" s="51"/>
      <c r="H160" s="51"/>
      <c r="I160" s="66"/>
      <c r="J160" s="51"/>
      <c r="K160" s="51"/>
      <c r="L160" s="51"/>
    </row>
    <row r="161" spans="1:12" ht="15.75" customHeight="1">
      <c r="A161" s="64"/>
      <c r="B161" s="66"/>
      <c r="C161" s="66"/>
      <c r="D161" s="66"/>
      <c r="E161" s="67"/>
      <c r="F161" s="51"/>
      <c r="G161" s="51"/>
      <c r="H161" s="51"/>
      <c r="I161" s="66"/>
      <c r="J161" s="51"/>
      <c r="K161" s="51"/>
      <c r="L161" s="51"/>
    </row>
    <row r="162" spans="1:12" ht="15.75" customHeight="1">
      <c r="A162" s="64"/>
      <c r="B162" s="66"/>
      <c r="C162" s="66"/>
      <c r="D162" s="66"/>
      <c r="E162" s="67"/>
      <c r="F162" s="51"/>
      <c r="G162" s="51"/>
      <c r="H162" s="51"/>
      <c r="I162" s="66"/>
      <c r="J162" s="51"/>
      <c r="K162" s="51"/>
      <c r="L162" s="51"/>
    </row>
    <row r="163" spans="1:12" ht="15.75" customHeight="1">
      <c r="A163" s="64"/>
      <c r="B163" s="66"/>
      <c r="C163" s="66"/>
      <c r="D163" s="66"/>
      <c r="E163" s="67"/>
      <c r="F163" s="51"/>
      <c r="G163" s="51"/>
      <c r="H163" s="51"/>
      <c r="I163" s="66"/>
      <c r="J163" s="51"/>
      <c r="K163" s="51"/>
      <c r="L163" s="51"/>
    </row>
    <row r="164" spans="1:12" ht="14.25">
      <c r="A164" s="64"/>
      <c r="B164" s="66"/>
      <c r="C164" s="66"/>
      <c r="D164" s="66"/>
      <c r="E164" s="67"/>
      <c r="F164" s="51"/>
      <c r="G164" s="51"/>
      <c r="H164" s="51"/>
      <c r="I164" s="66"/>
      <c r="J164" s="51"/>
      <c r="K164" s="51"/>
      <c r="L164" s="51"/>
    </row>
    <row r="165" spans="1:12" ht="14.25">
      <c r="A165" s="64"/>
      <c r="B165" s="66"/>
      <c r="C165" s="66"/>
      <c r="D165" s="66"/>
      <c r="E165" s="67"/>
      <c r="F165" s="51"/>
      <c r="G165" s="51"/>
      <c r="H165" s="51"/>
      <c r="I165" s="66"/>
      <c r="J165" s="51"/>
      <c r="K165" s="51"/>
      <c r="L165" s="51"/>
    </row>
    <row r="166" spans="1:12" ht="14.25">
      <c r="A166" s="64"/>
      <c r="B166" s="66"/>
      <c r="C166" s="66"/>
      <c r="D166" s="66"/>
      <c r="E166" s="67"/>
      <c r="F166" s="51"/>
      <c r="G166" s="51"/>
      <c r="H166" s="51"/>
      <c r="I166" s="66"/>
      <c r="J166" s="51"/>
      <c r="K166" s="51"/>
      <c r="L166" s="51"/>
    </row>
    <row r="167" spans="1:12" ht="14.25">
      <c r="A167" s="64"/>
      <c r="B167" s="66"/>
      <c r="C167" s="66"/>
      <c r="D167" s="66"/>
      <c r="E167" s="67"/>
      <c r="F167" s="51"/>
      <c r="G167" s="51"/>
      <c r="H167" s="51"/>
      <c r="I167" s="66"/>
      <c r="J167" s="51"/>
      <c r="K167" s="51"/>
      <c r="L167" s="51"/>
    </row>
    <row r="168" spans="1:12" ht="14.25">
      <c r="A168" s="64"/>
      <c r="B168" s="66"/>
      <c r="C168" s="66"/>
      <c r="D168" s="66"/>
      <c r="E168" s="67"/>
      <c r="F168" s="51"/>
      <c r="G168" s="51"/>
      <c r="H168" s="51"/>
      <c r="I168" s="66"/>
      <c r="J168" s="51"/>
      <c r="K168" s="51"/>
      <c r="L168" s="51"/>
    </row>
    <row r="169" spans="1:12" ht="14.25">
      <c r="A169" s="64"/>
      <c r="B169" s="66"/>
      <c r="C169" s="66"/>
      <c r="D169" s="66"/>
      <c r="E169" s="67"/>
      <c r="F169" s="51"/>
      <c r="G169" s="51"/>
      <c r="H169" s="51"/>
      <c r="I169" s="66"/>
      <c r="J169" s="51"/>
      <c r="K169" s="51"/>
      <c r="L169" s="51"/>
    </row>
    <row r="170" spans="1:12" ht="14.25">
      <c r="A170" s="64"/>
      <c r="B170" s="66"/>
      <c r="C170" s="66"/>
      <c r="D170" s="66"/>
      <c r="E170" s="67"/>
      <c r="F170" s="51"/>
      <c r="G170" s="51"/>
      <c r="H170" s="51"/>
      <c r="I170" s="66"/>
      <c r="J170" s="51"/>
      <c r="K170" s="51"/>
      <c r="L170" s="51"/>
    </row>
    <row r="171" spans="1:12" ht="14.25">
      <c r="A171" s="64"/>
      <c r="B171" s="66"/>
      <c r="C171" s="66"/>
      <c r="D171" s="66"/>
      <c r="E171" s="67"/>
      <c r="F171" s="51"/>
      <c r="G171" s="51"/>
      <c r="H171" s="51"/>
      <c r="I171" s="66"/>
      <c r="J171" s="51"/>
      <c r="K171" s="51"/>
      <c r="L171" s="51"/>
    </row>
    <row r="172" spans="1:12" ht="14.25">
      <c r="A172" s="64"/>
      <c r="B172" s="66"/>
      <c r="C172" s="66"/>
      <c r="D172" s="66"/>
      <c r="E172" s="67"/>
      <c r="F172" s="51"/>
      <c r="G172" s="51"/>
      <c r="H172" s="51"/>
      <c r="I172" s="66"/>
      <c r="J172" s="51"/>
      <c r="K172" s="51"/>
      <c r="L172" s="51"/>
    </row>
    <row r="173" spans="1:12" ht="14.25">
      <c r="A173" s="64"/>
      <c r="B173" s="66"/>
      <c r="C173" s="66"/>
      <c r="D173" s="66"/>
      <c r="E173" s="67"/>
      <c r="F173" s="51"/>
      <c r="G173" s="51"/>
      <c r="H173" s="51"/>
      <c r="I173" s="66"/>
      <c r="J173" s="51"/>
      <c r="K173" s="51"/>
      <c r="L173" s="51"/>
    </row>
    <row r="174" spans="1:12" ht="14.25">
      <c r="A174" s="64"/>
      <c r="B174" s="66"/>
      <c r="C174" s="66"/>
      <c r="D174" s="66"/>
      <c r="E174" s="67"/>
      <c r="F174" s="51"/>
      <c r="G174" s="51"/>
      <c r="H174" s="51"/>
      <c r="I174" s="66"/>
      <c r="J174" s="51"/>
      <c r="K174" s="51"/>
      <c r="L174" s="51"/>
    </row>
    <row r="175" spans="1:12" ht="14.25">
      <c r="A175" s="64"/>
      <c r="B175" s="66"/>
      <c r="C175" s="66"/>
      <c r="D175" s="66"/>
      <c r="E175" s="67"/>
      <c r="F175" s="51"/>
      <c r="G175" s="51"/>
      <c r="H175" s="51"/>
      <c r="I175" s="66"/>
      <c r="J175" s="51"/>
      <c r="K175" s="51"/>
      <c r="L175" s="51"/>
    </row>
    <row r="176" spans="1:12" ht="14.25">
      <c r="A176" s="64"/>
      <c r="B176" s="66"/>
      <c r="C176" s="66"/>
      <c r="D176" s="66"/>
      <c r="E176" s="67"/>
      <c r="F176" s="51"/>
      <c r="G176" s="51"/>
      <c r="H176" s="51"/>
      <c r="I176" s="66"/>
      <c r="J176" s="51"/>
      <c r="K176" s="51"/>
      <c r="L176" s="51"/>
    </row>
    <row r="177" spans="1:13" ht="14.25">
      <c r="A177" s="64"/>
      <c r="B177" s="66"/>
      <c r="C177" s="66"/>
      <c r="D177" s="66"/>
      <c r="E177" s="67"/>
      <c r="F177" s="51"/>
      <c r="G177" s="51"/>
      <c r="H177" s="51"/>
      <c r="I177" s="66"/>
      <c r="J177" s="51"/>
      <c r="K177" s="51"/>
      <c r="L177" s="51"/>
    </row>
    <row r="178" spans="1:13" ht="14.25">
      <c r="A178" s="64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7"/>
    </row>
    <row r="179" spans="1:13" ht="14.25">
      <c r="A179" s="64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7"/>
    </row>
    <row r="180" spans="1:13" ht="14.25">
      <c r="A180" s="64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7"/>
    </row>
    <row r="181" spans="1:13" ht="14.25">
      <c r="A181" s="64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7"/>
    </row>
    <row r="182" spans="1:13" ht="14.25">
      <c r="A182" s="64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7"/>
    </row>
    <row r="183" spans="1:13" ht="14.25">
      <c r="A183" s="64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7"/>
    </row>
    <row r="184" spans="1:13" ht="14.25">
      <c r="A184" s="64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7"/>
    </row>
    <row r="185" spans="1:13" ht="14.25">
      <c r="A185" s="64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7"/>
    </row>
    <row r="186" spans="1:13" ht="14.25">
      <c r="A186" s="64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7"/>
    </row>
    <row r="187" spans="1:13" ht="14.25">
      <c r="A187" s="64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7"/>
    </row>
    <row r="188" spans="1:13" ht="14.25">
      <c r="A188" s="64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7"/>
    </row>
    <row r="189" spans="1:13" ht="14.25">
      <c r="A189" s="64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7"/>
    </row>
    <row r="190" spans="1:13" ht="14.25">
      <c r="A190" s="64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7"/>
    </row>
    <row r="191" spans="1:13" ht="14.25">
      <c r="A191" s="64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7"/>
    </row>
    <row r="192" spans="1:13" ht="14.25">
      <c r="A192" s="64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7"/>
    </row>
    <row r="193" spans="1:13" ht="14.25">
      <c r="A193" s="64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7"/>
    </row>
    <row r="194" spans="1:13" ht="14.25">
      <c r="A194" s="64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7"/>
    </row>
    <row r="195" spans="1:13" ht="14.25">
      <c r="A195" s="64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7"/>
    </row>
    <row r="196" spans="1:13" ht="14.25">
      <c r="A196" s="64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7"/>
    </row>
    <row r="197" spans="1:13" ht="14.25">
      <c r="A197" s="64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7"/>
    </row>
    <row r="198" spans="1:13" ht="14.25">
      <c r="A198" s="64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7"/>
    </row>
    <row r="199" spans="1:13" ht="14.25">
      <c r="A199" s="64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7"/>
    </row>
    <row r="200" spans="1:13" ht="14.25">
      <c r="A200" s="64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7"/>
    </row>
    <row r="201" spans="1:13" ht="14.25">
      <c r="A201" s="64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7"/>
    </row>
    <row r="202" spans="1:13" ht="14.25">
      <c r="A202" s="64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7"/>
    </row>
    <row r="203" spans="1:13" ht="14.25">
      <c r="A203" s="64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7"/>
    </row>
    <row r="204" spans="1:13" ht="14.25">
      <c r="A204" s="64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7"/>
    </row>
    <row r="205" spans="1:13" ht="14.25">
      <c r="A205" s="64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7"/>
    </row>
    <row r="206" spans="1:13" ht="14.25">
      <c r="A206" s="64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7"/>
    </row>
    <row r="207" spans="1:13" ht="14.25">
      <c r="A207" s="64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7"/>
    </row>
    <row r="208" spans="1:13" ht="14.25">
      <c r="A208" s="64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7"/>
    </row>
    <row r="209" spans="1:13" ht="14.25">
      <c r="A209" s="64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7"/>
    </row>
    <row r="210" spans="1:13" ht="14.25">
      <c r="A210" s="64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7"/>
    </row>
    <row r="211" spans="1:13" ht="14.25">
      <c r="A211" s="64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7"/>
    </row>
    <row r="212" spans="1:13" ht="14.25">
      <c r="A212" s="64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7"/>
    </row>
    <row r="213" spans="1:13" ht="14.25">
      <c r="A213" s="64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7"/>
    </row>
    <row r="214" spans="1:13" ht="14.25">
      <c r="A214" s="64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7"/>
    </row>
    <row r="215" spans="1:13" ht="14.25">
      <c r="A215" s="64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7"/>
    </row>
    <row r="216" spans="1:13" ht="14.25">
      <c r="A216" s="64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7"/>
    </row>
    <row r="217" spans="1:13" ht="14.25">
      <c r="A217" s="64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7"/>
    </row>
    <row r="218" spans="1:13" ht="14.25">
      <c r="A218" s="64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7"/>
    </row>
    <row r="219" spans="1:13" ht="14.25">
      <c r="A219" s="64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7"/>
    </row>
    <row r="220" spans="1:13" ht="14.25">
      <c r="A220" s="64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7"/>
    </row>
    <row r="221" spans="1:13" ht="14.25">
      <c r="A221" s="64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7"/>
    </row>
    <row r="222" spans="1:13" ht="14.25">
      <c r="A222" s="64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7"/>
    </row>
    <row r="223" spans="1:13" ht="14.25">
      <c r="A223" s="64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7"/>
    </row>
    <row r="224" spans="1:13" ht="14.25">
      <c r="A224" s="64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7"/>
    </row>
    <row r="225" spans="1:13" ht="14.25">
      <c r="A225" s="64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7"/>
    </row>
    <row r="226" spans="1:13" ht="14.25">
      <c r="A226" s="64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7"/>
    </row>
    <row r="227" spans="1:13" ht="14.25">
      <c r="A227" s="64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7"/>
    </row>
    <row r="228" spans="1:13" ht="14.25">
      <c r="A228" s="64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7"/>
    </row>
    <row r="229" spans="1:13" ht="14.25">
      <c r="A229" s="64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7"/>
    </row>
    <row r="230" spans="1:13" ht="14.25">
      <c r="A230" s="64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7"/>
    </row>
    <row r="231" spans="1:13" ht="14.25">
      <c r="A231" s="64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7"/>
    </row>
    <row r="232" spans="1:13" ht="14.25">
      <c r="A232" s="64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7"/>
    </row>
    <row r="233" spans="1:13" ht="14.25">
      <c r="A233" s="64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7"/>
    </row>
    <row r="234" spans="1:13" ht="14.25">
      <c r="A234" s="64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7"/>
    </row>
    <row r="235" spans="1:13" ht="14.25">
      <c r="A235" s="64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7"/>
    </row>
    <row r="236" spans="1:13" ht="14.25">
      <c r="A236" s="64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7"/>
    </row>
    <row r="237" spans="1:13" ht="14.25">
      <c r="A237" s="64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7"/>
    </row>
    <row r="238" spans="1:13" ht="14.25">
      <c r="A238" s="64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7"/>
    </row>
    <row r="239" spans="1:13" ht="14.25">
      <c r="A239" s="64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7"/>
    </row>
    <row r="240" spans="1:13" ht="14.25">
      <c r="A240" s="64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7"/>
    </row>
    <row r="241" spans="1:13" ht="14.25">
      <c r="A241" s="64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7"/>
    </row>
    <row r="242" spans="1:13" ht="14.25">
      <c r="A242" s="64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7"/>
    </row>
    <row r="243" spans="1:13" ht="14.25">
      <c r="A243" s="64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7"/>
    </row>
    <row r="244" spans="1:13" ht="14.25">
      <c r="A244" s="64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7"/>
    </row>
    <row r="245" spans="1:13" ht="14.25">
      <c r="A245" s="64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7"/>
    </row>
    <row r="246" spans="1:13" ht="14.25">
      <c r="A246" s="64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7"/>
    </row>
    <row r="247" spans="1:13" ht="14.25">
      <c r="A247" s="64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7"/>
    </row>
    <row r="248" spans="1:13" ht="14.25">
      <c r="A248" s="64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7"/>
    </row>
    <row r="249" spans="1:13" ht="14.25">
      <c r="A249" s="64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7"/>
    </row>
    <row r="250" spans="1:13" ht="14.25">
      <c r="A250" s="64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7"/>
    </row>
    <row r="251" spans="1:13" ht="14.25">
      <c r="A251" s="64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7"/>
    </row>
    <row r="252" spans="1:13" ht="14.25">
      <c r="A252" s="64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7"/>
    </row>
    <row r="253" spans="1:13" ht="14.25">
      <c r="A253" s="64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7"/>
    </row>
    <row r="254" spans="1:13" ht="14.25">
      <c r="A254" s="64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7"/>
    </row>
    <row r="255" spans="1:13" ht="14.25">
      <c r="A255" s="64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7"/>
    </row>
    <row r="256" spans="1:13" ht="14.25">
      <c r="A256" s="64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7"/>
    </row>
    <row r="257" spans="1:13" ht="14.25">
      <c r="A257" s="64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7"/>
    </row>
    <row r="258" spans="1:13" ht="14.25">
      <c r="A258" s="64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7"/>
    </row>
    <row r="259" spans="1:13" ht="14.25">
      <c r="A259" s="64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7"/>
    </row>
    <row r="260" spans="1:13" ht="14.25">
      <c r="A260" s="64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7"/>
    </row>
    <row r="261" spans="1:13" ht="14.25">
      <c r="A261" s="64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7"/>
    </row>
    <row r="262" spans="1:13" ht="14.25">
      <c r="A262" s="64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7"/>
    </row>
    <row r="263" spans="1:13" ht="14.25">
      <c r="A263" s="64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7"/>
    </row>
    <row r="264" spans="1:13" ht="14.25">
      <c r="A264" s="64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7"/>
    </row>
    <row r="265" spans="1:13" ht="14.25">
      <c r="A265" s="64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7"/>
    </row>
    <row r="266" spans="1:13" ht="14.25">
      <c r="A266" s="64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7"/>
    </row>
    <row r="267" spans="1:13" ht="14.25">
      <c r="A267" s="64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7"/>
    </row>
    <row r="268" spans="1:13" ht="14.25">
      <c r="A268" s="64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7"/>
    </row>
    <row r="269" spans="1:13" ht="14.25">
      <c r="A269" s="64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7"/>
    </row>
    <row r="270" spans="1:13" ht="14.25">
      <c r="A270" s="64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7"/>
    </row>
    <row r="271" spans="1:13" ht="14.25">
      <c r="A271" s="64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7"/>
    </row>
    <row r="272" spans="1:13" ht="14.25">
      <c r="A272" s="64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7"/>
    </row>
    <row r="273" spans="1:13" ht="14.25">
      <c r="A273" s="64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7"/>
    </row>
    <row r="274" spans="1:13" ht="14.25">
      <c r="A274" s="64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7"/>
    </row>
    <row r="275" spans="1:13" ht="14.25">
      <c r="A275" s="64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7"/>
    </row>
    <row r="276" spans="1:13" ht="14.25">
      <c r="A276" s="64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7"/>
    </row>
    <row r="277" spans="1:13" ht="14.25">
      <c r="A277" s="64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7"/>
    </row>
    <row r="278" spans="1:13" ht="14.25">
      <c r="A278" s="64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7"/>
    </row>
    <row r="279" spans="1:13" ht="14.25">
      <c r="A279" s="64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7"/>
    </row>
    <row r="280" spans="1:13" ht="14.25">
      <c r="A280" s="64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7"/>
    </row>
    <row r="281" spans="1:13" ht="14.25">
      <c r="A281" s="64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7"/>
    </row>
    <row r="282" spans="1:13" ht="14.25">
      <c r="A282" s="64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7"/>
    </row>
    <row r="283" spans="1:13" ht="14.25">
      <c r="A283" s="64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7"/>
    </row>
    <row r="284" spans="1:13" ht="14.25">
      <c r="A284" s="64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7"/>
    </row>
    <row r="285" spans="1:13" ht="14.25">
      <c r="A285" s="64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7"/>
    </row>
    <row r="286" spans="1:13" ht="14.25">
      <c r="A286" s="64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7"/>
    </row>
    <row r="287" spans="1:13" ht="14.25">
      <c r="A287" s="64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7"/>
    </row>
    <row r="288" spans="1:13" ht="14.25">
      <c r="A288" s="64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7"/>
    </row>
    <row r="289" spans="1:13" ht="14.25">
      <c r="A289" s="64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7"/>
    </row>
    <row r="290" spans="1:13" ht="14.25">
      <c r="A290" s="64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7"/>
    </row>
    <row r="291" spans="1:13" ht="14.25">
      <c r="A291" s="64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7"/>
    </row>
    <row r="292" spans="1:13" ht="14.25">
      <c r="A292" s="64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7"/>
    </row>
    <row r="293" spans="1:13" ht="14.25">
      <c r="A293" s="64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7"/>
    </row>
    <row r="294" spans="1:13" ht="14.25">
      <c r="A294" s="64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7"/>
    </row>
    <row r="295" spans="1:13" ht="14.25">
      <c r="A295" s="64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7"/>
    </row>
    <row r="296" spans="1:13" ht="14.25">
      <c r="A296" s="64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7"/>
    </row>
    <row r="297" spans="1:13" ht="14.25">
      <c r="A297" s="64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7"/>
    </row>
    <row r="298" spans="1:13" ht="14.25">
      <c r="A298" s="64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7"/>
    </row>
    <row r="299" spans="1:13" ht="14.25">
      <c r="A299" s="64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7"/>
    </row>
    <row r="300" spans="1:13" ht="14.25">
      <c r="A300" s="64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7"/>
    </row>
    <row r="301" spans="1:13" ht="14.25">
      <c r="A301" s="64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7"/>
    </row>
    <row r="302" spans="1:13" ht="14.25">
      <c r="A302" s="64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7"/>
    </row>
    <row r="303" spans="1:13" ht="14.25">
      <c r="A303" s="64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7"/>
    </row>
    <row r="304" spans="1:13" ht="14.25">
      <c r="A304" s="64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7"/>
    </row>
    <row r="305" spans="1:13" ht="14.25">
      <c r="A305" s="64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7"/>
    </row>
    <row r="306" spans="1:13" ht="14.25">
      <c r="A306" s="64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7"/>
    </row>
    <row r="307" spans="1:13" ht="14.25">
      <c r="A307" s="64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7"/>
    </row>
    <row r="308" spans="1:13" ht="14.25">
      <c r="A308" s="64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7"/>
    </row>
    <row r="309" spans="1:13" ht="14.25">
      <c r="A309" s="64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7"/>
    </row>
    <row r="310" spans="1:13" ht="14.25">
      <c r="A310" s="64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7"/>
    </row>
    <row r="311" spans="1:13" ht="14.25">
      <c r="A311" s="64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7"/>
    </row>
    <row r="312" spans="1:13" ht="14.25">
      <c r="A312" s="64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7"/>
    </row>
    <row r="313" spans="1:13" ht="14.25">
      <c r="A313" s="64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7"/>
    </row>
    <row r="314" spans="1:13" ht="14.25">
      <c r="A314" s="64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7"/>
    </row>
    <row r="315" spans="1:13" ht="14.25">
      <c r="A315" s="64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7"/>
    </row>
    <row r="316" spans="1:13" ht="14.25">
      <c r="A316" s="64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7"/>
    </row>
    <row r="317" spans="1:13" ht="14.25">
      <c r="A317" s="64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7"/>
    </row>
    <row r="318" spans="1:13" ht="14.25">
      <c r="A318" s="64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7"/>
    </row>
    <row r="319" spans="1:13" ht="14.25">
      <c r="A319" s="64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7"/>
    </row>
    <row r="320" spans="1:13" ht="14.25">
      <c r="A320" s="64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7"/>
    </row>
    <row r="321" spans="1:13" ht="14.25">
      <c r="A321" s="64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7"/>
    </row>
    <row r="322" spans="1:13" ht="14.25">
      <c r="A322" s="64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7"/>
    </row>
    <row r="323" spans="1:13" ht="14.25">
      <c r="A323" s="64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7"/>
    </row>
    <row r="324" spans="1:13" ht="14.25">
      <c r="A324" s="64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7"/>
    </row>
    <row r="325" spans="1:13" ht="14.25">
      <c r="A325" s="64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7"/>
    </row>
    <row r="326" spans="1:13" ht="14.25">
      <c r="A326" s="64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7"/>
    </row>
    <row r="327" spans="1:13" ht="14.25">
      <c r="A327" s="64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7"/>
    </row>
    <row r="328" spans="1:13" ht="14.25">
      <c r="A328" s="64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7"/>
    </row>
    <row r="329" spans="1:13" ht="14.25">
      <c r="A329" s="64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7"/>
    </row>
    <row r="330" spans="1:13" ht="14.25">
      <c r="A330" s="64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7"/>
    </row>
    <row r="331" spans="1:13" ht="14.25">
      <c r="A331" s="64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7"/>
    </row>
    <row r="332" spans="1:13" ht="14.25">
      <c r="A332" s="64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7"/>
    </row>
    <row r="333" spans="1:13" ht="14.25">
      <c r="A333" s="64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7"/>
    </row>
    <row r="334" spans="1:13" ht="14.25">
      <c r="A334" s="64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7"/>
    </row>
    <row r="335" spans="1:13" ht="14.25">
      <c r="A335" s="64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7"/>
    </row>
    <row r="336" spans="1:13" ht="14.25">
      <c r="A336" s="64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7"/>
    </row>
    <row r="337" spans="1:13" ht="14.25">
      <c r="A337" s="64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7"/>
    </row>
    <row r="338" spans="1:13" ht="14.25">
      <c r="A338" s="64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7"/>
    </row>
    <row r="339" spans="1:13" ht="14.25">
      <c r="A339" s="64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7"/>
    </row>
    <row r="340" spans="1:13" ht="14.25">
      <c r="A340" s="64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7"/>
    </row>
    <row r="341" spans="1:13" ht="14.25">
      <c r="A341" s="64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7"/>
    </row>
    <row r="342" spans="1:13" ht="14.25">
      <c r="A342" s="64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7"/>
    </row>
    <row r="343" spans="1:13" ht="14.25">
      <c r="A343" s="64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7"/>
    </row>
    <row r="344" spans="1:13" ht="14.25">
      <c r="A344" s="64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7"/>
    </row>
    <row r="345" spans="1:13" ht="14.25">
      <c r="A345" s="64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7"/>
    </row>
    <row r="346" spans="1:13" ht="14.25">
      <c r="A346" s="64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7"/>
    </row>
    <row r="347" spans="1:13" ht="14.25">
      <c r="A347" s="64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7"/>
    </row>
    <row r="348" spans="1:13" ht="14.25">
      <c r="A348" s="64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7"/>
    </row>
    <row r="349" spans="1:13" ht="14.25">
      <c r="A349" s="64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7"/>
    </row>
    <row r="350" spans="1:13" ht="14.25">
      <c r="A350" s="64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7"/>
    </row>
    <row r="351" spans="1:13" ht="14.25">
      <c r="A351" s="64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7"/>
    </row>
    <row r="352" spans="1:13" ht="14.25">
      <c r="A352" s="64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7"/>
    </row>
    <row r="353" spans="1:13" ht="14.25">
      <c r="A353" s="64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7"/>
    </row>
    <row r="354" spans="1:13" ht="14.25">
      <c r="A354" s="64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7"/>
    </row>
    <row r="355" spans="1:13" ht="14.25">
      <c r="A355" s="64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7"/>
    </row>
    <row r="356" spans="1:13" ht="14.25">
      <c r="A356" s="64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7"/>
    </row>
    <row r="357" spans="1:13" ht="14.25">
      <c r="A357" s="64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7"/>
    </row>
    <row r="358" spans="1:13" ht="14.25">
      <c r="A358" s="64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7"/>
    </row>
    <row r="359" spans="1:13" ht="14.25">
      <c r="A359" s="64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7"/>
    </row>
    <row r="360" spans="1:13" ht="14.25">
      <c r="A360" s="64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7"/>
    </row>
    <row r="361" spans="1:13" ht="14.25">
      <c r="A361" s="64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7"/>
    </row>
    <row r="362" spans="1:13" ht="14.25">
      <c r="A362" s="64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7"/>
    </row>
    <row r="363" spans="1:13" ht="14.25">
      <c r="A363" s="64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7"/>
    </row>
    <row r="364" spans="1:13" ht="14.25">
      <c r="A364" s="64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7"/>
    </row>
    <row r="365" spans="1:13" ht="14.25">
      <c r="A365" s="64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7"/>
    </row>
    <row r="366" spans="1:13" ht="14.25">
      <c r="A366" s="64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7"/>
    </row>
    <row r="367" spans="1:13" ht="14.25">
      <c r="A367" s="64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7"/>
    </row>
    <row r="368" spans="1:13" ht="14.25">
      <c r="A368" s="64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7"/>
    </row>
    <row r="369" spans="1:13" ht="14.25">
      <c r="A369" s="64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7"/>
    </row>
    <row r="370" spans="1:13" ht="14.25">
      <c r="A370" s="64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7"/>
    </row>
    <row r="371" spans="1:13" ht="14.25">
      <c r="A371" s="64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7"/>
    </row>
    <row r="372" spans="1:13" ht="14.25">
      <c r="A372" s="64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7"/>
    </row>
    <row r="373" spans="1:13" ht="14.25">
      <c r="A373" s="64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7"/>
    </row>
    <row r="374" spans="1:13" ht="14.25">
      <c r="A374" s="64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7"/>
    </row>
    <row r="375" spans="1:13" ht="14.25">
      <c r="A375" s="64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7"/>
    </row>
    <row r="376" spans="1:13" ht="14.25">
      <c r="A376" s="64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7"/>
    </row>
    <row r="377" spans="1:13" ht="14.25">
      <c r="A377" s="64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7"/>
    </row>
    <row r="378" spans="1:13" ht="14.25">
      <c r="A378" s="64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7"/>
    </row>
    <row r="379" spans="1:13" ht="14.25">
      <c r="A379" s="64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7"/>
    </row>
    <row r="380" spans="1:13" ht="14.25">
      <c r="A380" s="64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7"/>
    </row>
    <row r="381" spans="1:13" ht="14.25">
      <c r="A381" s="64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7"/>
    </row>
    <row r="382" spans="1:13" ht="14.25">
      <c r="A382" s="64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7"/>
    </row>
    <row r="383" spans="1:13" ht="14.25">
      <c r="A383" s="64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7"/>
    </row>
    <row r="384" spans="1:13" ht="14.25">
      <c r="A384" s="64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7"/>
    </row>
    <row r="385" spans="1:13" ht="14.25">
      <c r="A385" s="64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7"/>
    </row>
    <row r="386" spans="1:13" ht="14.25">
      <c r="A386" s="64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7"/>
    </row>
    <row r="387" spans="1:13" ht="14.25">
      <c r="A387" s="64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7"/>
    </row>
    <row r="388" spans="1:13" ht="14.25">
      <c r="A388" s="64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7"/>
    </row>
    <row r="389" spans="1:13" ht="14.25">
      <c r="A389" s="64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7"/>
    </row>
    <row r="390" spans="1:13" ht="14.25">
      <c r="A390" s="64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7"/>
    </row>
    <row r="391" spans="1:13" ht="14.25">
      <c r="A391" s="64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7"/>
    </row>
    <row r="392" spans="1:13" ht="14.25">
      <c r="A392" s="64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7"/>
    </row>
    <row r="393" spans="1:13" ht="14.25">
      <c r="A393" s="64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7"/>
    </row>
    <row r="394" spans="1:13" ht="14.25">
      <c r="A394" s="64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7"/>
    </row>
    <row r="395" spans="1:13" ht="14.25">
      <c r="A395" s="64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7"/>
    </row>
    <row r="396" spans="1:13" ht="14.25">
      <c r="A396" s="64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7"/>
    </row>
    <row r="397" spans="1:13" ht="14.25">
      <c r="A397" s="64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7"/>
    </row>
    <row r="398" spans="1:13" ht="14.25">
      <c r="A398" s="64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7"/>
    </row>
    <row r="399" spans="1:13" ht="14.25">
      <c r="A399" s="64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7"/>
    </row>
    <row r="400" spans="1:13" ht="14.25">
      <c r="A400" s="64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7"/>
    </row>
    <row r="401" spans="1:13" ht="14.25">
      <c r="A401" s="64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7"/>
    </row>
    <row r="402" spans="1:13" ht="14.25">
      <c r="A402" s="64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7"/>
    </row>
    <row r="403" spans="1:13" ht="14.25">
      <c r="A403" s="64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7"/>
    </row>
    <row r="404" spans="1:13" ht="14.25">
      <c r="A404" s="64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7"/>
    </row>
    <row r="405" spans="1:13" ht="14.25">
      <c r="A405" s="64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7"/>
    </row>
    <row r="406" spans="1:13" ht="14.25">
      <c r="A406" s="64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7"/>
    </row>
    <row r="407" spans="1:13" ht="14.25">
      <c r="A407" s="64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7"/>
    </row>
    <row r="408" spans="1:13" ht="14.25">
      <c r="A408" s="64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7"/>
    </row>
    <row r="409" spans="1:13" ht="14.25">
      <c r="A409" s="64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7"/>
    </row>
    <row r="410" spans="1:13" ht="14.25">
      <c r="A410" s="64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7"/>
    </row>
    <row r="411" spans="1:13" ht="14.25">
      <c r="A411" s="64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7"/>
    </row>
    <row r="412" spans="1:13" ht="14.25">
      <c r="A412" s="64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7"/>
    </row>
    <row r="413" spans="1:13" ht="14.25">
      <c r="A413" s="64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7"/>
    </row>
    <row r="414" spans="1:13" ht="14.25">
      <c r="A414" s="64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7"/>
    </row>
    <row r="415" spans="1:13" ht="14.25">
      <c r="A415" s="64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7"/>
    </row>
    <row r="416" spans="1:13" ht="14.25">
      <c r="A416" s="64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7"/>
    </row>
    <row r="417" spans="1:13" ht="14.25">
      <c r="A417" s="64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7"/>
    </row>
    <row r="418" spans="1:13" ht="14.25">
      <c r="A418" s="64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7"/>
    </row>
    <row r="419" spans="1:13" ht="14.25">
      <c r="A419" s="64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7"/>
    </row>
    <row r="420" spans="1:13" ht="14.25">
      <c r="A420" s="64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7"/>
    </row>
    <row r="421" spans="1:13" ht="14.25">
      <c r="A421" s="64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7"/>
    </row>
    <row r="422" spans="1:13" ht="14.25">
      <c r="A422" s="64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7"/>
    </row>
    <row r="423" spans="1:13" ht="14.25">
      <c r="A423" s="64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7"/>
    </row>
    <row r="424" spans="1:13" ht="14.25">
      <c r="A424" s="64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7"/>
    </row>
    <row r="425" spans="1:13" ht="14.25">
      <c r="A425" s="64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7"/>
    </row>
    <row r="426" spans="1:13" ht="14.25">
      <c r="A426" s="64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7"/>
    </row>
    <row r="427" spans="1:13" ht="14.25">
      <c r="A427" s="64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7"/>
    </row>
    <row r="428" spans="1:13" ht="14.25">
      <c r="A428" s="64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7"/>
    </row>
    <row r="429" spans="1:13" ht="14.25">
      <c r="A429" s="64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7"/>
    </row>
    <row r="430" spans="1:13" ht="14.25">
      <c r="A430" s="64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7"/>
    </row>
    <row r="431" spans="1:13" ht="14.25">
      <c r="A431" s="64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7"/>
    </row>
    <row r="432" spans="1:13" ht="14.25">
      <c r="A432" s="64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7"/>
    </row>
    <row r="433" spans="1:13" ht="14.25">
      <c r="A433" s="64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7"/>
    </row>
    <row r="434" spans="1:13" ht="14.25">
      <c r="A434" s="64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7"/>
    </row>
    <row r="435" spans="1:13" ht="14.25">
      <c r="A435" s="64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7"/>
    </row>
    <row r="436" spans="1:13" ht="14.25">
      <c r="A436" s="64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7"/>
    </row>
    <row r="437" spans="1:13" ht="14.25">
      <c r="A437" s="64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7"/>
    </row>
    <row r="438" spans="1:13" ht="14.25">
      <c r="A438" s="64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7"/>
    </row>
    <row r="439" spans="1:13" ht="14.25">
      <c r="A439" s="64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7"/>
    </row>
    <row r="440" spans="1:13" ht="14.25">
      <c r="A440" s="64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7"/>
    </row>
    <row r="441" spans="1:13" ht="14.25">
      <c r="A441" s="64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7"/>
    </row>
    <row r="442" spans="1:13" ht="14.25">
      <c r="A442" s="64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7"/>
    </row>
    <row r="443" spans="1:13" ht="14.25">
      <c r="A443" s="64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7"/>
    </row>
    <row r="444" spans="1:13" ht="14.25">
      <c r="A444" s="64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7"/>
    </row>
    <row r="445" spans="1:13" ht="14.25">
      <c r="A445" s="64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7"/>
    </row>
    <row r="446" spans="1:13" ht="14.25">
      <c r="A446" s="64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7"/>
    </row>
    <row r="447" spans="1:13" ht="14.25">
      <c r="A447" s="64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7"/>
    </row>
    <row r="448" spans="1:13" ht="14.25">
      <c r="A448" s="64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7"/>
    </row>
    <row r="449" spans="1:13" ht="14.25">
      <c r="A449" s="64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7"/>
    </row>
    <row r="450" spans="1:13" ht="14.25">
      <c r="A450" s="64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7"/>
    </row>
    <row r="451" spans="1:13" ht="14.25">
      <c r="A451" s="64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7"/>
    </row>
    <row r="452" spans="1:13" ht="14.25">
      <c r="A452" s="64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7"/>
    </row>
    <row r="453" spans="1:13" ht="14.25">
      <c r="A453" s="64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7"/>
    </row>
    <row r="454" spans="1:13" ht="14.25">
      <c r="A454" s="64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7"/>
    </row>
    <row r="455" spans="1:13" ht="14.25">
      <c r="A455" s="64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7"/>
    </row>
    <row r="456" spans="1:13" ht="14.25">
      <c r="A456" s="64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7"/>
    </row>
    <row r="457" spans="1:13" ht="14.25">
      <c r="A457" s="64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7"/>
    </row>
    <row r="458" spans="1:13" ht="14.25">
      <c r="A458" s="64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7"/>
    </row>
    <row r="459" spans="1:13" ht="14.25">
      <c r="A459" s="64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7"/>
    </row>
    <row r="460" spans="1:13" ht="14.25">
      <c r="A460" s="64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7"/>
    </row>
    <row r="461" spans="1:13" ht="14.25">
      <c r="A461" s="64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7"/>
    </row>
    <row r="462" spans="1:13" ht="14.25">
      <c r="A462" s="64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7"/>
    </row>
    <row r="463" spans="1:13" ht="14.25">
      <c r="A463" s="64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7"/>
    </row>
    <row r="464" spans="1:13" ht="14.25">
      <c r="A464" s="64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7"/>
    </row>
    <row r="465" spans="1:13" ht="14.25">
      <c r="A465" s="64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7"/>
    </row>
    <row r="466" spans="1:13" ht="14.25">
      <c r="A466" s="64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7"/>
    </row>
    <row r="467" spans="1:13" ht="14.25">
      <c r="A467" s="64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7"/>
    </row>
    <row r="468" spans="1:13" ht="14.25">
      <c r="A468" s="64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7"/>
    </row>
    <row r="469" spans="1:13" ht="14.25">
      <c r="A469" s="64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7"/>
    </row>
    <row r="470" spans="1:13" ht="14.25">
      <c r="A470" s="64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7"/>
    </row>
    <row r="471" spans="1:13" ht="14.25">
      <c r="A471" s="64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7"/>
    </row>
    <row r="472" spans="1:13" ht="14.25">
      <c r="A472" s="64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7"/>
    </row>
    <row r="473" spans="1:13" ht="14.25">
      <c r="A473" s="64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7"/>
    </row>
    <row r="474" spans="1:13" ht="14.25">
      <c r="A474" s="64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7"/>
    </row>
    <row r="475" spans="1:13" ht="14.25">
      <c r="A475" s="64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7"/>
    </row>
    <row r="476" spans="1:13" ht="14.25">
      <c r="A476" s="64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7"/>
    </row>
    <row r="477" spans="1:13" ht="14.25">
      <c r="A477" s="64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7"/>
    </row>
    <row r="478" spans="1:13" ht="14.25">
      <c r="A478" s="64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7"/>
    </row>
    <row r="479" spans="1:13" ht="14.25">
      <c r="A479" s="64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7"/>
    </row>
    <row r="480" spans="1:13" ht="14.25">
      <c r="A480" s="64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7"/>
    </row>
    <row r="481" spans="1:13" ht="14.25">
      <c r="A481" s="64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7"/>
    </row>
    <row r="482" spans="1:13" ht="14.25">
      <c r="A482" s="64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7"/>
    </row>
    <row r="483" spans="1:13" ht="14.25">
      <c r="A483" s="64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7"/>
    </row>
    <row r="484" spans="1:13" ht="14.25">
      <c r="A484" s="64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7"/>
    </row>
    <row r="485" spans="1:13" ht="14.25">
      <c r="A485" s="64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7"/>
    </row>
    <row r="486" spans="1:13" ht="14.25">
      <c r="A486" s="64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7"/>
    </row>
    <row r="487" spans="1:13" ht="14.25">
      <c r="A487" s="64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7"/>
    </row>
    <row r="488" spans="1:13" ht="14.25">
      <c r="A488" s="64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7"/>
    </row>
    <row r="489" spans="1:13" ht="14.25">
      <c r="A489" s="64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7"/>
    </row>
    <row r="490" spans="1:13" ht="14.25">
      <c r="A490" s="64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7"/>
    </row>
    <row r="491" spans="1:13" ht="14.25">
      <c r="A491" s="64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7"/>
    </row>
    <row r="492" spans="1:13" ht="14.25">
      <c r="A492" s="64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7"/>
    </row>
    <row r="493" spans="1:13" ht="14.25">
      <c r="A493" s="64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7"/>
    </row>
    <row r="494" spans="1:13" ht="14.25">
      <c r="A494" s="64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7"/>
    </row>
    <row r="495" spans="1:13" ht="14.25">
      <c r="A495" s="64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7"/>
    </row>
    <row r="496" spans="1:13" ht="14.25">
      <c r="A496" s="64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7"/>
    </row>
    <row r="497" spans="1:13" ht="14.25">
      <c r="A497" s="64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7"/>
    </row>
    <row r="498" spans="1:13" ht="14.25">
      <c r="A498" s="64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7"/>
    </row>
    <row r="499" spans="1:13" ht="14.25">
      <c r="A499" s="64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7"/>
    </row>
    <row r="500" spans="1:13" ht="14.25">
      <c r="A500" s="64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7"/>
    </row>
    <row r="501" spans="1:13" ht="14.25">
      <c r="A501" s="64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7"/>
    </row>
    <row r="502" spans="1:13" ht="14.25">
      <c r="A502" s="64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7"/>
    </row>
    <row r="503" spans="1:13" ht="14.25">
      <c r="A503" s="64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7"/>
    </row>
    <row r="504" spans="1:13" ht="14.25">
      <c r="A504" s="64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7"/>
    </row>
    <row r="505" spans="1:13" ht="14.25">
      <c r="A505" s="64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7"/>
    </row>
    <row r="506" spans="1:13" ht="14.25">
      <c r="A506" s="64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7"/>
    </row>
    <row r="507" spans="1:13" ht="14.25">
      <c r="A507" s="64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7"/>
    </row>
    <row r="508" spans="1:13" ht="14.25">
      <c r="A508" s="64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7"/>
    </row>
    <row r="509" spans="1:13" ht="14.25">
      <c r="A509" s="64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7"/>
    </row>
    <row r="510" spans="1:13" ht="14.25">
      <c r="A510" s="64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7"/>
    </row>
    <row r="511" spans="1:13" ht="14.25">
      <c r="A511" s="64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7"/>
    </row>
    <row r="512" spans="1:13" ht="14.25">
      <c r="A512" s="64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7"/>
    </row>
    <row r="513" spans="1:13" ht="14.25">
      <c r="A513" s="64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7"/>
    </row>
    <row r="514" spans="1:13" ht="14.25">
      <c r="A514" s="64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7"/>
    </row>
    <row r="515" spans="1:13" ht="14.25">
      <c r="A515" s="64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7"/>
    </row>
    <row r="516" spans="1:13" ht="14.25">
      <c r="A516" s="64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7"/>
    </row>
    <row r="517" spans="1:13" ht="14.25">
      <c r="A517" s="64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7"/>
    </row>
    <row r="518" spans="1:13" ht="14.25">
      <c r="A518" s="64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7"/>
    </row>
    <row r="519" spans="1:13" ht="14.25">
      <c r="A519" s="64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7"/>
    </row>
    <row r="520" spans="1:13" ht="14.25">
      <c r="A520" s="64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7"/>
    </row>
    <row r="521" spans="1:13" ht="14.25">
      <c r="A521" s="64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7"/>
    </row>
    <row r="522" spans="1:13" ht="14.25">
      <c r="A522" s="64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7"/>
    </row>
    <row r="523" spans="1:13" ht="14.25">
      <c r="A523" s="64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7"/>
    </row>
    <row r="524" spans="1:13" ht="14.25">
      <c r="A524" s="64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7"/>
    </row>
    <row r="525" spans="1:13" ht="14.25">
      <c r="A525" s="64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7"/>
    </row>
    <row r="526" spans="1:13" ht="14.25">
      <c r="A526" s="64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7"/>
    </row>
    <row r="527" spans="1:13" ht="14.25">
      <c r="A527" s="64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7"/>
    </row>
    <row r="528" spans="1:13" ht="14.25">
      <c r="A528" s="64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7"/>
    </row>
    <row r="529" spans="1:13" ht="14.25">
      <c r="A529" s="64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7"/>
    </row>
    <row r="530" spans="1:13" ht="14.25">
      <c r="A530" s="64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7"/>
    </row>
    <row r="531" spans="1:13" ht="14.25">
      <c r="A531" s="64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7"/>
    </row>
    <row r="532" spans="1:13" ht="14.25">
      <c r="A532" s="64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7"/>
    </row>
    <row r="533" spans="1:13" ht="14.25">
      <c r="A533" s="64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7"/>
    </row>
    <row r="534" spans="1:13" ht="14.25">
      <c r="A534" s="64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7"/>
    </row>
    <row r="535" spans="1:13" ht="14.25">
      <c r="A535" s="64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7"/>
    </row>
    <row r="536" spans="1:13" ht="14.25">
      <c r="A536" s="64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7"/>
    </row>
    <row r="537" spans="1:13" ht="14.25">
      <c r="A537" s="64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7"/>
    </row>
    <row r="538" spans="1:13" ht="14.25">
      <c r="A538" s="64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7"/>
    </row>
    <row r="539" spans="1:13" ht="14.25">
      <c r="A539" s="64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7"/>
    </row>
    <row r="540" spans="1:13" ht="14.25">
      <c r="A540" s="64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7"/>
    </row>
    <row r="541" spans="1:13" ht="14.25">
      <c r="A541" s="64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7"/>
    </row>
    <row r="542" spans="1:13" ht="14.25">
      <c r="A542" s="64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7"/>
    </row>
    <row r="543" spans="1:13" ht="14.25">
      <c r="A543" s="64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7"/>
    </row>
    <row r="544" spans="1:13" ht="14.25">
      <c r="A544" s="64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7"/>
    </row>
    <row r="545" spans="1:13" ht="14.25">
      <c r="A545" s="64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7"/>
    </row>
    <row r="546" spans="1:13" ht="14.25">
      <c r="A546" s="64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7"/>
    </row>
    <row r="547" spans="1:13" ht="14.25">
      <c r="A547" s="64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7"/>
    </row>
    <row r="548" spans="1:13" ht="14.25">
      <c r="A548" s="64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7"/>
    </row>
    <row r="549" spans="1:13" ht="14.25">
      <c r="A549" s="64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7"/>
    </row>
    <row r="550" spans="1:13" ht="14.25">
      <c r="A550" s="64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7"/>
    </row>
    <row r="551" spans="1:13" ht="14.25">
      <c r="A551" s="64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7"/>
    </row>
    <row r="552" spans="1:13" ht="14.25">
      <c r="A552" s="64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7"/>
    </row>
    <row r="553" spans="1:13" ht="14.25">
      <c r="A553" s="64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7"/>
    </row>
    <row r="554" spans="1:13" ht="14.25">
      <c r="A554" s="64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7"/>
    </row>
    <row r="555" spans="1:13" ht="14.25">
      <c r="A555" s="64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7"/>
    </row>
    <row r="556" spans="1:13" ht="14.25">
      <c r="A556" s="64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7"/>
    </row>
    <row r="557" spans="1:13" ht="14.25">
      <c r="A557" s="64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7"/>
    </row>
    <row r="558" spans="1:13" ht="14.25">
      <c r="A558" s="64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7"/>
    </row>
    <row r="559" spans="1:13" ht="14.25">
      <c r="A559" s="64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7"/>
    </row>
    <row r="560" spans="1:13" ht="14.25">
      <c r="A560" s="64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7"/>
    </row>
    <row r="561" spans="1:13" ht="14.25">
      <c r="A561" s="64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7"/>
    </row>
    <row r="562" spans="1:13" ht="14.25">
      <c r="A562" s="64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7"/>
    </row>
    <row r="563" spans="1:13" ht="14.25">
      <c r="A563" s="64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7"/>
    </row>
    <row r="564" spans="1:13" ht="14.25">
      <c r="A564" s="64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7"/>
    </row>
    <row r="565" spans="1:13" ht="14.25">
      <c r="A565" s="64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7"/>
    </row>
    <row r="566" spans="1:13" ht="14.25">
      <c r="A566" s="64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7"/>
    </row>
    <row r="567" spans="1:13" ht="14.25">
      <c r="A567" s="64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7"/>
    </row>
    <row r="568" spans="1:13" ht="14.25">
      <c r="A568" s="64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7"/>
    </row>
    <row r="569" spans="1:13" ht="14.25">
      <c r="A569" s="64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7"/>
    </row>
    <row r="570" spans="1:13" ht="14.25">
      <c r="A570" s="64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7"/>
    </row>
    <row r="571" spans="1:13" ht="14.25">
      <c r="A571" s="64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7"/>
    </row>
    <row r="572" spans="1:13" ht="14.25">
      <c r="A572" s="64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7"/>
    </row>
    <row r="573" spans="1:13" ht="14.25">
      <c r="A573" s="64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7"/>
    </row>
    <row r="574" spans="1:13" ht="14.25">
      <c r="A574" s="64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7"/>
    </row>
    <row r="575" spans="1:13" ht="14.25">
      <c r="A575" s="64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7"/>
    </row>
    <row r="576" spans="1:13" ht="14.25">
      <c r="A576" s="64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7"/>
    </row>
    <row r="577" spans="1:13" ht="14.25">
      <c r="A577" s="64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7"/>
    </row>
    <row r="578" spans="1:13" ht="14.25">
      <c r="A578" s="64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7"/>
    </row>
    <row r="579" spans="1:13" ht="14.25">
      <c r="A579" s="64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7"/>
    </row>
    <row r="580" spans="1:13" ht="14.25">
      <c r="A580" s="64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7"/>
    </row>
    <row r="581" spans="1:13" ht="14.25">
      <c r="A581" s="64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7"/>
    </row>
    <row r="582" spans="1:13" ht="14.25">
      <c r="A582" s="64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7"/>
    </row>
    <row r="583" spans="1:13" ht="14.25">
      <c r="A583" s="64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7"/>
    </row>
    <row r="584" spans="1:13" ht="14.25">
      <c r="A584" s="64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7"/>
    </row>
    <row r="585" spans="1:13" ht="14.25">
      <c r="A585" s="64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7"/>
    </row>
    <row r="586" spans="1:13" ht="14.25">
      <c r="A586" s="64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7"/>
    </row>
    <row r="587" spans="1:13" ht="14.25">
      <c r="A587" s="64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7"/>
    </row>
    <row r="588" spans="1:13" ht="14.25">
      <c r="A588" s="64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7"/>
    </row>
    <row r="589" spans="1:13" ht="14.25">
      <c r="A589" s="64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7"/>
    </row>
    <row r="590" spans="1:13" ht="14.25">
      <c r="A590" s="64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7"/>
    </row>
    <row r="591" spans="1:13" ht="14.25">
      <c r="A591" s="64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7"/>
    </row>
    <row r="592" spans="1:13" ht="14.25">
      <c r="A592" s="64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7"/>
    </row>
    <row r="593" spans="1:13" ht="14.25">
      <c r="A593" s="64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7"/>
    </row>
    <row r="594" spans="1:13" ht="14.25">
      <c r="A594" s="64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7"/>
    </row>
    <row r="595" spans="1:13" ht="14.25">
      <c r="A595" s="64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7"/>
    </row>
    <row r="596" spans="1:13" ht="14.25">
      <c r="A596" s="64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7"/>
    </row>
    <row r="597" spans="1:13" ht="14.25">
      <c r="A597" s="64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7"/>
    </row>
    <row r="598" spans="1:13" ht="14.25">
      <c r="A598" s="64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7"/>
    </row>
    <row r="599" spans="1:13" ht="14.25">
      <c r="A599" s="64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7"/>
    </row>
    <row r="600" spans="1:13" ht="14.25">
      <c r="A600" s="64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7"/>
    </row>
    <row r="601" spans="1:13" ht="14.25">
      <c r="A601" s="64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7"/>
    </row>
    <row r="602" spans="1:13" ht="14.25">
      <c r="A602" s="64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7"/>
    </row>
    <row r="603" spans="1:13" ht="14.25">
      <c r="A603" s="64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7"/>
    </row>
    <row r="604" spans="1:13" ht="14.25">
      <c r="A604" s="64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7"/>
    </row>
    <row r="605" spans="1:13" ht="14.25">
      <c r="A605" s="64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7"/>
    </row>
    <row r="606" spans="1:13" ht="14.25">
      <c r="A606" s="64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7"/>
    </row>
    <row r="607" spans="1:13" ht="14.25">
      <c r="A607" s="64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7"/>
    </row>
    <row r="608" spans="1:13" ht="14.25">
      <c r="A608" s="64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7"/>
    </row>
    <row r="609" spans="1:13" ht="14.25">
      <c r="A609" s="64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7"/>
    </row>
    <row r="610" spans="1:13" ht="14.25">
      <c r="A610" s="64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7"/>
    </row>
    <row r="611" spans="1:13" ht="14.25">
      <c r="A611" s="64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7"/>
    </row>
    <row r="612" spans="1:13" ht="14.25">
      <c r="A612" s="64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7"/>
    </row>
    <row r="613" spans="1:13" ht="14.25">
      <c r="A613" s="64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7"/>
    </row>
    <row r="614" spans="1:13" ht="14.25">
      <c r="A614" s="64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7"/>
    </row>
    <row r="615" spans="1:13" ht="14.25">
      <c r="A615" s="64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7"/>
    </row>
    <row r="616" spans="1:13" ht="14.25">
      <c r="A616" s="64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7"/>
    </row>
    <row r="617" spans="1:13" ht="14.25">
      <c r="A617" s="64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7"/>
    </row>
    <row r="618" spans="1:13" ht="14.25">
      <c r="A618" s="64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7"/>
    </row>
    <row r="619" spans="1:13" ht="14.25">
      <c r="A619" s="64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7"/>
    </row>
    <row r="620" spans="1:13" ht="14.25">
      <c r="A620" s="64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7"/>
    </row>
    <row r="621" spans="1:13" ht="14.25">
      <c r="A621" s="64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7"/>
    </row>
    <row r="622" spans="1:13" ht="14.25">
      <c r="A622" s="64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7"/>
    </row>
    <row r="623" spans="1:13" ht="14.25">
      <c r="A623" s="64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7"/>
    </row>
    <row r="624" spans="1:13" ht="14.25">
      <c r="A624" s="64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7"/>
    </row>
    <row r="625" spans="1:13" ht="14.25">
      <c r="A625" s="64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7"/>
    </row>
    <row r="626" spans="1:13" ht="14.25">
      <c r="A626" s="64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7"/>
    </row>
    <row r="627" spans="1:13" ht="14.25">
      <c r="A627" s="64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7"/>
    </row>
    <row r="628" spans="1:13" ht="14.25">
      <c r="A628" s="64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7"/>
    </row>
    <row r="629" spans="1:13" ht="14.25">
      <c r="A629" s="64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7"/>
    </row>
    <row r="630" spans="1:13" ht="14.25">
      <c r="A630" s="64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7"/>
    </row>
    <row r="631" spans="1:13" ht="14.25">
      <c r="A631" s="64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7"/>
    </row>
    <row r="632" spans="1:13" ht="14.25">
      <c r="A632" s="64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7"/>
    </row>
    <row r="633" spans="1:13" ht="14.25">
      <c r="A633" s="64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7"/>
    </row>
    <row r="634" spans="1:13" ht="14.25">
      <c r="A634" s="64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7"/>
    </row>
    <row r="635" spans="1:13" ht="14.25">
      <c r="A635" s="64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7"/>
    </row>
    <row r="636" spans="1:13" ht="14.25">
      <c r="A636" s="64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7"/>
    </row>
    <row r="637" spans="1:13" ht="14.25">
      <c r="A637" s="64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7"/>
    </row>
    <row r="638" spans="1:13" ht="14.25">
      <c r="A638" s="64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7"/>
    </row>
    <row r="639" spans="1:13" ht="14.25">
      <c r="A639" s="64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7"/>
    </row>
    <row r="640" spans="1:13" ht="14.25">
      <c r="A640" s="64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7"/>
    </row>
    <row r="641" spans="1:13" ht="14.25">
      <c r="A641" s="64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7"/>
    </row>
    <row r="642" spans="1:13" ht="14.25">
      <c r="A642" s="64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7"/>
    </row>
    <row r="643" spans="1:13" ht="14.25">
      <c r="A643" s="64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7"/>
    </row>
    <row r="644" spans="1:13" ht="14.25">
      <c r="A644" s="64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7"/>
    </row>
    <row r="645" spans="1:13" ht="14.25">
      <c r="A645" s="64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7"/>
    </row>
    <row r="646" spans="1:13" ht="14.25">
      <c r="A646" s="64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7"/>
    </row>
    <row r="647" spans="1:13" ht="14.25">
      <c r="A647" s="64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7"/>
    </row>
    <row r="648" spans="1:13" ht="14.25">
      <c r="A648" s="64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7"/>
    </row>
    <row r="649" spans="1:13" ht="14.25">
      <c r="A649" s="64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7"/>
    </row>
    <row r="650" spans="1:13" ht="14.25">
      <c r="A650" s="64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7"/>
    </row>
    <row r="651" spans="1:13" ht="14.25">
      <c r="A651" s="64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7"/>
    </row>
    <row r="652" spans="1:13" ht="14.25">
      <c r="A652" s="64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7"/>
    </row>
    <row r="653" spans="1:13" ht="14.25">
      <c r="A653" s="64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7"/>
    </row>
    <row r="654" spans="1:13" ht="14.25">
      <c r="A654" s="64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7"/>
    </row>
    <row r="655" spans="1:13" ht="14.25">
      <c r="A655" s="64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7"/>
    </row>
    <row r="656" spans="1:13" ht="14.25">
      <c r="A656" s="64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7"/>
    </row>
    <row r="657" spans="1:13" ht="14.25">
      <c r="A657" s="64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7"/>
    </row>
    <row r="658" spans="1:13" ht="14.25">
      <c r="A658" s="64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7"/>
    </row>
    <row r="659" spans="1:13" ht="14.25">
      <c r="A659" s="64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7"/>
    </row>
    <row r="660" spans="1:13" ht="14.25">
      <c r="A660" s="64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7"/>
    </row>
    <row r="661" spans="1:13" ht="14.25">
      <c r="A661" s="64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7"/>
    </row>
    <row r="662" spans="1:13" ht="14.25">
      <c r="A662" s="64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7"/>
    </row>
    <row r="663" spans="1:13" ht="14.25">
      <c r="A663" s="64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7"/>
    </row>
    <row r="664" spans="1:13" ht="14.25">
      <c r="A664" s="64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7"/>
    </row>
    <row r="665" spans="1:13" ht="14.25">
      <c r="A665" s="64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7"/>
    </row>
    <row r="666" spans="1:13" ht="14.25">
      <c r="A666" s="64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7"/>
    </row>
    <row r="667" spans="1:13" ht="14.25">
      <c r="A667" s="64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7"/>
    </row>
    <row r="668" spans="1:13" ht="14.25">
      <c r="A668" s="64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7"/>
    </row>
    <row r="669" spans="1:13" ht="14.25">
      <c r="A669" s="64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7"/>
    </row>
    <row r="670" spans="1:13" ht="14.25">
      <c r="A670" s="64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7"/>
    </row>
    <row r="671" spans="1:13" ht="14.25">
      <c r="A671" s="64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7"/>
    </row>
    <row r="672" spans="1:13" ht="14.25">
      <c r="A672" s="64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7"/>
    </row>
    <row r="673" spans="1:13" ht="14.25">
      <c r="A673" s="64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7"/>
    </row>
    <row r="674" spans="1:13" ht="14.25">
      <c r="A674" s="64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7"/>
    </row>
    <row r="675" spans="1:13" ht="14.25">
      <c r="A675" s="64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7"/>
    </row>
    <row r="676" spans="1:13" ht="14.25">
      <c r="A676" s="64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7"/>
    </row>
    <row r="677" spans="1:13" ht="14.25">
      <c r="A677" s="64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7"/>
    </row>
    <row r="678" spans="1:13" ht="14.25">
      <c r="A678" s="64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7"/>
    </row>
    <row r="679" spans="1:13" ht="14.25">
      <c r="A679" s="64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7"/>
    </row>
    <row r="680" spans="1:13" ht="14.25">
      <c r="A680" s="64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7"/>
    </row>
    <row r="681" spans="1:13" ht="14.25">
      <c r="A681" s="64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7"/>
    </row>
    <row r="682" spans="1:13" ht="14.25">
      <c r="A682" s="64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7"/>
    </row>
    <row r="683" spans="1:13" ht="14.25">
      <c r="A683" s="64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7"/>
    </row>
    <row r="684" spans="1:13" ht="14.25">
      <c r="A684" s="64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7"/>
    </row>
    <row r="685" spans="1:13" ht="14.25">
      <c r="A685" s="64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7"/>
    </row>
    <row r="686" spans="1:13" ht="14.25">
      <c r="A686" s="64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7"/>
    </row>
    <row r="687" spans="1:13" ht="14.25">
      <c r="A687" s="64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7"/>
    </row>
    <row r="688" spans="1:13" ht="14.25">
      <c r="A688" s="64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7"/>
    </row>
    <row r="689" spans="1:13" ht="14.25">
      <c r="A689" s="64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7"/>
    </row>
    <row r="690" spans="1:13" ht="14.25">
      <c r="A690" s="64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7"/>
    </row>
    <row r="691" spans="1:13" ht="14.25">
      <c r="A691" s="64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7"/>
    </row>
    <row r="692" spans="1:13" ht="14.25">
      <c r="A692" s="64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7"/>
    </row>
    <row r="693" spans="1:13" ht="14.25">
      <c r="A693" s="64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7"/>
    </row>
    <row r="694" spans="1:13" ht="14.25">
      <c r="A694" s="64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7"/>
    </row>
    <row r="695" spans="1:13" ht="14.25">
      <c r="A695" s="64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7"/>
    </row>
    <row r="696" spans="1:13" ht="14.25">
      <c r="A696" s="64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7"/>
    </row>
    <row r="697" spans="1:13" ht="14.25">
      <c r="A697" s="64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7"/>
    </row>
    <row r="698" spans="1:13" ht="14.25">
      <c r="A698" s="64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7"/>
    </row>
    <row r="699" spans="1:13" ht="14.25">
      <c r="A699" s="64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7"/>
    </row>
    <row r="700" spans="1:13" ht="14.25">
      <c r="A700" s="64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7"/>
    </row>
    <row r="701" spans="1:13" ht="14.25">
      <c r="A701" s="64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7"/>
    </row>
    <row r="702" spans="1:13" ht="14.25">
      <c r="A702" s="64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7"/>
    </row>
    <row r="703" spans="1:13" ht="14.25">
      <c r="A703" s="64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7"/>
    </row>
    <row r="704" spans="1:13" ht="14.25">
      <c r="A704" s="64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7"/>
    </row>
    <row r="705" spans="1:13" ht="14.25">
      <c r="A705" s="64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7"/>
    </row>
    <row r="706" spans="1:13" ht="14.25">
      <c r="A706" s="64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7"/>
    </row>
    <row r="707" spans="1:13" ht="14.25">
      <c r="A707" s="64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7"/>
    </row>
    <row r="708" spans="1:13" ht="14.25">
      <c r="A708" s="64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7"/>
    </row>
    <row r="709" spans="1:13" ht="14.25">
      <c r="A709" s="64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7"/>
    </row>
    <row r="710" spans="1:13" ht="14.25">
      <c r="A710" s="64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7"/>
    </row>
    <row r="711" spans="1:13" ht="14.25">
      <c r="A711" s="64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7"/>
    </row>
    <row r="712" spans="1:13" ht="14.25">
      <c r="A712" s="64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7"/>
    </row>
    <row r="713" spans="1:13" ht="14.25">
      <c r="A713" s="64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7"/>
    </row>
    <row r="714" spans="1:13" ht="14.25">
      <c r="A714" s="64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7"/>
    </row>
    <row r="715" spans="1:13" ht="14.25">
      <c r="A715" s="64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7"/>
    </row>
    <row r="716" spans="1:13" ht="14.25">
      <c r="A716" s="64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7"/>
    </row>
    <row r="717" spans="1:13" ht="14.25">
      <c r="A717" s="64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7"/>
    </row>
    <row r="718" spans="1:13" ht="14.25">
      <c r="A718" s="64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7"/>
    </row>
    <row r="719" spans="1:13" ht="14.25">
      <c r="A719" s="64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7"/>
    </row>
    <row r="720" spans="1:13" ht="14.25">
      <c r="A720" s="64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7"/>
    </row>
    <row r="721" spans="1:13" ht="14.25">
      <c r="A721" s="64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7"/>
    </row>
    <row r="722" spans="1:13" ht="14.25">
      <c r="A722" s="64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7"/>
    </row>
    <row r="723" spans="1:13" ht="14.25">
      <c r="A723" s="64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7"/>
    </row>
    <row r="724" spans="1:13" ht="14.25">
      <c r="A724" s="64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7"/>
    </row>
    <row r="725" spans="1:13" ht="14.25">
      <c r="A725" s="64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7"/>
    </row>
    <row r="726" spans="1:13" ht="14.25">
      <c r="A726" s="64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7"/>
    </row>
    <row r="727" spans="1:13" ht="14.25">
      <c r="A727" s="64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7"/>
    </row>
    <row r="728" spans="1:13" ht="14.25">
      <c r="A728" s="64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7"/>
    </row>
    <row r="729" spans="1:13" ht="14.25">
      <c r="A729" s="64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7"/>
    </row>
    <row r="730" spans="1:13" ht="14.25">
      <c r="A730" s="64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7"/>
    </row>
    <row r="731" spans="1:13" ht="14.25">
      <c r="A731" s="64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7"/>
    </row>
    <row r="732" spans="1:13" ht="14.25">
      <c r="A732" s="64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7"/>
    </row>
    <row r="733" spans="1:13" ht="14.25">
      <c r="A733" s="64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7"/>
    </row>
    <row r="734" spans="1:13" ht="14.25">
      <c r="A734" s="64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7"/>
    </row>
    <row r="735" spans="1:13" ht="14.25">
      <c r="A735" s="64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7"/>
    </row>
    <row r="736" spans="1:13" ht="14.25">
      <c r="A736" s="64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7"/>
    </row>
    <row r="737" spans="1:13" ht="14.25">
      <c r="A737" s="64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7"/>
    </row>
    <row r="738" spans="1:13" ht="14.25">
      <c r="A738" s="64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7"/>
    </row>
    <row r="739" spans="1:13" ht="14.25">
      <c r="A739" s="64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7"/>
    </row>
    <row r="740" spans="1:13" ht="14.25">
      <c r="A740" s="64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7"/>
    </row>
    <row r="741" spans="1:13" ht="14.25">
      <c r="A741" s="64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7"/>
    </row>
    <row r="742" spans="1:13" ht="14.25">
      <c r="A742" s="64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7"/>
    </row>
    <row r="743" spans="1:13" ht="14.25">
      <c r="A743" s="64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7"/>
    </row>
    <row r="744" spans="1:13" ht="14.25">
      <c r="A744" s="64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7"/>
    </row>
    <row r="745" spans="1:13" ht="14.25">
      <c r="A745" s="64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7"/>
    </row>
    <row r="746" spans="1:13" ht="14.25">
      <c r="A746" s="64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7"/>
    </row>
    <row r="747" spans="1:13" ht="14.25">
      <c r="A747" s="64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7"/>
    </row>
    <row r="748" spans="1:13" ht="14.25">
      <c r="A748" s="64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7"/>
    </row>
    <row r="749" spans="1:13" ht="14.25">
      <c r="A749" s="64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7"/>
    </row>
    <row r="750" spans="1:13" ht="14.25">
      <c r="A750" s="64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7"/>
    </row>
    <row r="751" spans="1:13" ht="14.25">
      <c r="A751" s="64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7"/>
    </row>
    <row r="752" spans="1:13" ht="14.25">
      <c r="A752" s="64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7"/>
    </row>
    <row r="753" spans="1:13" ht="14.25">
      <c r="A753" s="64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7"/>
    </row>
    <row r="754" spans="1:13" ht="14.25">
      <c r="A754" s="64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7"/>
    </row>
    <row r="755" spans="1:13" ht="14.25">
      <c r="A755" s="64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7"/>
    </row>
    <row r="756" spans="1:13" ht="14.25">
      <c r="A756" s="64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7"/>
    </row>
    <row r="757" spans="1:13" ht="14.25">
      <c r="A757" s="64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7"/>
    </row>
    <row r="758" spans="1:13" ht="14.25">
      <c r="A758" s="64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7"/>
    </row>
    <row r="759" spans="1:13" ht="14.25">
      <c r="A759" s="64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7"/>
    </row>
    <row r="760" spans="1:13" ht="14.25">
      <c r="A760" s="64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7"/>
    </row>
    <row r="761" spans="1:13" ht="14.25">
      <c r="A761" s="64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7"/>
    </row>
    <row r="762" spans="1:13" ht="14.25">
      <c r="A762" s="64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7"/>
    </row>
    <row r="763" spans="1:13" ht="14.25">
      <c r="A763" s="64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7"/>
    </row>
    <row r="764" spans="1:13" ht="14.25">
      <c r="A764" s="64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7"/>
    </row>
    <row r="765" spans="1:13" ht="14.25">
      <c r="A765" s="64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7"/>
    </row>
    <row r="766" spans="1:13" ht="14.25">
      <c r="A766" s="64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7"/>
    </row>
    <row r="767" spans="1:13" ht="14.25">
      <c r="A767" s="64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7"/>
    </row>
    <row r="768" spans="1:13" ht="14.25">
      <c r="A768" s="64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7"/>
    </row>
    <row r="769" spans="1:13" ht="14.25">
      <c r="A769" s="64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7"/>
    </row>
    <row r="770" spans="1:13" ht="14.25">
      <c r="A770" s="64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7"/>
    </row>
    <row r="771" spans="1:13" ht="14.25">
      <c r="A771" s="64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7"/>
    </row>
    <row r="772" spans="1:13" ht="14.25">
      <c r="A772" s="64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7"/>
    </row>
    <row r="773" spans="1:13" ht="14.25">
      <c r="A773" s="64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7"/>
    </row>
    <row r="774" spans="1:13" ht="14.25">
      <c r="A774" s="64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7"/>
    </row>
    <row r="775" spans="1:13" ht="14.25">
      <c r="A775" s="64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7"/>
    </row>
    <row r="776" spans="1:13" ht="14.25">
      <c r="A776" s="64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7"/>
    </row>
    <row r="777" spans="1:13" ht="14.25">
      <c r="A777" s="64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7"/>
    </row>
    <row r="778" spans="1:13" ht="14.25">
      <c r="A778" s="64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7"/>
    </row>
    <row r="779" spans="1:13" ht="14.25">
      <c r="A779" s="64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7"/>
    </row>
    <row r="780" spans="1:13" ht="14.25">
      <c r="A780" s="64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7"/>
    </row>
    <row r="781" spans="1:13" ht="14.25">
      <c r="A781" s="64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7"/>
    </row>
    <row r="782" spans="1:13" ht="14.25">
      <c r="A782" s="64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7"/>
    </row>
    <row r="783" spans="1:13" ht="14.25">
      <c r="A783" s="64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7"/>
    </row>
    <row r="784" spans="1:13" ht="14.25">
      <c r="A784" s="64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7"/>
    </row>
    <row r="785" spans="1:13" ht="14.25">
      <c r="A785" s="64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7"/>
    </row>
    <row r="786" spans="1:13" ht="14.25">
      <c r="A786" s="64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7"/>
    </row>
    <row r="787" spans="1:13" ht="14.25">
      <c r="A787" s="64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7"/>
    </row>
    <row r="788" spans="1:13" ht="14.25">
      <c r="A788" s="64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7"/>
    </row>
    <row r="789" spans="1:13" ht="14.25">
      <c r="A789" s="64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7"/>
    </row>
    <row r="790" spans="1:13" ht="14.25">
      <c r="A790" s="64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7"/>
    </row>
    <row r="791" spans="1:13" ht="14.25">
      <c r="A791" s="64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7"/>
    </row>
    <row r="792" spans="1:13" ht="14.25">
      <c r="A792" s="64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7"/>
    </row>
    <row r="793" spans="1:13" ht="14.25">
      <c r="A793" s="64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7"/>
    </row>
    <row r="794" spans="1:13" ht="14.25">
      <c r="A794" s="64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7"/>
    </row>
    <row r="795" spans="1:13" ht="14.25">
      <c r="A795" s="64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7"/>
    </row>
    <row r="796" spans="1:13" ht="14.25">
      <c r="A796" s="64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7"/>
    </row>
    <row r="797" spans="1:13" ht="14.25">
      <c r="A797" s="64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7"/>
    </row>
    <row r="798" spans="1:13" ht="14.25">
      <c r="A798" s="64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7"/>
    </row>
    <row r="799" spans="1:13" ht="14.25">
      <c r="A799" s="64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7"/>
    </row>
    <row r="800" spans="1:13" ht="14.25">
      <c r="A800" s="64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7"/>
    </row>
    <row r="801" spans="1:13" ht="14.25">
      <c r="A801" s="64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7"/>
    </row>
    <row r="802" spans="1:13" ht="14.25">
      <c r="A802" s="64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7"/>
    </row>
    <row r="803" spans="1:13" ht="14.25">
      <c r="A803" s="64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7"/>
    </row>
    <row r="804" spans="1:13" ht="14.25">
      <c r="A804" s="64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7"/>
    </row>
    <row r="805" spans="1:13" ht="14.25">
      <c r="A805" s="64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7"/>
    </row>
    <row r="806" spans="1:13" ht="14.25">
      <c r="A806" s="64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7"/>
    </row>
    <row r="807" spans="1:13" ht="14.25">
      <c r="A807" s="64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7"/>
    </row>
    <row r="808" spans="1:13" ht="14.25">
      <c r="A808" s="64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7"/>
    </row>
    <row r="809" spans="1:13" ht="14.25">
      <c r="A809" s="64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7"/>
    </row>
    <row r="810" spans="1:13" ht="14.25">
      <c r="A810" s="64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7"/>
    </row>
    <row r="811" spans="1:13" ht="14.25">
      <c r="A811" s="64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7"/>
    </row>
    <row r="812" spans="1:13" ht="14.25">
      <c r="A812" s="64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7"/>
    </row>
    <row r="813" spans="1:13" ht="14.25">
      <c r="A813" s="64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7"/>
    </row>
    <row r="814" spans="1:13" ht="14.25">
      <c r="A814" s="64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7"/>
    </row>
    <row r="815" spans="1:13" ht="14.25">
      <c r="A815" s="64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7"/>
    </row>
    <row r="816" spans="1:13" ht="14.25">
      <c r="A816" s="64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7"/>
    </row>
    <row r="817" spans="1:13" ht="14.25">
      <c r="A817" s="64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7"/>
    </row>
    <row r="818" spans="1:13" ht="14.25">
      <c r="A818" s="64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7"/>
    </row>
    <row r="819" spans="1:13" ht="14.25">
      <c r="A819" s="64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7"/>
    </row>
    <row r="820" spans="1:13" ht="14.25">
      <c r="A820" s="64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7"/>
    </row>
    <row r="821" spans="1:13" ht="14.25">
      <c r="A821" s="64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7"/>
    </row>
    <row r="822" spans="1:13" ht="14.25">
      <c r="A822" s="64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7"/>
    </row>
    <row r="823" spans="1:13" ht="14.25">
      <c r="A823" s="64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7"/>
    </row>
    <row r="824" spans="1:13" ht="14.25">
      <c r="A824" s="64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7"/>
    </row>
    <row r="825" spans="1:13" ht="14.25">
      <c r="A825" s="64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7"/>
    </row>
    <row r="826" spans="1:13" ht="14.25">
      <c r="A826" s="64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7"/>
    </row>
    <row r="827" spans="1:13" ht="14.25">
      <c r="A827" s="64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7"/>
    </row>
    <row r="828" spans="1:13" ht="14.25">
      <c r="A828" s="64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7"/>
    </row>
    <row r="829" spans="1:13" ht="14.25">
      <c r="A829" s="64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7"/>
    </row>
    <row r="830" spans="1:13" ht="14.25">
      <c r="A830" s="64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7"/>
    </row>
    <row r="831" spans="1:13" ht="14.25">
      <c r="A831" s="64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7"/>
    </row>
    <row r="832" spans="1:13" ht="14.25">
      <c r="A832" s="64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7"/>
    </row>
    <row r="833" spans="1:13" ht="14.25">
      <c r="A833" s="64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7"/>
    </row>
    <row r="834" spans="1:13" ht="14.25">
      <c r="A834" s="64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7"/>
    </row>
    <row r="835" spans="1:13" ht="14.25">
      <c r="A835" s="64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7"/>
    </row>
    <row r="836" spans="1:13" ht="14.25">
      <c r="A836" s="64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7"/>
    </row>
  </sheetData>
  <mergeCells count="12">
    <mergeCell ref="J47:P47"/>
    <mergeCell ref="B47:H47"/>
    <mergeCell ref="J48:L48"/>
    <mergeCell ref="N48:P48"/>
    <mergeCell ref="B48:D48"/>
    <mergeCell ref="F48:H48"/>
    <mergeCell ref="J9:P9"/>
    <mergeCell ref="B9:H9"/>
    <mergeCell ref="J10:L10"/>
    <mergeCell ref="N10:P10"/>
    <mergeCell ref="B10:D10"/>
    <mergeCell ref="F10:H10"/>
  </mergeCells>
  <printOptions horizontalCentered="1" verticalCentered="1" gridLinesSet="0"/>
  <pageMargins left="3.937007874015748E-2" right="3.937007874015748E-2" top="0.39370078740157483" bottom="0.39370078740157483" header="0.39370078740157483" footer="0.15748031496062992"/>
  <pageSetup paperSize="9" scale="70" fitToHeight="0" orientation="landscape" horizontalDpi="4294967293" verticalDpi="4294967293" r:id="rId1"/>
  <headerFooter alignWithMargins="0"/>
  <rowBreaks count="1" manualBreakCount="1">
    <brk id="45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 High-Count On Us</dc:creator>
  <cp:keywords/>
  <dc:description/>
  <cp:lastModifiedBy>Bristol TrafficSurveys</cp:lastModifiedBy>
  <cp:revision/>
  <dcterms:created xsi:type="dcterms:W3CDTF">2001-07-30T13:44:17Z</dcterms:created>
  <dcterms:modified xsi:type="dcterms:W3CDTF">2021-08-16T11:42:49Z</dcterms:modified>
  <cp:category/>
  <cp:contentStatus/>
</cp:coreProperties>
</file>