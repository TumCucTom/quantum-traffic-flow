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TADCASTER-DPM\Extraction\GF1 New\WAL Jobs\Wal - 2527 Fishponds Road\5 - Post Survey\Client Data\"/>
    </mc:Choice>
  </mc:AlternateContent>
  <bookViews>
    <workbookView xWindow="0" yWindow="0" windowWidth="18585" windowHeight="8490"/>
  </bookViews>
  <sheets>
    <sheet name="Job Details" sheetId="10" r:id="rId1"/>
    <sheet name="Site Plan" sheetId="11" r:id="rId2"/>
    <sheet name="CTC" sheetId="12" r:id="rId3"/>
    <sheet name="Peds" sheetId="13" r:id="rId4"/>
    <sheet name="Queues" sheetId="14" r:id="rId5"/>
  </sheets>
  <definedNames>
    <definedName name="_xlnm.Print_Titles" localSheetId="2">CTC!$1:$7</definedName>
    <definedName name="_xlnm.Print_Titles" localSheetId="3">Peds!$1:$7</definedName>
    <definedName name="_xlnm.Print_Titles" localSheetId="4">Queues!$1:$7</definedName>
  </definedNames>
  <calcPr calcId="152511"/>
</workbook>
</file>

<file path=xl/calcChain.xml><?xml version="1.0" encoding="utf-8"?>
<calcChain xmlns="http://schemas.openxmlformats.org/spreadsheetml/2006/main">
  <c r="H4" i="14" l="1"/>
  <c r="H5" i="14"/>
  <c r="H3" i="14"/>
  <c r="H2" i="14"/>
  <c r="J4" i="13"/>
  <c r="J5" i="13"/>
  <c r="J3" i="13"/>
  <c r="J2" i="13"/>
  <c r="N4" i="12"/>
  <c r="C351" i="12" l="1"/>
  <c r="C350" i="12"/>
  <c r="C349" i="12"/>
  <c r="B351" i="12"/>
  <c r="B350" i="12"/>
  <c r="B349" i="12"/>
  <c r="AA346" i="12"/>
  <c r="R346" i="12"/>
  <c r="I346" i="12"/>
  <c r="AC346" i="12" s="1"/>
  <c r="AA278" i="12"/>
  <c r="R278" i="12"/>
  <c r="I278" i="12"/>
  <c r="AC278" i="12" s="1"/>
  <c r="AA210" i="12"/>
  <c r="R210" i="12"/>
  <c r="I210" i="12"/>
  <c r="AC210" i="12" s="1"/>
  <c r="AA142" i="12"/>
  <c r="R142" i="12"/>
  <c r="I142" i="12"/>
  <c r="AC142" i="12" s="1"/>
  <c r="AC74" i="12"/>
  <c r="AA74" i="12"/>
  <c r="R74" i="12"/>
  <c r="I74" i="12"/>
  <c r="R156" i="14"/>
  <c r="Q156" i="14"/>
  <c r="O156" i="14"/>
  <c r="N156" i="14"/>
  <c r="L156" i="14"/>
  <c r="K156" i="14"/>
  <c r="I156" i="14"/>
  <c r="H156" i="14"/>
  <c r="F156" i="14"/>
  <c r="E156" i="14"/>
  <c r="C156" i="14"/>
  <c r="B156" i="14"/>
  <c r="Z207" i="12" l="1"/>
  <c r="Y207" i="12"/>
  <c r="X207" i="12"/>
  <c r="W207" i="12"/>
  <c r="V207" i="12"/>
  <c r="U207" i="12"/>
  <c r="T207" i="12"/>
  <c r="AA206" i="12"/>
  <c r="AA205" i="12"/>
  <c r="AA204" i="12"/>
  <c r="AA203" i="12"/>
  <c r="Z202" i="12"/>
  <c r="Y202" i="12"/>
  <c r="X202" i="12"/>
  <c r="W202" i="12"/>
  <c r="V202" i="12"/>
  <c r="U202" i="12"/>
  <c r="T202" i="12"/>
  <c r="AA201" i="12"/>
  <c r="AA200" i="12"/>
  <c r="AA199" i="12"/>
  <c r="AA198" i="12"/>
  <c r="Z197" i="12"/>
  <c r="Y197" i="12"/>
  <c r="X197" i="12"/>
  <c r="W197" i="12"/>
  <c r="V197" i="12"/>
  <c r="U197" i="12"/>
  <c r="T197" i="12"/>
  <c r="AA196" i="12"/>
  <c r="AA195" i="12"/>
  <c r="AA194" i="12"/>
  <c r="AA193" i="12"/>
  <c r="Z192" i="12"/>
  <c r="Y192" i="12"/>
  <c r="X192" i="12"/>
  <c r="W192" i="12"/>
  <c r="V192" i="12"/>
  <c r="U192" i="12"/>
  <c r="T192" i="12"/>
  <c r="AA191" i="12"/>
  <c r="AA190" i="12"/>
  <c r="AA189" i="12"/>
  <c r="AA188" i="12"/>
  <c r="Z187" i="12"/>
  <c r="Y187" i="12"/>
  <c r="X187" i="12"/>
  <c r="W187" i="12"/>
  <c r="V187" i="12"/>
  <c r="U187" i="12"/>
  <c r="T187" i="12"/>
  <c r="AA186" i="12"/>
  <c r="AA185" i="12"/>
  <c r="AA184" i="12"/>
  <c r="AA183" i="12"/>
  <c r="Z182" i="12"/>
  <c r="Y182" i="12"/>
  <c r="X182" i="12"/>
  <c r="W182" i="12"/>
  <c r="V182" i="12"/>
  <c r="U182" i="12"/>
  <c r="T182" i="12"/>
  <c r="AA181" i="12"/>
  <c r="AA180" i="12"/>
  <c r="AA179" i="12"/>
  <c r="AA178" i="12"/>
  <c r="Z177" i="12"/>
  <c r="Y177" i="12"/>
  <c r="X177" i="12"/>
  <c r="W177" i="12"/>
  <c r="V177" i="12"/>
  <c r="U177" i="12"/>
  <c r="T177" i="12"/>
  <c r="AA176" i="12"/>
  <c r="AA175" i="12"/>
  <c r="AA174" i="12"/>
  <c r="AA173" i="12"/>
  <c r="Z172" i="12"/>
  <c r="Y172" i="12"/>
  <c r="X172" i="12"/>
  <c r="W172" i="12"/>
  <c r="V172" i="12"/>
  <c r="U172" i="12"/>
  <c r="T172" i="12"/>
  <c r="AA171" i="12"/>
  <c r="AA170" i="12"/>
  <c r="AA169" i="12"/>
  <c r="AA168" i="12"/>
  <c r="Z167" i="12"/>
  <c r="Y167" i="12"/>
  <c r="X167" i="12"/>
  <c r="W167" i="12"/>
  <c r="V167" i="12"/>
  <c r="U167" i="12"/>
  <c r="T167" i="12"/>
  <c r="AA166" i="12"/>
  <c r="AA165" i="12"/>
  <c r="AA164" i="12"/>
  <c r="AA163" i="12"/>
  <c r="Z162" i="12"/>
  <c r="Y162" i="12"/>
  <c r="X162" i="12"/>
  <c r="W162" i="12"/>
  <c r="V162" i="12"/>
  <c r="U162" i="12"/>
  <c r="T162" i="12"/>
  <c r="AA161" i="12"/>
  <c r="AA160" i="12"/>
  <c r="AA159" i="12"/>
  <c r="AA158" i="12"/>
  <c r="Z157" i="12"/>
  <c r="Y157" i="12"/>
  <c r="X157" i="12"/>
  <c r="W157" i="12"/>
  <c r="V157" i="12"/>
  <c r="U157" i="12"/>
  <c r="T157" i="12"/>
  <c r="AA156" i="12"/>
  <c r="AA155" i="12"/>
  <c r="AA154" i="12"/>
  <c r="AA153" i="12"/>
  <c r="Z152" i="12"/>
  <c r="Y152" i="12"/>
  <c r="X152" i="12"/>
  <c r="W152" i="12"/>
  <c r="V152" i="12"/>
  <c r="U152" i="12"/>
  <c r="T152" i="12"/>
  <c r="AA151" i="12"/>
  <c r="AA150" i="12"/>
  <c r="AA149" i="12"/>
  <c r="AA148" i="12"/>
  <c r="Q207" i="12"/>
  <c r="P207" i="12"/>
  <c r="O207" i="12"/>
  <c r="N207" i="12"/>
  <c r="M207" i="12"/>
  <c r="L207" i="12"/>
  <c r="K207" i="12"/>
  <c r="R206" i="12"/>
  <c r="R205" i="12"/>
  <c r="R204" i="12"/>
  <c r="R203" i="12"/>
  <c r="Q202" i="12"/>
  <c r="P202" i="12"/>
  <c r="O202" i="12"/>
  <c r="N202" i="12"/>
  <c r="M202" i="12"/>
  <c r="L202" i="12"/>
  <c r="K202" i="12"/>
  <c r="R201" i="12"/>
  <c r="R200" i="12"/>
  <c r="R199" i="12"/>
  <c r="R198" i="12"/>
  <c r="Q197" i="12"/>
  <c r="P197" i="12"/>
  <c r="O197" i="12"/>
  <c r="N197" i="12"/>
  <c r="M197" i="12"/>
  <c r="L197" i="12"/>
  <c r="K197" i="12"/>
  <c r="R196" i="12"/>
  <c r="R195" i="12"/>
  <c r="R194" i="12"/>
  <c r="R193" i="12"/>
  <c r="Q192" i="12"/>
  <c r="P192" i="12"/>
  <c r="O192" i="12"/>
  <c r="N192" i="12"/>
  <c r="M192" i="12"/>
  <c r="L192" i="12"/>
  <c r="K192" i="12"/>
  <c r="R191" i="12"/>
  <c r="R190" i="12"/>
  <c r="R189" i="12"/>
  <c r="R188" i="12"/>
  <c r="Q187" i="12"/>
  <c r="P187" i="12"/>
  <c r="O187" i="12"/>
  <c r="N187" i="12"/>
  <c r="M187" i="12"/>
  <c r="L187" i="12"/>
  <c r="K187" i="12"/>
  <c r="R186" i="12"/>
  <c r="R185" i="12"/>
  <c r="R184" i="12"/>
  <c r="R183" i="12"/>
  <c r="Q182" i="12"/>
  <c r="P182" i="12"/>
  <c r="O182" i="12"/>
  <c r="N182" i="12"/>
  <c r="M182" i="12"/>
  <c r="L182" i="12"/>
  <c r="K182" i="12"/>
  <c r="R181" i="12"/>
  <c r="R180" i="12"/>
  <c r="R179" i="12"/>
  <c r="R178" i="12"/>
  <c r="Q177" i="12"/>
  <c r="P177" i="12"/>
  <c r="O177" i="12"/>
  <c r="N177" i="12"/>
  <c r="M177" i="12"/>
  <c r="L177" i="12"/>
  <c r="K177" i="12"/>
  <c r="R176" i="12"/>
  <c r="R175" i="12"/>
  <c r="R174" i="12"/>
  <c r="R173" i="12"/>
  <c r="Q172" i="12"/>
  <c r="P172" i="12"/>
  <c r="O172" i="12"/>
  <c r="N172" i="12"/>
  <c r="M172" i="12"/>
  <c r="L172" i="12"/>
  <c r="K172" i="12"/>
  <c r="R171" i="12"/>
  <c r="R170" i="12"/>
  <c r="R169" i="12"/>
  <c r="R168" i="12"/>
  <c r="Q167" i="12"/>
  <c r="P167" i="12"/>
  <c r="O167" i="12"/>
  <c r="N167" i="12"/>
  <c r="M167" i="12"/>
  <c r="L167" i="12"/>
  <c r="K167" i="12"/>
  <c r="R166" i="12"/>
  <c r="R165" i="12"/>
  <c r="R164" i="12"/>
  <c r="R163" i="12"/>
  <c r="Q162" i="12"/>
  <c r="P162" i="12"/>
  <c r="O162" i="12"/>
  <c r="N162" i="12"/>
  <c r="M162" i="12"/>
  <c r="L162" i="12"/>
  <c r="K162" i="12"/>
  <c r="R161" i="12"/>
  <c r="R160" i="12"/>
  <c r="R159" i="12"/>
  <c r="R158" i="12"/>
  <c r="Q157" i="12"/>
  <c r="P157" i="12"/>
  <c r="O157" i="12"/>
  <c r="N157" i="12"/>
  <c r="M157" i="12"/>
  <c r="L157" i="12"/>
  <c r="K157" i="12"/>
  <c r="R156" i="12"/>
  <c r="R155" i="12"/>
  <c r="R154" i="12"/>
  <c r="R153" i="12"/>
  <c r="Q152" i="12"/>
  <c r="P152" i="12"/>
  <c r="O152" i="12"/>
  <c r="N152" i="12"/>
  <c r="M152" i="12"/>
  <c r="L152" i="12"/>
  <c r="K152" i="12"/>
  <c r="R151" i="12"/>
  <c r="R150" i="12"/>
  <c r="R149" i="12"/>
  <c r="R148" i="12"/>
  <c r="H207" i="12"/>
  <c r="G207" i="12"/>
  <c r="F207" i="12"/>
  <c r="E207" i="12"/>
  <c r="D207" i="12"/>
  <c r="C207" i="12"/>
  <c r="B207" i="12"/>
  <c r="I206" i="12"/>
  <c r="I205" i="12"/>
  <c r="I204" i="12"/>
  <c r="I203" i="12"/>
  <c r="H202" i="12"/>
  <c r="G202" i="12"/>
  <c r="F202" i="12"/>
  <c r="E202" i="12"/>
  <c r="D202" i="12"/>
  <c r="C202" i="12"/>
  <c r="B202" i="12"/>
  <c r="I201" i="12"/>
  <c r="I200" i="12"/>
  <c r="I199" i="12"/>
  <c r="I198" i="12"/>
  <c r="H197" i="12"/>
  <c r="G197" i="12"/>
  <c r="F197" i="12"/>
  <c r="E197" i="12"/>
  <c r="D197" i="12"/>
  <c r="C197" i="12"/>
  <c r="B197" i="12"/>
  <c r="I196" i="12"/>
  <c r="I195" i="12"/>
  <c r="I194" i="12"/>
  <c r="I193" i="12"/>
  <c r="H192" i="12"/>
  <c r="G192" i="12"/>
  <c r="F192" i="12"/>
  <c r="E192" i="12"/>
  <c r="D192" i="12"/>
  <c r="C192" i="12"/>
  <c r="B192" i="12"/>
  <c r="I191" i="12"/>
  <c r="I190" i="12"/>
  <c r="I189" i="12"/>
  <c r="I188" i="12"/>
  <c r="H187" i="12"/>
  <c r="G187" i="12"/>
  <c r="F187" i="12"/>
  <c r="E187" i="12"/>
  <c r="D187" i="12"/>
  <c r="C187" i="12"/>
  <c r="B187" i="12"/>
  <c r="I186" i="12"/>
  <c r="I185" i="12"/>
  <c r="I184" i="12"/>
  <c r="I183" i="12"/>
  <c r="H182" i="12"/>
  <c r="G182" i="12"/>
  <c r="F182" i="12"/>
  <c r="E182" i="12"/>
  <c r="D182" i="12"/>
  <c r="C182" i="12"/>
  <c r="B182" i="12"/>
  <c r="I181" i="12"/>
  <c r="I180" i="12"/>
  <c r="I179" i="12"/>
  <c r="I178" i="12"/>
  <c r="H177" i="12"/>
  <c r="G177" i="12"/>
  <c r="F177" i="12"/>
  <c r="E177" i="12"/>
  <c r="D177" i="12"/>
  <c r="C177" i="12"/>
  <c r="B177" i="12"/>
  <c r="I176" i="12"/>
  <c r="I175" i="12"/>
  <c r="I174" i="12"/>
  <c r="I173" i="12"/>
  <c r="H172" i="12"/>
  <c r="G172" i="12"/>
  <c r="F172" i="12"/>
  <c r="E172" i="12"/>
  <c r="D172" i="12"/>
  <c r="C172" i="12"/>
  <c r="B172" i="12"/>
  <c r="I171" i="12"/>
  <c r="I170" i="12"/>
  <c r="I169" i="12"/>
  <c r="I168" i="12"/>
  <c r="H167" i="12"/>
  <c r="G167" i="12"/>
  <c r="F167" i="12"/>
  <c r="E167" i="12"/>
  <c r="D167" i="12"/>
  <c r="C167" i="12"/>
  <c r="B167" i="12"/>
  <c r="I166" i="12"/>
  <c r="I165" i="12"/>
  <c r="I164" i="12"/>
  <c r="I163" i="12"/>
  <c r="H162" i="12"/>
  <c r="G162" i="12"/>
  <c r="F162" i="12"/>
  <c r="E162" i="12"/>
  <c r="D162" i="12"/>
  <c r="C162" i="12"/>
  <c r="B162" i="12"/>
  <c r="I161" i="12"/>
  <c r="I160" i="12"/>
  <c r="I159" i="12"/>
  <c r="I158" i="12"/>
  <c r="H157" i="12"/>
  <c r="G157" i="12"/>
  <c r="F157" i="12"/>
  <c r="E157" i="12"/>
  <c r="D157" i="12"/>
  <c r="C157" i="12"/>
  <c r="B157" i="12"/>
  <c r="I156" i="12"/>
  <c r="I155" i="12"/>
  <c r="I154" i="12"/>
  <c r="I153" i="12"/>
  <c r="H152" i="12"/>
  <c r="G152" i="12"/>
  <c r="F152" i="12"/>
  <c r="E152" i="12"/>
  <c r="D152" i="12"/>
  <c r="C152" i="12"/>
  <c r="B152" i="12"/>
  <c r="I151" i="12"/>
  <c r="I150" i="12"/>
  <c r="I149" i="12"/>
  <c r="I148" i="12"/>
  <c r="I157" i="12" l="1"/>
  <c r="I177" i="12"/>
  <c r="I197" i="12"/>
  <c r="R157" i="12"/>
  <c r="R177" i="12"/>
  <c r="AA157" i="12"/>
  <c r="AA177" i="12"/>
  <c r="I167" i="12"/>
  <c r="I187" i="12"/>
  <c r="I207" i="12"/>
  <c r="R207" i="12"/>
  <c r="AA167" i="12"/>
  <c r="AA187" i="12"/>
  <c r="AA207" i="12"/>
  <c r="R197" i="12"/>
  <c r="I162" i="12"/>
  <c r="I182" i="12"/>
  <c r="I202" i="12"/>
  <c r="R162" i="12"/>
  <c r="R182" i="12"/>
  <c r="R202" i="12"/>
  <c r="AA162" i="12"/>
  <c r="AA182" i="12"/>
  <c r="AA202" i="12"/>
  <c r="R167" i="12"/>
  <c r="R187" i="12"/>
  <c r="I152" i="12"/>
  <c r="I172" i="12"/>
  <c r="I192" i="12"/>
  <c r="R152" i="12"/>
  <c r="R172" i="12"/>
  <c r="R192" i="12"/>
  <c r="AA152" i="12"/>
  <c r="AA172" i="12"/>
  <c r="AA192" i="12"/>
  <c r="AA197" i="12"/>
  <c r="L66" i="13"/>
  <c r="J66" i="13"/>
  <c r="H66" i="13"/>
  <c r="F66" i="13"/>
  <c r="D66" i="13"/>
  <c r="B66" i="13"/>
  <c r="L61" i="13"/>
  <c r="J61" i="13"/>
  <c r="H61" i="13"/>
  <c r="F61" i="13"/>
  <c r="D61" i="13"/>
  <c r="B61" i="13"/>
  <c r="L51" i="13"/>
  <c r="J51" i="13"/>
  <c r="H51" i="13"/>
  <c r="F51" i="13"/>
  <c r="D51" i="13"/>
  <c r="B51" i="13"/>
  <c r="L46" i="13"/>
  <c r="J46" i="13"/>
  <c r="H46" i="13"/>
  <c r="F46" i="13"/>
  <c r="D46" i="13"/>
  <c r="B46" i="13"/>
  <c r="L36" i="13"/>
  <c r="J36" i="13"/>
  <c r="H36" i="13"/>
  <c r="F36" i="13"/>
  <c r="D36" i="13"/>
  <c r="B36" i="13"/>
  <c r="L31" i="13"/>
  <c r="J31" i="13"/>
  <c r="H31" i="13"/>
  <c r="F31" i="13"/>
  <c r="D31" i="13"/>
  <c r="B31" i="13"/>
  <c r="A12" i="14" l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L71" i="13" l="1"/>
  <c r="J71" i="13"/>
  <c r="H71" i="13"/>
  <c r="F71" i="13"/>
  <c r="D71" i="13"/>
  <c r="B71" i="13"/>
  <c r="L56" i="13"/>
  <c r="J56" i="13"/>
  <c r="H56" i="13"/>
  <c r="F56" i="13"/>
  <c r="D56" i="13"/>
  <c r="B56" i="13"/>
  <c r="L41" i="13"/>
  <c r="J41" i="13"/>
  <c r="H41" i="13"/>
  <c r="F41" i="13"/>
  <c r="D41" i="13"/>
  <c r="B41" i="13"/>
  <c r="L26" i="13"/>
  <c r="J26" i="13"/>
  <c r="H26" i="13"/>
  <c r="F26" i="13"/>
  <c r="D26" i="13"/>
  <c r="B26" i="13"/>
  <c r="L21" i="13"/>
  <c r="J21" i="13"/>
  <c r="H21" i="13"/>
  <c r="F21" i="13"/>
  <c r="D21" i="13"/>
  <c r="B21" i="13"/>
  <c r="L16" i="13"/>
  <c r="J16" i="13"/>
  <c r="H16" i="13"/>
  <c r="F16" i="13"/>
  <c r="D16" i="13"/>
  <c r="B16" i="13"/>
  <c r="L10" i="13"/>
  <c r="H10" i="13"/>
  <c r="D10" i="13"/>
  <c r="J73" i="13" l="1"/>
  <c r="H73" i="13"/>
  <c r="D73" i="13"/>
  <c r="B73" i="13"/>
  <c r="L73" i="13"/>
  <c r="F73" i="13"/>
  <c r="Z342" i="12"/>
  <c r="Y342" i="12"/>
  <c r="X342" i="12"/>
  <c r="W342" i="12"/>
  <c r="V342" i="12"/>
  <c r="U342" i="12"/>
  <c r="T342" i="12"/>
  <c r="Q342" i="12"/>
  <c r="P342" i="12"/>
  <c r="O342" i="12"/>
  <c r="N342" i="12"/>
  <c r="M342" i="12"/>
  <c r="L342" i="12"/>
  <c r="K342" i="12"/>
  <c r="H342" i="12"/>
  <c r="G342" i="12"/>
  <c r="F342" i="12"/>
  <c r="E342" i="12"/>
  <c r="D342" i="12"/>
  <c r="C342" i="12"/>
  <c r="B342" i="12"/>
  <c r="Z341" i="12"/>
  <c r="Y341" i="12"/>
  <c r="X341" i="12"/>
  <c r="W341" i="12"/>
  <c r="V341" i="12"/>
  <c r="U341" i="12"/>
  <c r="T341" i="12"/>
  <c r="Q341" i="12"/>
  <c r="P341" i="12"/>
  <c r="O341" i="12"/>
  <c r="N341" i="12"/>
  <c r="M341" i="12"/>
  <c r="L341" i="12"/>
  <c r="K341" i="12"/>
  <c r="H341" i="12"/>
  <c r="G341" i="12"/>
  <c r="F341" i="12"/>
  <c r="E341" i="12"/>
  <c r="D341" i="12"/>
  <c r="C341" i="12"/>
  <c r="B341" i="12"/>
  <c r="Z340" i="12"/>
  <c r="Y340" i="12"/>
  <c r="X340" i="12"/>
  <c r="W340" i="12"/>
  <c r="V340" i="12"/>
  <c r="U340" i="12"/>
  <c r="T340" i="12"/>
  <c r="Q340" i="12"/>
  <c r="P340" i="12"/>
  <c r="O340" i="12"/>
  <c r="N340" i="12"/>
  <c r="M340" i="12"/>
  <c r="L340" i="12"/>
  <c r="K340" i="12"/>
  <c r="H340" i="12"/>
  <c r="G340" i="12"/>
  <c r="F340" i="12"/>
  <c r="E340" i="12"/>
  <c r="D340" i="12"/>
  <c r="C340" i="12"/>
  <c r="B340" i="12"/>
  <c r="Z339" i="12"/>
  <c r="Y339" i="12"/>
  <c r="X339" i="12"/>
  <c r="W339" i="12"/>
  <c r="V339" i="12"/>
  <c r="U339" i="12"/>
  <c r="T339" i="12"/>
  <c r="Q339" i="12"/>
  <c r="P339" i="12"/>
  <c r="O339" i="12"/>
  <c r="N339" i="12"/>
  <c r="M339" i="12"/>
  <c r="L339" i="12"/>
  <c r="K339" i="12"/>
  <c r="H339" i="12"/>
  <c r="G339" i="12"/>
  <c r="F339" i="12"/>
  <c r="E339" i="12"/>
  <c r="D339" i="12"/>
  <c r="C339" i="12"/>
  <c r="B339" i="12"/>
  <c r="Z337" i="12"/>
  <c r="Y337" i="12"/>
  <c r="X337" i="12"/>
  <c r="W337" i="12"/>
  <c r="V337" i="12"/>
  <c r="U337" i="12"/>
  <c r="T337" i="12"/>
  <c r="Q337" i="12"/>
  <c r="P337" i="12"/>
  <c r="O337" i="12"/>
  <c r="N337" i="12"/>
  <c r="M337" i="12"/>
  <c r="L337" i="12"/>
  <c r="K337" i="12"/>
  <c r="H337" i="12"/>
  <c r="G337" i="12"/>
  <c r="F337" i="12"/>
  <c r="E337" i="12"/>
  <c r="D337" i="12"/>
  <c r="C337" i="12"/>
  <c r="B337" i="12"/>
  <c r="Z336" i="12"/>
  <c r="Y336" i="12"/>
  <c r="X336" i="12"/>
  <c r="W336" i="12"/>
  <c r="V336" i="12"/>
  <c r="U336" i="12"/>
  <c r="T336" i="12"/>
  <c r="Q336" i="12"/>
  <c r="P336" i="12"/>
  <c r="O336" i="12"/>
  <c r="N336" i="12"/>
  <c r="M336" i="12"/>
  <c r="L336" i="12"/>
  <c r="K336" i="12"/>
  <c r="H336" i="12"/>
  <c r="G336" i="12"/>
  <c r="F336" i="12"/>
  <c r="E336" i="12"/>
  <c r="D336" i="12"/>
  <c r="C336" i="12"/>
  <c r="B336" i="12"/>
  <c r="Z335" i="12"/>
  <c r="Y335" i="12"/>
  <c r="X335" i="12"/>
  <c r="W335" i="12"/>
  <c r="V335" i="12"/>
  <c r="U335" i="12"/>
  <c r="T335" i="12"/>
  <c r="Q335" i="12"/>
  <c r="P335" i="12"/>
  <c r="O335" i="12"/>
  <c r="N335" i="12"/>
  <c r="M335" i="12"/>
  <c r="L335" i="12"/>
  <c r="K335" i="12"/>
  <c r="H335" i="12"/>
  <c r="G335" i="12"/>
  <c r="F335" i="12"/>
  <c r="E335" i="12"/>
  <c r="D335" i="12"/>
  <c r="C335" i="12"/>
  <c r="B335" i="12"/>
  <c r="Z334" i="12"/>
  <c r="Y334" i="12"/>
  <c r="X334" i="12"/>
  <c r="W334" i="12"/>
  <c r="V334" i="12"/>
  <c r="U334" i="12"/>
  <c r="T334" i="12"/>
  <c r="Q334" i="12"/>
  <c r="P334" i="12"/>
  <c r="O334" i="12"/>
  <c r="N334" i="12"/>
  <c r="M334" i="12"/>
  <c r="L334" i="12"/>
  <c r="K334" i="12"/>
  <c r="H334" i="12"/>
  <c r="G334" i="12"/>
  <c r="F334" i="12"/>
  <c r="E334" i="12"/>
  <c r="D334" i="12"/>
  <c r="C334" i="12"/>
  <c r="B334" i="12"/>
  <c r="Z332" i="12"/>
  <c r="Y332" i="12"/>
  <c r="X332" i="12"/>
  <c r="W332" i="12"/>
  <c r="V332" i="12"/>
  <c r="U332" i="12"/>
  <c r="T332" i="12"/>
  <c r="Q332" i="12"/>
  <c r="P332" i="12"/>
  <c r="O332" i="12"/>
  <c r="N332" i="12"/>
  <c r="M332" i="12"/>
  <c r="L332" i="12"/>
  <c r="K332" i="12"/>
  <c r="H332" i="12"/>
  <c r="G332" i="12"/>
  <c r="F332" i="12"/>
  <c r="E332" i="12"/>
  <c r="D332" i="12"/>
  <c r="C332" i="12"/>
  <c r="B332" i="12"/>
  <c r="Z331" i="12"/>
  <c r="Y331" i="12"/>
  <c r="X331" i="12"/>
  <c r="W331" i="12"/>
  <c r="V331" i="12"/>
  <c r="U331" i="12"/>
  <c r="T331" i="12"/>
  <c r="Q331" i="12"/>
  <c r="P331" i="12"/>
  <c r="O331" i="12"/>
  <c r="N331" i="12"/>
  <c r="M331" i="12"/>
  <c r="L331" i="12"/>
  <c r="K331" i="12"/>
  <c r="H331" i="12"/>
  <c r="G331" i="12"/>
  <c r="F331" i="12"/>
  <c r="E331" i="12"/>
  <c r="D331" i="12"/>
  <c r="C331" i="12"/>
  <c r="B331" i="12"/>
  <c r="Z330" i="12"/>
  <c r="Y330" i="12"/>
  <c r="X330" i="12"/>
  <c r="W330" i="12"/>
  <c r="V330" i="12"/>
  <c r="U330" i="12"/>
  <c r="T330" i="12"/>
  <c r="Q330" i="12"/>
  <c r="P330" i="12"/>
  <c r="O330" i="12"/>
  <c r="N330" i="12"/>
  <c r="M330" i="12"/>
  <c r="L330" i="12"/>
  <c r="K330" i="12"/>
  <c r="H330" i="12"/>
  <c r="G330" i="12"/>
  <c r="F330" i="12"/>
  <c r="E330" i="12"/>
  <c r="D330" i="12"/>
  <c r="C330" i="12"/>
  <c r="B330" i="12"/>
  <c r="Z329" i="12"/>
  <c r="Y329" i="12"/>
  <c r="X329" i="12"/>
  <c r="W329" i="12"/>
  <c r="V329" i="12"/>
  <c r="U329" i="12"/>
  <c r="T329" i="12"/>
  <c r="Q329" i="12"/>
  <c r="P329" i="12"/>
  <c r="O329" i="12"/>
  <c r="N329" i="12"/>
  <c r="M329" i="12"/>
  <c r="L329" i="12"/>
  <c r="K329" i="12"/>
  <c r="H329" i="12"/>
  <c r="G329" i="12"/>
  <c r="F329" i="12"/>
  <c r="E329" i="12"/>
  <c r="D329" i="12"/>
  <c r="C329" i="12"/>
  <c r="B329" i="12"/>
  <c r="Z327" i="12"/>
  <c r="Y327" i="12"/>
  <c r="X327" i="12"/>
  <c r="W327" i="12"/>
  <c r="V327" i="12"/>
  <c r="U327" i="12"/>
  <c r="T327" i="12"/>
  <c r="Q327" i="12"/>
  <c r="P327" i="12"/>
  <c r="O327" i="12"/>
  <c r="N327" i="12"/>
  <c r="M327" i="12"/>
  <c r="L327" i="12"/>
  <c r="K327" i="12"/>
  <c r="H327" i="12"/>
  <c r="G327" i="12"/>
  <c r="F327" i="12"/>
  <c r="E327" i="12"/>
  <c r="D327" i="12"/>
  <c r="C327" i="12"/>
  <c r="B327" i="12"/>
  <c r="Z326" i="12"/>
  <c r="Y326" i="12"/>
  <c r="X326" i="12"/>
  <c r="W326" i="12"/>
  <c r="V326" i="12"/>
  <c r="U326" i="12"/>
  <c r="T326" i="12"/>
  <c r="Q326" i="12"/>
  <c r="P326" i="12"/>
  <c r="O326" i="12"/>
  <c r="N326" i="12"/>
  <c r="M326" i="12"/>
  <c r="L326" i="12"/>
  <c r="K326" i="12"/>
  <c r="H326" i="12"/>
  <c r="G326" i="12"/>
  <c r="F326" i="12"/>
  <c r="E326" i="12"/>
  <c r="D326" i="12"/>
  <c r="C326" i="12"/>
  <c r="B326" i="12"/>
  <c r="Z325" i="12"/>
  <c r="Y325" i="12"/>
  <c r="X325" i="12"/>
  <c r="W325" i="12"/>
  <c r="V325" i="12"/>
  <c r="U325" i="12"/>
  <c r="T325" i="12"/>
  <c r="Q325" i="12"/>
  <c r="P325" i="12"/>
  <c r="O325" i="12"/>
  <c r="N325" i="12"/>
  <c r="M325" i="12"/>
  <c r="L325" i="12"/>
  <c r="K325" i="12"/>
  <c r="H325" i="12"/>
  <c r="G325" i="12"/>
  <c r="F325" i="12"/>
  <c r="E325" i="12"/>
  <c r="D325" i="12"/>
  <c r="C325" i="12"/>
  <c r="B325" i="12"/>
  <c r="Z324" i="12"/>
  <c r="Y324" i="12"/>
  <c r="X324" i="12"/>
  <c r="W324" i="12"/>
  <c r="V324" i="12"/>
  <c r="U324" i="12"/>
  <c r="T324" i="12"/>
  <c r="Q324" i="12"/>
  <c r="P324" i="12"/>
  <c r="O324" i="12"/>
  <c r="N324" i="12"/>
  <c r="M324" i="12"/>
  <c r="L324" i="12"/>
  <c r="K324" i="12"/>
  <c r="H324" i="12"/>
  <c r="G324" i="12"/>
  <c r="F324" i="12"/>
  <c r="E324" i="12"/>
  <c r="D324" i="12"/>
  <c r="C324" i="12"/>
  <c r="B324" i="12"/>
  <c r="Z322" i="12"/>
  <c r="Y322" i="12"/>
  <c r="X322" i="12"/>
  <c r="W322" i="12"/>
  <c r="V322" i="12"/>
  <c r="U322" i="12"/>
  <c r="T322" i="12"/>
  <c r="Q322" i="12"/>
  <c r="P322" i="12"/>
  <c r="O322" i="12"/>
  <c r="N322" i="12"/>
  <c r="M322" i="12"/>
  <c r="L322" i="12"/>
  <c r="K322" i="12"/>
  <c r="H322" i="12"/>
  <c r="G322" i="12"/>
  <c r="F322" i="12"/>
  <c r="E322" i="12"/>
  <c r="D322" i="12"/>
  <c r="C322" i="12"/>
  <c r="B322" i="12"/>
  <c r="Z321" i="12"/>
  <c r="Y321" i="12"/>
  <c r="X321" i="12"/>
  <c r="W321" i="12"/>
  <c r="V321" i="12"/>
  <c r="U321" i="12"/>
  <c r="T321" i="12"/>
  <c r="Q321" i="12"/>
  <c r="P321" i="12"/>
  <c r="O321" i="12"/>
  <c r="N321" i="12"/>
  <c r="M321" i="12"/>
  <c r="L321" i="12"/>
  <c r="K321" i="12"/>
  <c r="H321" i="12"/>
  <c r="G321" i="12"/>
  <c r="F321" i="12"/>
  <c r="E321" i="12"/>
  <c r="D321" i="12"/>
  <c r="C321" i="12"/>
  <c r="B321" i="12"/>
  <c r="Z320" i="12"/>
  <c r="Y320" i="12"/>
  <c r="X320" i="12"/>
  <c r="W320" i="12"/>
  <c r="V320" i="12"/>
  <c r="U320" i="12"/>
  <c r="T320" i="12"/>
  <c r="Q320" i="12"/>
  <c r="P320" i="12"/>
  <c r="O320" i="12"/>
  <c r="N320" i="12"/>
  <c r="M320" i="12"/>
  <c r="L320" i="12"/>
  <c r="K320" i="12"/>
  <c r="H320" i="12"/>
  <c r="G320" i="12"/>
  <c r="F320" i="12"/>
  <c r="E320" i="12"/>
  <c r="D320" i="12"/>
  <c r="C320" i="12"/>
  <c r="B320" i="12"/>
  <c r="Z319" i="12"/>
  <c r="Y319" i="12"/>
  <c r="X319" i="12"/>
  <c r="W319" i="12"/>
  <c r="V319" i="12"/>
  <c r="U319" i="12"/>
  <c r="T319" i="12"/>
  <c r="Q319" i="12"/>
  <c r="P319" i="12"/>
  <c r="O319" i="12"/>
  <c r="N319" i="12"/>
  <c r="M319" i="12"/>
  <c r="L319" i="12"/>
  <c r="K319" i="12"/>
  <c r="H319" i="12"/>
  <c r="G319" i="12"/>
  <c r="F319" i="12"/>
  <c r="E319" i="12"/>
  <c r="D319" i="12"/>
  <c r="C319" i="12"/>
  <c r="B319" i="12"/>
  <c r="Z317" i="12"/>
  <c r="Y317" i="12"/>
  <c r="X317" i="12"/>
  <c r="W317" i="12"/>
  <c r="V317" i="12"/>
  <c r="U317" i="12"/>
  <c r="T317" i="12"/>
  <c r="Q317" i="12"/>
  <c r="P317" i="12"/>
  <c r="O317" i="12"/>
  <c r="N317" i="12"/>
  <c r="M317" i="12"/>
  <c r="L317" i="12"/>
  <c r="K317" i="12"/>
  <c r="H317" i="12"/>
  <c r="G317" i="12"/>
  <c r="F317" i="12"/>
  <c r="E317" i="12"/>
  <c r="D317" i="12"/>
  <c r="C317" i="12"/>
  <c r="B317" i="12"/>
  <c r="Z316" i="12"/>
  <c r="Y316" i="12"/>
  <c r="X316" i="12"/>
  <c r="W316" i="12"/>
  <c r="V316" i="12"/>
  <c r="U316" i="12"/>
  <c r="T316" i="12"/>
  <c r="Q316" i="12"/>
  <c r="P316" i="12"/>
  <c r="O316" i="12"/>
  <c r="N316" i="12"/>
  <c r="M316" i="12"/>
  <c r="L316" i="12"/>
  <c r="K316" i="12"/>
  <c r="H316" i="12"/>
  <c r="G316" i="12"/>
  <c r="F316" i="12"/>
  <c r="E316" i="12"/>
  <c r="D316" i="12"/>
  <c r="C316" i="12"/>
  <c r="B316" i="12"/>
  <c r="Z315" i="12"/>
  <c r="Y315" i="12"/>
  <c r="X315" i="12"/>
  <c r="W315" i="12"/>
  <c r="V315" i="12"/>
  <c r="U315" i="12"/>
  <c r="T315" i="12"/>
  <c r="Q315" i="12"/>
  <c r="P315" i="12"/>
  <c r="O315" i="12"/>
  <c r="N315" i="12"/>
  <c r="M315" i="12"/>
  <c r="L315" i="12"/>
  <c r="K315" i="12"/>
  <c r="H315" i="12"/>
  <c r="G315" i="12"/>
  <c r="F315" i="12"/>
  <c r="E315" i="12"/>
  <c r="D315" i="12"/>
  <c r="C315" i="12"/>
  <c r="B315" i="12"/>
  <c r="Z314" i="12"/>
  <c r="Y314" i="12"/>
  <c r="X314" i="12"/>
  <c r="W314" i="12"/>
  <c r="V314" i="12"/>
  <c r="U314" i="12"/>
  <c r="T314" i="12"/>
  <c r="Q314" i="12"/>
  <c r="P314" i="12"/>
  <c r="O314" i="12"/>
  <c r="N314" i="12"/>
  <c r="M314" i="12"/>
  <c r="L314" i="12"/>
  <c r="K314" i="12"/>
  <c r="H314" i="12"/>
  <c r="G314" i="12"/>
  <c r="F314" i="12"/>
  <c r="E314" i="12"/>
  <c r="D314" i="12"/>
  <c r="C314" i="12"/>
  <c r="B314" i="12"/>
  <c r="Z312" i="12"/>
  <c r="Y312" i="12"/>
  <c r="X312" i="12"/>
  <c r="W312" i="12"/>
  <c r="V312" i="12"/>
  <c r="U312" i="12"/>
  <c r="T312" i="12"/>
  <c r="Q312" i="12"/>
  <c r="P312" i="12"/>
  <c r="O312" i="12"/>
  <c r="N312" i="12"/>
  <c r="M312" i="12"/>
  <c r="L312" i="12"/>
  <c r="K312" i="12"/>
  <c r="H312" i="12"/>
  <c r="G312" i="12"/>
  <c r="F312" i="12"/>
  <c r="E312" i="12"/>
  <c r="D312" i="12"/>
  <c r="C312" i="12"/>
  <c r="B312" i="12"/>
  <c r="Z311" i="12"/>
  <c r="Y311" i="12"/>
  <c r="X311" i="12"/>
  <c r="W311" i="12"/>
  <c r="V311" i="12"/>
  <c r="U311" i="12"/>
  <c r="T311" i="12"/>
  <c r="Q311" i="12"/>
  <c r="P311" i="12"/>
  <c r="O311" i="12"/>
  <c r="N311" i="12"/>
  <c r="M311" i="12"/>
  <c r="L311" i="12"/>
  <c r="K311" i="12"/>
  <c r="H311" i="12"/>
  <c r="G311" i="12"/>
  <c r="F311" i="12"/>
  <c r="E311" i="12"/>
  <c r="D311" i="12"/>
  <c r="C311" i="12"/>
  <c r="B311" i="12"/>
  <c r="Z310" i="12"/>
  <c r="Y310" i="12"/>
  <c r="X310" i="12"/>
  <c r="W310" i="12"/>
  <c r="V310" i="12"/>
  <c r="U310" i="12"/>
  <c r="T310" i="12"/>
  <c r="Q310" i="12"/>
  <c r="P310" i="12"/>
  <c r="O310" i="12"/>
  <c r="N310" i="12"/>
  <c r="M310" i="12"/>
  <c r="L310" i="12"/>
  <c r="K310" i="12"/>
  <c r="H310" i="12"/>
  <c r="G310" i="12"/>
  <c r="F310" i="12"/>
  <c r="E310" i="12"/>
  <c r="D310" i="12"/>
  <c r="C310" i="12"/>
  <c r="B310" i="12"/>
  <c r="Z309" i="12"/>
  <c r="Y309" i="12"/>
  <c r="X309" i="12"/>
  <c r="W309" i="12"/>
  <c r="V309" i="12"/>
  <c r="U309" i="12"/>
  <c r="T309" i="12"/>
  <c r="Q309" i="12"/>
  <c r="P309" i="12"/>
  <c r="O309" i="12"/>
  <c r="N309" i="12"/>
  <c r="M309" i="12"/>
  <c r="L309" i="12"/>
  <c r="K309" i="12"/>
  <c r="H309" i="12"/>
  <c r="G309" i="12"/>
  <c r="F309" i="12"/>
  <c r="E309" i="12"/>
  <c r="D309" i="12"/>
  <c r="C309" i="12"/>
  <c r="B309" i="12"/>
  <c r="Z307" i="12"/>
  <c r="Y307" i="12"/>
  <c r="X307" i="12"/>
  <c r="W307" i="12"/>
  <c r="V307" i="12"/>
  <c r="U307" i="12"/>
  <c r="T307" i="12"/>
  <c r="Q307" i="12"/>
  <c r="P307" i="12"/>
  <c r="O307" i="12"/>
  <c r="N307" i="12"/>
  <c r="M307" i="12"/>
  <c r="L307" i="12"/>
  <c r="K307" i="12"/>
  <c r="H307" i="12"/>
  <c r="G307" i="12"/>
  <c r="F307" i="12"/>
  <c r="E307" i="12"/>
  <c r="D307" i="12"/>
  <c r="C307" i="12"/>
  <c r="B307" i="12"/>
  <c r="Z306" i="12"/>
  <c r="Y306" i="12"/>
  <c r="X306" i="12"/>
  <c r="W306" i="12"/>
  <c r="V306" i="12"/>
  <c r="U306" i="12"/>
  <c r="T306" i="12"/>
  <c r="Q306" i="12"/>
  <c r="P306" i="12"/>
  <c r="O306" i="12"/>
  <c r="N306" i="12"/>
  <c r="M306" i="12"/>
  <c r="L306" i="12"/>
  <c r="K306" i="12"/>
  <c r="H306" i="12"/>
  <c r="G306" i="12"/>
  <c r="F306" i="12"/>
  <c r="E306" i="12"/>
  <c r="D306" i="12"/>
  <c r="C306" i="12"/>
  <c r="B306" i="12"/>
  <c r="Z305" i="12"/>
  <c r="Y305" i="12"/>
  <c r="X305" i="12"/>
  <c r="W305" i="12"/>
  <c r="V305" i="12"/>
  <c r="U305" i="12"/>
  <c r="T305" i="12"/>
  <c r="Q305" i="12"/>
  <c r="P305" i="12"/>
  <c r="O305" i="12"/>
  <c r="N305" i="12"/>
  <c r="M305" i="12"/>
  <c r="L305" i="12"/>
  <c r="K305" i="12"/>
  <c r="H305" i="12"/>
  <c r="G305" i="12"/>
  <c r="F305" i="12"/>
  <c r="E305" i="12"/>
  <c r="D305" i="12"/>
  <c r="C305" i="12"/>
  <c r="B305" i="12"/>
  <c r="Z304" i="12"/>
  <c r="Y304" i="12"/>
  <c r="X304" i="12"/>
  <c r="W304" i="12"/>
  <c r="V304" i="12"/>
  <c r="U304" i="12"/>
  <c r="T304" i="12"/>
  <c r="Q304" i="12"/>
  <c r="P304" i="12"/>
  <c r="O304" i="12"/>
  <c r="N304" i="12"/>
  <c r="M304" i="12"/>
  <c r="L304" i="12"/>
  <c r="K304" i="12"/>
  <c r="H304" i="12"/>
  <c r="G304" i="12"/>
  <c r="F304" i="12"/>
  <c r="E304" i="12"/>
  <c r="D304" i="12"/>
  <c r="C304" i="12"/>
  <c r="B304" i="12"/>
  <c r="Z302" i="12"/>
  <c r="Y302" i="12"/>
  <c r="X302" i="12"/>
  <c r="W302" i="12"/>
  <c r="V302" i="12"/>
  <c r="U302" i="12"/>
  <c r="T302" i="12"/>
  <c r="Q302" i="12"/>
  <c r="P302" i="12"/>
  <c r="O302" i="12"/>
  <c r="N302" i="12"/>
  <c r="M302" i="12"/>
  <c r="L302" i="12"/>
  <c r="K302" i="12"/>
  <c r="H302" i="12"/>
  <c r="G302" i="12"/>
  <c r="F302" i="12"/>
  <c r="E302" i="12"/>
  <c r="D302" i="12"/>
  <c r="C302" i="12"/>
  <c r="B302" i="12"/>
  <c r="Z301" i="12"/>
  <c r="Y301" i="12"/>
  <c r="X301" i="12"/>
  <c r="W301" i="12"/>
  <c r="V301" i="12"/>
  <c r="U301" i="12"/>
  <c r="T301" i="12"/>
  <c r="Q301" i="12"/>
  <c r="P301" i="12"/>
  <c r="O301" i="12"/>
  <c r="N301" i="12"/>
  <c r="M301" i="12"/>
  <c r="L301" i="12"/>
  <c r="K301" i="12"/>
  <c r="H301" i="12"/>
  <c r="G301" i="12"/>
  <c r="F301" i="12"/>
  <c r="E301" i="12"/>
  <c r="D301" i="12"/>
  <c r="C301" i="12"/>
  <c r="B301" i="12"/>
  <c r="Z300" i="12"/>
  <c r="Y300" i="12"/>
  <c r="X300" i="12"/>
  <c r="W300" i="12"/>
  <c r="V300" i="12"/>
  <c r="U300" i="12"/>
  <c r="T300" i="12"/>
  <c r="Q300" i="12"/>
  <c r="P300" i="12"/>
  <c r="O300" i="12"/>
  <c r="N300" i="12"/>
  <c r="M300" i="12"/>
  <c r="L300" i="12"/>
  <c r="K300" i="12"/>
  <c r="H300" i="12"/>
  <c r="G300" i="12"/>
  <c r="F300" i="12"/>
  <c r="E300" i="12"/>
  <c r="D300" i="12"/>
  <c r="C300" i="12"/>
  <c r="B300" i="12"/>
  <c r="Z299" i="12"/>
  <c r="Y299" i="12"/>
  <c r="X299" i="12"/>
  <c r="W299" i="12"/>
  <c r="V299" i="12"/>
  <c r="U299" i="12"/>
  <c r="T299" i="12"/>
  <c r="Q299" i="12"/>
  <c r="P299" i="12"/>
  <c r="O299" i="12"/>
  <c r="N299" i="12"/>
  <c r="M299" i="12"/>
  <c r="L299" i="12"/>
  <c r="K299" i="12"/>
  <c r="H299" i="12"/>
  <c r="G299" i="12"/>
  <c r="F299" i="12"/>
  <c r="E299" i="12"/>
  <c r="D299" i="12"/>
  <c r="C299" i="12"/>
  <c r="B299" i="12"/>
  <c r="Z297" i="12"/>
  <c r="Y297" i="12"/>
  <c r="X297" i="12"/>
  <c r="W297" i="12"/>
  <c r="V297" i="12"/>
  <c r="U297" i="12"/>
  <c r="T297" i="12"/>
  <c r="Q297" i="12"/>
  <c r="P297" i="12"/>
  <c r="O297" i="12"/>
  <c r="N297" i="12"/>
  <c r="M297" i="12"/>
  <c r="L297" i="12"/>
  <c r="K297" i="12"/>
  <c r="H297" i="12"/>
  <c r="G297" i="12"/>
  <c r="F297" i="12"/>
  <c r="E297" i="12"/>
  <c r="D297" i="12"/>
  <c r="C297" i="12"/>
  <c r="B297" i="12"/>
  <c r="Z296" i="12"/>
  <c r="Y296" i="12"/>
  <c r="X296" i="12"/>
  <c r="W296" i="12"/>
  <c r="V296" i="12"/>
  <c r="U296" i="12"/>
  <c r="T296" i="12"/>
  <c r="Q296" i="12"/>
  <c r="P296" i="12"/>
  <c r="O296" i="12"/>
  <c r="N296" i="12"/>
  <c r="M296" i="12"/>
  <c r="L296" i="12"/>
  <c r="K296" i="12"/>
  <c r="H296" i="12"/>
  <c r="G296" i="12"/>
  <c r="F296" i="12"/>
  <c r="E296" i="12"/>
  <c r="D296" i="12"/>
  <c r="C296" i="12"/>
  <c r="B296" i="12"/>
  <c r="Z295" i="12"/>
  <c r="Y295" i="12"/>
  <c r="X295" i="12"/>
  <c r="W295" i="12"/>
  <c r="V295" i="12"/>
  <c r="U295" i="12"/>
  <c r="T295" i="12"/>
  <c r="Q295" i="12"/>
  <c r="P295" i="12"/>
  <c r="O295" i="12"/>
  <c r="N295" i="12"/>
  <c r="M295" i="12"/>
  <c r="L295" i="12"/>
  <c r="K295" i="12"/>
  <c r="H295" i="12"/>
  <c r="G295" i="12"/>
  <c r="F295" i="12"/>
  <c r="E295" i="12"/>
  <c r="D295" i="12"/>
  <c r="C295" i="12"/>
  <c r="B295" i="12"/>
  <c r="Z294" i="12"/>
  <c r="Y294" i="12"/>
  <c r="X294" i="12"/>
  <c r="W294" i="12"/>
  <c r="V294" i="12"/>
  <c r="U294" i="12"/>
  <c r="T294" i="12"/>
  <c r="Q294" i="12"/>
  <c r="P294" i="12"/>
  <c r="O294" i="12"/>
  <c r="N294" i="12"/>
  <c r="M294" i="12"/>
  <c r="L294" i="12"/>
  <c r="K294" i="12"/>
  <c r="H294" i="12"/>
  <c r="G294" i="12"/>
  <c r="F294" i="12"/>
  <c r="E294" i="12"/>
  <c r="D294" i="12"/>
  <c r="C294" i="12"/>
  <c r="B294" i="12"/>
  <c r="Z292" i="12"/>
  <c r="Y292" i="12"/>
  <c r="X292" i="12"/>
  <c r="W292" i="12"/>
  <c r="V292" i="12"/>
  <c r="U292" i="12"/>
  <c r="T292" i="12"/>
  <c r="Q292" i="12"/>
  <c r="P292" i="12"/>
  <c r="O292" i="12"/>
  <c r="N292" i="12"/>
  <c r="M292" i="12"/>
  <c r="L292" i="12"/>
  <c r="K292" i="12"/>
  <c r="H292" i="12"/>
  <c r="G292" i="12"/>
  <c r="F292" i="12"/>
  <c r="E292" i="12"/>
  <c r="D292" i="12"/>
  <c r="C292" i="12"/>
  <c r="B292" i="12"/>
  <c r="Z291" i="12"/>
  <c r="Y291" i="12"/>
  <c r="X291" i="12"/>
  <c r="W291" i="12"/>
  <c r="V291" i="12"/>
  <c r="U291" i="12"/>
  <c r="T291" i="12"/>
  <c r="Q291" i="12"/>
  <c r="P291" i="12"/>
  <c r="O291" i="12"/>
  <c r="N291" i="12"/>
  <c r="M291" i="12"/>
  <c r="L291" i="12"/>
  <c r="K291" i="12"/>
  <c r="H291" i="12"/>
  <c r="G291" i="12"/>
  <c r="F291" i="12"/>
  <c r="E291" i="12"/>
  <c r="D291" i="12"/>
  <c r="C291" i="12"/>
  <c r="B291" i="12"/>
  <c r="Z290" i="12"/>
  <c r="Y290" i="12"/>
  <c r="X290" i="12"/>
  <c r="W290" i="12"/>
  <c r="V290" i="12"/>
  <c r="U290" i="12"/>
  <c r="T290" i="12"/>
  <c r="Q290" i="12"/>
  <c r="P290" i="12"/>
  <c r="O290" i="12"/>
  <c r="N290" i="12"/>
  <c r="M290" i="12"/>
  <c r="L290" i="12"/>
  <c r="K290" i="12"/>
  <c r="H290" i="12"/>
  <c r="G290" i="12"/>
  <c r="F290" i="12"/>
  <c r="E290" i="12"/>
  <c r="D290" i="12"/>
  <c r="C290" i="12"/>
  <c r="B290" i="12"/>
  <c r="Z289" i="12"/>
  <c r="Y289" i="12"/>
  <c r="X289" i="12"/>
  <c r="W289" i="12"/>
  <c r="V289" i="12"/>
  <c r="U289" i="12"/>
  <c r="T289" i="12"/>
  <c r="Q289" i="12"/>
  <c r="P289" i="12"/>
  <c r="O289" i="12"/>
  <c r="N289" i="12"/>
  <c r="M289" i="12"/>
  <c r="L289" i="12"/>
  <c r="K289" i="12"/>
  <c r="H289" i="12"/>
  <c r="G289" i="12"/>
  <c r="F289" i="12"/>
  <c r="E289" i="12"/>
  <c r="D289" i="12"/>
  <c r="C289" i="12"/>
  <c r="B289" i="12"/>
  <c r="Z287" i="12"/>
  <c r="Y287" i="12"/>
  <c r="X287" i="12"/>
  <c r="W287" i="12"/>
  <c r="V287" i="12"/>
  <c r="U287" i="12"/>
  <c r="T287" i="12"/>
  <c r="Q287" i="12"/>
  <c r="P287" i="12"/>
  <c r="O287" i="12"/>
  <c r="N287" i="12"/>
  <c r="M287" i="12"/>
  <c r="L287" i="12"/>
  <c r="K287" i="12"/>
  <c r="H287" i="12"/>
  <c r="G287" i="12"/>
  <c r="F287" i="12"/>
  <c r="E287" i="12"/>
  <c r="D287" i="12"/>
  <c r="C287" i="12"/>
  <c r="B287" i="12"/>
  <c r="Z286" i="12"/>
  <c r="Y286" i="12"/>
  <c r="X286" i="12"/>
  <c r="W286" i="12"/>
  <c r="V286" i="12"/>
  <c r="U286" i="12"/>
  <c r="T286" i="12"/>
  <c r="Q286" i="12"/>
  <c r="P286" i="12"/>
  <c r="O286" i="12"/>
  <c r="N286" i="12"/>
  <c r="M286" i="12"/>
  <c r="L286" i="12"/>
  <c r="K286" i="12"/>
  <c r="H286" i="12"/>
  <c r="G286" i="12"/>
  <c r="F286" i="12"/>
  <c r="E286" i="12"/>
  <c r="D286" i="12"/>
  <c r="C286" i="12"/>
  <c r="B286" i="12"/>
  <c r="Z285" i="12"/>
  <c r="Y285" i="12"/>
  <c r="X285" i="12"/>
  <c r="W285" i="12"/>
  <c r="V285" i="12"/>
  <c r="U285" i="12"/>
  <c r="T285" i="12"/>
  <c r="Q285" i="12"/>
  <c r="P285" i="12"/>
  <c r="O285" i="12"/>
  <c r="N285" i="12"/>
  <c r="M285" i="12"/>
  <c r="L285" i="12"/>
  <c r="K285" i="12"/>
  <c r="H285" i="12"/>
  <c r="G285" i="12"/>
  <c r="F285" i="12"/>
  <c r="E285" i="12"/>
  <c r="D285" i="12"/>
  <c r="C285" i="12"/>
  <c r="B285" i="12"/>
  <c r="Z284" i="12"/>
  <c r="Y284" i="12"/>
  <c r="X284" i="12"/>
  <c r="W284" i="12"/>
  <c r="V284" i="12"/>
  <c r="U284" i="12"/>
  <c r="T284" i="12"/>
  <c r="Q284" i="12"/>
  <c r="P284" i="12"/>
  <c r="O284" i="12"/>
  <c r="N284" i="12"/>
  <c r="M284" i="12"/>
  <c r="L284" i="12"/>
  <c r="K284" i="12"/>
  <c r="H284" i="12"/>
  <c r="G284" i="12"/>
  <c r="F284" i="12"/>
  <c r="E284" i="12"/>
  <c r="D284" i="12"/>
  <c r="C284" i="12"/>
  <c r="B284" i="12"/>
  <c r="Z282" i="12"/>
  <c r="Y282" i="12"/>
  <c r="X282" i="12"/>
  <c r="W282" i="12"/>
  <c r="V282" i="12"/>
  <c r="U282" i="12"/>
  <c r="T282" i="12"/>
  <c r="V281" i="12"/>
  <c r="Q282" i="12"/>
  <c r="P282" i="12"/>
  <c r="O282" i="12"/>
  <c r="N282" i="12"/>
  <c r="M282" i="12"/>
  <c r="L282" i="12"/>
  <c r="K282" i="12"/>
  <c r="M281" i="12"/>
  <c r="H282" i="12"/>
  <c r="G282" i="12"/>
  <c r="F282" i="12"/>
  <c r="E282" i="12"/>
  <c r="D282" i="12"/>
  <c r="C282" i="12"/>
  <c r="B282" i="12"/>
  <c r="D281" i="12"/>
  <c r="Z274" i="12"/>
  <c r="Y274" i="12"/>
  <c r="X274" i="12"/>
  <c r="W274" i="12"/>
  <c r="V274" i="12"/>
  <c r="U274" i="12"/>
  <c r="T274" i="12"/>
  <c r="Q274" i="12"/>
  <c r="P274" i="12"/>
  <c r="O274" i="12"/>
  <c r="N274" i="12"/>
  <c r="M274" i="12"/>
  <c r="L274" i="12"/>
  <c r="K274" i="12"/>
  <c r="H274" i="12"/>
  <c r="G274" i="12"/>
  <c r="F274" i="12"/>
  <c r="E274" i="12"/>
  <c r="D274" i="12"/>
  <c r="C274" i="12"/>
  <c r="B274" i="12"/>
  <c r="Z273" i="12"/>
  <c r="Y273" i="12"/>
  <c r="X273" i="12"/>
  <c r="W273" i="12"/>
  <c r="V273" i="12"/>
  <c r="U273" i="12"/>
  <c r="T273" i="12"/>
  <c r="Q273" i="12"/>
  <c r="P273" i="12"/>
  <c r="O273" i="12"/>
  <c r="N273" i="12"/>
  <c r="M273" i="12"/>
  <c r="L273" i="12"/>
  <c r="K273" i="12"/>
  <c r="H273" i="12"/>
  <c r="G273" i="12"/>
  <c r="F273" i="12"/>
  <c r="E273" i="12"/>
  <c r="D273" i="12"/>
  <c r="C273" i="12"/>
  <c r="B273" i="12"/>
  <c r="Z272" i="12"/>
  <c r="Y272" i="12"/>
  <c r="X272" i="12"/>
  <c r="W272" i="12"/>
  <c r="V272" i="12"/>
  <c r="U272" i="12"/>
  <c r="T272" i="12"/>
  <c r="Q272" i="12"/>
  <c r="P272" i="12"/>
  <c r="O272" i="12"/>
  <c r="N272" i="12"/>
  <c r="M272" i="12"/>
  <c r="L272" i="12"/>
  <c r="K272" i="12"/>
  <c r="H272" i="12"/>
  <c r="G272" i="12"/>
  <c r="F272" i="12"/>
  <c r="E272" i="12"/>
  <c r="D272" i="12"/>
  <c r="C272" i="12"/>
  <c r="B272" i="12"/>
  <c r="Z271" i="12"/>
  <c r="Y271" i="12"/>
  <c r="X271" i="12"/>
  <c r="W271" i="12"/>
  <c r="V271" i="12"/>
  <c r="U271" i="12"/>
  <c r="T271" i="12"/>
  <c r="Q271" i="12"/>
  <c r="P271" i="12"/>
  <c r="O271" i="12"/>
  <c r="N271" i="12"/>
  <c r="M271" i="12"/>
  <c r="L271" i="12"/>
  <c r="K271" i="12"/>
  <c r="H271" i="12"/>
  <c r="G271" i="12"/>
  <c r="F271" i="12"/>
  <c r="E271" i="12"/>
  <c r="D271" i="12"/>
  <c r="C271" i="12"/>
  <c r="B271" i="12"/>
  <c r="Z269" i="12"/>
  <c r="Y269" i="12"/>
  <c r="X269" i="12"/>
  <c r="W269" i="12"/>
  <c r="V269" i="12"/>
  <c r="U269" i="12"/>
  <c r="T269" i="12"/>
  <c r="Q269" i="12"/>
  <c r="P269" i="12"/>
  <c r="O269" i="12"/>
  <c r="N269" i="12"/>
  <c r="M269" i="12"/>
  <c r="L269" i="12"/>
  <c r="K269" i="12"/>
  <c r="H269" i="12"/>
  <c r="G269" i="12"/>
  <c r="F269" i="12"/>
  <c r="E269" i="12"/>
  <c r="D269" i="12"/>
  <c r="C269" i="12"/>
  <c r="B269" i="12"/>
  <c r="Z268" i="12"/>
  <c r="Y268" i="12"/>
  <c r="X268" i="12"/>
  <c r="W268" i="12"/>
  <c r="V268" i="12"/>
  <c r="U268" i="12"/>
  <c r="T268" i="12"/>
  <c r="Q268" i="12"/>
  <c r="P268" i="12"/>
  <c r="O268" i="12"/>
  <c r="N268" i="12"/>
  <c r="M268" i="12"/>
  <c r="L268" i="12"/>
  <c r="K268" i="12"/>
  <c r="H268" i="12"/>
  <c r="G268" i="12"/>
  <c r="F268" i="12"/>
  <c r="E268" i="12"/>
  <c r="D268" i="12"/>
  <c r="C268" i="12"/>
  <c r="B268" i="12"/>
  <c r="Z267" i="12"/>
  <c r="Y267" i="12"/>
  <c r="X267" i="12"/>
  <c r="W267" i="12"/>
  <c r="V267" i="12"/>
  <c r="U267" i="12"/>
  <c r="T267" i="12"/>
  <c r="Q267" i="12"/>
  <c r="P267" i="12"/>
  <c r="O267" i="12"/>
  <c r="N267" i="12"/>
  <c r="M267" i="12"/>
  <c r="L267" i="12"/>
  <c r="K267" i="12"/>
  <c r="H267" i="12"/>
  <c r="G267" i="12"/>
  <c r="F267" i="12"/>
  <c r="E267" i="12"/>
  <c r="D267" i="12"/>
  <c r="C267" i="12"/>
  <c r="B267" i="12"/>
  <c r="Z266" i="12"/>
  <c r="Y266" i="12"/>
  <c r="X266" i="12"/>
  <c r="W266" i="12"/>
  <c r="V266" i="12"/>
  <c r="U266" i="12"/>
  <c r="T266" i="12"/>
  <c r="Q266" i="12"/>
  <c r="P266" i="12"/>
  <c r="O266" i="12"/>
  <c r="N266" i="12"/>
  <c r="M266" i="12"/>
  <c r="L266" i="12"/>
  <c r="K266" i="12"/>
  <c r="H266" i="12"/>
  <c r="G266" i="12"/>
  <c r="F266" i="12"/>
  <c r="E266" i="12"/>
  <c r="D266" i="12"/>
  <c r="C266" i="12"/>
  <c r="B266" i="12"/>
  <c r="Z264" i="12"/>
  <c r="Y264" i="12"/>
  <c r="X264" i="12"/>
  <c r="W264" i="12"/>
  <c r="V264" i="12"/>
  <c r="U264" i="12"/>
  <c r="T264" i="12"/>
  <c r="Q264" i="12"/>
  <c r="P264" i="12"/>
  <c r="O264" i="12"/>
  <c r="N264" i="12"/>
  <c r="M264" i="12"/>
  <c r="L264" i="12"/>
  <c r="K264" i="12"/>
  <c r="H264" i="12"/>
  <c r="G264" i="12"/>
  <c r="F264" i="12"/>
  <c r="E264" i="12"/>
  <c r="D264" i="12"/>
  <c r="C264" i="12"/>
  <c r="B264" i="12"/>
  <c r="Z263" i="12"/>
  <c r="Y263" i="12"/>
  <c r="X263" i="12"/>
  <c r="W263" i="12"/>
  <c r="V263" i="12"/>
  <c r="U263" i="12"/>
  <c r="T263" i="12"/>
  <c r="Q263" i="12"/>
  <c r="P263" i="12"/>
  <c r="O263" i="12"/>
  <c r="N263" i="12"/>
  <c r="M263" i="12"/>
  <c r="L263" i="12"/>
  <c r="K263" i="12"/>
  <c r="H263" i="12"/>
  <c r="G263" i="12"/>
  <c r="F263" i="12"/>
  <c r="E263" i="12"/>
  <c r="D263" i="12"/>
  <c r="C263" i="12"/>
  <c r="B263" i="12"/>
  <c r="Z262" i="12"/>
  <c r="Y262" i="12"/>
  <c r="X262" i="12"/>
  <c r="W262" i="12"/>
  <c r="V262" i="12"/>
  <c r="U262" i="12"/>
  <c r="T262" i="12"/>
  <c r="Q262" i="12"/>
  <c r="P262" i="12"/>
  <c r="O262" i="12"/>
  <c r="N262" i="12"/>
  <c r="M262" i="12"/>
  <c r="L262" i="12"/>
  <c r="K262" i="12"/>
  <c r="H262" i="12"/>
  <c r="G262" i="12"/>
  <c r="F262" i="12"/>
  <c r="E262" i="12"/>
  <c r="D262" i="12"/>
  <c r="C262" i="12"/>
  <c r="B262" i="12"/>
  <c r="Z261" i="12"/>
  <c r="Y261" i="12"/>
  <c r="X261" i="12"/>
  <c r="W261" i="12"/>
  <c r="V261" i="12"/>
  <c r="U261" i="12"/>
  <c r="T261" i="12"/>
  <c r="Q261" i="12"/>
  <c r="P261" i="12"/>
  <c r="O261" i="12"/>
  <c r="N261" i="12"/>
  <c r="M261" i="12"/>
  <c r="L261" i="12"/>
  <c r="K261" i="12"/>
  <c r="H261" i="12"/>
  <c r="G261" i="12"/>
  <c r="F261" i="12"/>
  <c r="E261" i="12"/>
  <c r="D261" i="12"/>
  <c r="C261" i="12"/>
  <c r="B261" i="12"/>
  <c r="Z259" i="12"/>
  <c r="Y259" i="12"/>
  <c r="X259" i="12"/>
  <c r="W259" i="12"/>
  <c r="V259" i="12"/>
  <c r="U259" i="12"/>
  <c r="T259" i="12"/>
  <c r="Q259" i="12"/>
  <c r="P259" i="12"/>
  <c r="O259" i="12"/>
  <c r="N259" i="12"/>
  <c r="M259" i="12"/>
  <c r="L259" i="12"/>
  <c r="K259" i="12"/>
  <c r="H259" i="12"/>
  <c r="G259" i="12"/>
  <c r="F259" i="12"/>
  <c r="E259" i="12"/>
  <c r="D259" i="12"/>
  <c r="C259" i="12"/>
  <c r="B259" i="12"/>
  <c r="Z258" i="12"/>
  <c r="Y258" i="12"/>
  <c r="X258" i="12"/>
  <c r="W258" i="12"/>
  <c r="V258" i="12"/>
  <c r="U258" i="12"/>
  <c r="T258" i="12"/>
  <c r="Q258" i="12"/>
  <c r="P258" i="12"/>
  <c r="O258" i="12"/>
  <c r="N258" i="12"/>
  <c r="M258" i="12"/>
  <c r="L258" i="12"/>
  <c r="K258" i="12"/>
  <c r="H258" i="12"/>
  <c r="G258" i="12"/>
  <c r="F258" i="12"/>
  <c r="E258" i="12"/>
  <c r="D258" i="12"/>
  <c r="C258" i="12"/>
  <c r="B258" i="12"/>
  <c r="Z257" i="12"/>
  <c r="Y257" i="12"/>
  <c r="X257" i="12"/>
  <c r="W257" i="12"/>
  <c r="V257" i="12"/>
  <c r="U257" i="12"/>
  <c r="T257" i="12"/>
  <c r="Q257" i="12"/>
  <c r="P257" i="12"/>
  <c r="O257" i="12"/>
  <c r="N257" i="12"/>
  <c r="M257" i="12"/>
  <c r="L257" i="12"/>
  <c r="K257" i="12"/>
  <c r="H257" i="12"/>
  <c r="G257" i="12"/>
  <c r="F257" i="12"/>
  <c r="E257" i="12"/>
  <c r="D257" i="12"/>
  <c r="C257" i="12"/>
  <c r="B257" i="12"/>
  <c r="Z256" i="12"/>
  <c r="Y256" i="12"/>
  <c r="X256" i="12"/>
  <c r="W256" i="12"/>
  <c r="V256" i="12"/>
  <c r="U256" i="12"/>
  <c r="T256" i="12"/>
  <c r="Q256" i="12"/>
  <c r="P256" i="12"/>
  <c r="O256" i="12"/>
  <c r="N256" i="12"/>
  <c r="M256" i="12"/>
  <c r="L256" i="12"/>
  <c r="K256" i="12"/>
  <c r="H256" i="12"/>
  <c r="G256" i="12"/>
  <c r="F256" i="12"/>
  <c r="E256" i="12"/>
  <c r="D256" i="12"/>
  <c r="C256" i="12"/>
  <c r="B256" i="12"/>
  <c r="Z254" i="12"/>
  <c r="Y254" i="12"/>
  <c r="X254" i="12"/>
  <c r="W254" i="12"/>
  <c r="V254" i="12"/>
  <c r="U254" i="12"/>
  <c r="T254" i="12"/>
  <c r="Q254" i="12"/>
  <c r="P254" i="12"/>
  <c r="O254" i="12"/>
  <c r="N254" i="12"/>
  <c r="M254" i="12"/>
  <c r="L254" i="12"/>
  <c r="K254" i="12"/>
  <c r="H254" i="12"/>
  <c r="G254" i="12"/>
  <c r="F254" i="12"/>
  <c r="E254" i="12"/>
  <c r="D254" i="12"/>
  <c r="C254" i="12"/>
  <c r="B254" i="12"/>
  <c r="Z253" i="12"/>
  <c r="Y253" i="12"/>
  <c r="X253" i="12"/>
  <c r="W253" i="12"/>
  <c r="V253" i="12"/>
  <c r="U253" i="12"/>
  <c r="T253" i="12"/>
  <c r="Q253" i="12"/>
  <c r="P253" i="12"/>
  <c r="O253" i="12"/>
  <c r="N253" i="12"/>
  <c r="M253" i="12"/>
  <c r="L253" i="12"/>
  <c r="K253" i="12"/>
  <c r="H253" i="12"/>
  <c r="G253" i="12"/>
  <c r="F253" i="12"/>
  <c r="E253" i="12"/>
  <c r="D253" i="12"/>
  <c r="C253" i="12"/>
  <c r="B253" i="12"/>
  <c r="Z252" i="12"/>
  <c r="Y252" i="12"/>
  <c r="X252" i="12"/>
  <c r="W252" i="12"/>
  <c r="V252" i="12"/>
  <c r="U252" i="12"/>
  <c r="T252" i="12"/>
  <c r="Q252" i="12"/>
  <c r="P252" i="12"/>
  <c r="O252" i="12"/>
  <c r="N252" i="12"/>
  <c r="M252" i="12"/>
  <c r="L252" i="12"/>
  <c r="K252" i="12"/>
  <c r="H252" i="12"/>
  <c r="G252" i="12"/>
  <c r="F252" i="12"/>
  <c r="E252" i="12"/>
  <c r="D252" i="12"/>
  <c r="C252" i="12"/>
  <c r="B252" i="12"/>
  <c r="Z251" i="12"/>
  <c r="Y251" i="12"/>
  <c r="X251" i="12"/>
  <c r="W251" i="12"/>
  <c r="V251" i="12"/>
  <c r="U251" i="12"/>
  <c r="T251" i="12"/>
  <c r="Q251" i="12"/>
  <c r="P251" i="12"/>
  <c r="O251" i="12"/>
  <c r="N251" i="12"/>
  <c r="M251" i="12"/>
  <c r="L251" i="12"/>
  <c r="K251" i="12"/>
  <c r="H251" i="12"/>
  <c r="G251" i="12"/>
  <c r="F251" i="12"/>
  <c r="E251" i="12"/>
  <c r="D251" i="12"/>
  <c r="C251" i="12"/>
  <c r="B251" i="12"/>
  <c r="Z249" i="12"/>
  <c r="Y249" i="12"/>
  <c r="X249" i="12"/>
  <c r="W249" i="12"/>
  <c r="V249" i="12"/>
  <c r="U249" i="12"/>
  <c r="T249" i="12"/>
  <c r="Q249" i="12"/>
  <c r="P249" i="12"/>
  <c r="O249" i="12"/>
  <c r="N249" i="12"/>
  <c r="M249" i="12"/>
  <c r="L249" i="12"/>
  <c r="K249" i="12"/>
  <c r="H249" i="12"/>
  <c r="G249" i="12"/>
  <c r="F249" i="12"/>
  <c r="E249" i="12"/>
  <c r="D249" i="12"/>
  <c r="C249" i="12"/>
  <c r="B249" i="12"/>
  <c r="Z248" i="12"/>
  <c r="Y248" i="12"/>
  <c r="X248" i="12"/>
  <c r="W248" i="12"/>
  <c r="V248" i="12"/>
  <c r="U248" i="12"/>
  <c r="T248" i="12"/>
  <c r="Q248" i="12"/>
  <c r="P248" i="12"/>
  <c r="O248" i="12"/>
  <c r="N248" i="12"/>
  <c r="M248" i="12"/>
  <c r="L248" i="12"/>
  <c r="K248" i="12"/>
  <c r="H248" i="12"/>
  <c r="G248" i="12"/>
  <c r="F248" i="12"/>
  <c r="E248" i="12"/>
  <c r="D248" i="12"/>
  <c r="C248" i="12"/>
  <c r="B248" i="12"/>
  <c r="Z247" i="12"/>
  <c r="Y247" i="12"/>
  <c r="X247" i="12"/>
  <c r="W247" i="12"/>
  <c r="V247" i="12"/>
  <c r="U247" i="12"/>
  <c r="T247" i="12"/>
  <c r="Q247" i="12"/>
  <c r="P247" i="12"/>
  <c r="O247" i="12"/>
  <c r="N247" i="12"/>
  <c r="M247" i="12"/>
  <c r="L247" i="12"/>
  <c r="K247" i="12"/>
  <c r="H247" i="12"/>
  <c r="G247" i="12"/>
  <c r="F247" i="12"/>
  <c r="E247" i="12"/>
  <c r="D247" i="12"/>
  <c r="C247" i="12"/>
  <c r="B247" i="12"/>
  <c r="Z246" i="12"/>
  <c r="Y246" i="12"/>
  <c r="X246" i="12"/>
  <c r="W246" i="12"/>
  <c r="V246" i="12"/>
  <c r="U246" i="12"/>
  <c r="T246" i="12"/>
  <c r="Q246" i="12"/>
  <c r="P246" i="12"/>
  <c r="O246" i="12"/>
  <c r="N246" i="12"/>
  <c r="M246" i="12"/>
  <c r="L246" i="12"/>
  <c r="K246" i="12"/>
  <c r="H246" i="12"/>
  <c r="G246" i="12"/>
  <c r="F246" i="12"/>
  <c r="E246" i="12"/>
  <c r="D246" i="12"/>
  <c r="C246" i="12"/>
  <c r="B246" i="12"/>
  <c r="Z244" i="12"/>
  <c r="Y244" i="12"/>
  <c r="X244" i="12"/>
  <c r="W244" i="12"/>
  <c r="V244" i="12"/>
  <c r="U244" i="12"/>
  <c r="T244" i="12"/>
  <c r="Q244" i="12"/>
  <c r="P244" i="12"/>
  <c r="O244" i="12"/>
  <c r="N244" i="12"/>
  <c r="M244" i="12"/>
  <c r="L244" i="12"/>
  <c r="K244" i="12"/>
  <c r="H244" i="12"/>
  <c r="G244" i="12"/>
  <c r="F244" i="12"/>
  <c r="E244" i="12"/>
  <c r="D244" i="12"/>
  <c r="C244" i="12"/>
  <c r="B244" i="12"/>
  <c r="Z243" i="12"/>
  <c r="Y243" i="12"/>
  <c r="X243" i="12"/>
  <c r="W243" i="12"/>
  <c r="V243" i="12"/>
  <c r="U243" i="12"/>
  <c r="T243" i="12"/>
  <c r="Q243" i="12"/>
  <c r="P243" i="12"/>
  <c r="O243" i="12"/>
  <c r="N243" i="12"/>
  <c r="M243" i="12"/>
  <c r="L243" i="12"/>
  <c r="K243" i="12"/>
  <c r="H243" i="12"/>
  <c r="G243" i="12"/>
  <c r="F243" i="12"/>
  <c r="E243" i="12"/>
  <c r="D243" i="12"/>
  <c r="C243" i="12"/>
  <c r="B243" i="12"/>
  <c r="Z242" i="12"/>
  <c r="Y242" i="12"/>
  <c r="X242" i="12"/>
  <c r="W242" i="12"/>
  <c r="V242" i="12"/>
  <c r="U242" i="12"/>
  <c r="T242" i="12"/>
  <c r="Q242" i="12"/>
  <c r="P242" i="12"/>
  <c r="O242" i="12"/>
  <c r="N242" i="12"/>
  <c r="M242" i="12"/>
  <c r="L242" i="12"/>
  <c r="K242" i="12"/>
  <c r="H242" i="12"/>
  <c r="G242" i="12"/>
  <c r="F242" i="12"/>
  <c r="E242" i="12"/>
  <c r="D242" i="12"/>
  <c r="C242" i="12"/>
  <c r="B242" i="12"/>
  <c r="Z241" i="12"/>
  <c r="Y241" i="12"/>
  <c r="X241" i="12"/>
  <c r="W241" i="12"/>
  <c r="V241" i="12"/>
  <c r="U241" i="12"/>
  <c r="T241" i="12"/>
  <c r="Q241" i="12"/>
  <c r="P241" i="12"/>
  <c r="O241" i="12"/>
  <c r="N241" i="12"/>
  <c r="M241" i="12"/>
  <c r="L241" i="12"/>
  <c r="K241" i="12"/>
  <c r="H241" i="12"/>
  <c r="G241" i="12"/>
  <c r="F241" i="12"/>
  <c r="E241" i="12"/>
  <c r="D241" i="12"/>
  <c r="C241" i="12"/>
  <c r="B241" i="12"/>
  <c r="Z239" i="12"/>
  <c r="Y239" i="12"/>
  <c r="X239" i="12"/>
  <c r="W239" i="12"/>
  <c r="V239" i="12"/>
  <c r="U239" i="12"/>
  <c r="T239" i="12"/>
  <c r="Q239" i="12"/>
  <c r="P239" i="12"/>
  <c r="O239" i="12"/>
  <c r="N239" i="12"/>
  <c r="M239" i="12"/>
  <c r="L239" i="12"/>
  <c r="K239" i="12"/>
  <c r="H239" i="12"/>
  <c r="G239" i="12"/>
  <c r="F239" i="12"/>
  <c r="E239" i="12"/>
  <c r="D239" i="12"/>
  <c r="C239" i="12"/>
  <c r="B239" i="12"/>
  <c r="Z238" i="12"/>
  <c r="Y238" i="12"/>
  <c r="X238" i="12"/>
  <c r="W238" i="12"/>
  <c r="V238" i="12"/>
  <c r="U238" i="12"/>
  <c r="T238" i="12"/>
  <c r="Q238" i="12"/>
  <c r="P238" i="12"/>
  <c r="O238" i="12"/>
  <c r="N238" i="12"/>
  <c r="M238" i="12"/>
  <c r="L238" i="12"/>
  <c r="K238" i="12"/>
  <c r="H238" i="12"/>
  <c r="G238" i="12"/>
  <c r="F238" i="12"/>
  <c r="E238" i="12"/>
  <c r="D238" i="12"/>
  <c r="C238" i="12"/>
  <c r="B238" i="12"/>
  <c r="Z237" i="12"/>
  <c r="Y237" i="12"/>
  <c r="X237" i="12"/>
  <c r="W237" i="12"/>
  <c r="V237" i="12"/>
  <c r="U237" i="12"/>
  <c r="T237" i="12"/>
  <c r="Q237" i="12"/>
  <c r="P237" i="12"/>
  <c r="O237" i="12"/>
  <c r="N237" i="12"/>
  <c r="M237" i="12"/>
  <c r="L237" i="12"/>
  <c r="K237" i="12"/>
  <c r="H237" i="12"/>
  <c r="G237" i="12"/>
  <c r="F237" i="12"/>
  <c r="E237" i="12"/>
  <c r="D237" i="12"/>
  <c r="C237" i="12"/>
  <c r="B237" i="12"/>
  <c r="Z236" i="12"/>
  <c r="Y236" i="12"/>
  <c r="X236" i="12"/>
  <c r="W236" i="12"/>
  <c r="V236" i="12"/>
  <c r="U236" i="12"/>
  <c r="T236" i="12"/>
  <c r="Q236" i="12"/>
  <c r="P236" i="12"/>
  <c r="O236" i="12"/>
  <c r="N236" i="12"/>
  <c r="M236" i="12"/>
  <c r="L236" i="12"/>
  <c r="K236" i="12"/>
  <c r="H236" i="12"/>
  <c r="G236" i="12"/>
  <c r="F236" i="12"/>
  <c r="E236" i="12"/>
  <c r="D236" i="12"/>
  <c r="C236" i="12"/>
  <c r="B236" i="12"/>
  <c r="Z234" i="12"/>
  <c r="Y234" i="12"/>
  <c r="X234" i="12"/>
  <c r="W234" i="12"/>
  <c r="V234" i="12"/>
  <c r="U234" i="12"/>
  <c r="T234" i="12"/>
  <c r="Q234" i="12"/>
  <c r="P234" i="12"/>
  <c r="O234" i="12"/>
  <c r="N234" i="12"/>
  <c r="M234" i="12"/>
  <c r="L234" i="12"/>
  <c r="K234" i="12"/>
  <c r="H234" i="12"/>
  <c r="G234" i="12"/>
  <c r="F234" i="12"/>
  <c r="E234" i="12"/>
  <c r="D234" i="12"/>
  <c r="C234" i="12"/>
  <c r="B234" i="12"/>
  <c r="Z233" i="12"/>
  <c r="Y233" i="12"/>
  <c r="X233" i="12"/>
  <c r="W233" i="12"/>
  <c r="V233" i="12"/>
  <c r="U233" i="12"/>
  <c r="T233" i="12"/>
  <c r="Q233" i="12"/>
  <c r="P233" i="12"/>
  <c r="O233" i="12"/>
  <c r="N233" i="12"/>
  <c r="M233" i="12"/>
  <c r="L233" i="12"/>
  <c r="K233" i="12"/>
  <c r="H233" i="12"/>
  <c r="G233" i="12"/>
  <c r="F233" i="12"/>
  <c r="E233" i="12"/>
  <c r="D233" i="12"/>
  <c r="C233" i="12"/>
  <c r="B233" i="12"/>
  <c r="Z232" i="12"/>
  <c r="Y232" i="12"/>
  <c r="X232" i="12"/>
  <c r="W232" i="12"/>
  <c r="V232" i="12"/>
  <c r="U232" i="12"/>
  <c r="T232" i="12"/>
  <c r="Q232" i="12"/>
  <c r="P232" i="12"/>
  <c r="O232" i="12"/>
  <c r="N232" i="12"/>
  <c r="M232" i="12"/>
  <c r="L232" i="12"/>
  <c r="K232" i="12"/>
  <c r="H232" i="12"/>
  <c r="G232" i="12"/>
  <c r="F232" i="12"/>
  <c r="E232" i="12"/>
  <c r="D232" i="12"/>
  <c r="C232" i="12"/>
  <c r="B232" i="12"/>
  <c r="Z231" i="12"/>
  <c r="Y231" i="12"/>
  <c r="X231" i="12"/>
  <c r="W231" i="12"/>
  <c r="V231" i="12"/>
  <c r="U231" i="12"/>
  <c r="T231" i="12"/>
  <c r="Q231" i="12"/>
  <c r="P231" i="12"/>
  <c r="O231" i="12"/>
  <c r="N231" i="12"/>
  <c r="M231" i="12"/>
  <c r="L231" i="12"/>
  <c r="K231" i="12"/>
  <c r="H231" i="12"/>
  <c r="G231" i="12"/>
  <c r="F231" i="12"/>
  <c r="E231" i="12"/>
  <c r="D231" i="12"/>
  <c r="C231" i="12"/>
  <c r="B231" i="12"/>
  <c r="Z229" i="12"/>
  <c r="Y229" i="12"/>
  <c r="X229" i="12"/>
  <c r="W229" i="12"/>
  <c r="V229" i="12"/>
  <c r="U229" i="12"/>
  <c r="T229" i="12"/>
  <c r="Q229" i="12"/>
  <c r="P229" i="12"/>
  <c r="O229" i="12"/>
  <c r="N229" i="12"/>
  <c r="M229" i="12"/>
  <c r="L229" i="12"/>
  <c r="K229" i="12"/>
  <c r="H229" i="12"/>
  <c r="G229" i="12"/>
  <c r="F229" i="12"/>
  <c r="E229" i="12"/>
  <c r="D229" i="12"/>
  <c r="C229" i="12"/>
  <c r="B229" i="12"/>
  <c r="Z228" i="12"/>
  <c r="Y228" i="12"/>
  <c r="X228" i="12"/>
  <c r="W228" i="12"/>
  <c r="V228" i="12"/>
  <c r="U228" i="12"/>
  <c r="T228" i="12"/>
  <c r="Q228" i="12"/>
  <c r="P228" i="12"/>
  <c r="O228" i="12"/>
  <c r="N228" i="12"/>
  <c r="M228" i="12"/>
  <c r="L228" i="12"/>
  <c r="K228" i="12"/>
  <c r="H228" i="12"/>
  <c r="G228" i="12"/>
  <c r="F228" i="12"/>
  <c r="E228" i="12"/>
  <c r="D228" i="12"/>
  <c r="C228" i="12"/>
  <c r="B228" i="12"/>
  <c r="Z227" i="12"/>
  <c r="Y227" i="12"/>
  <c r="X227" i="12"/>
  <c r="W227" i="12"/>
  <c r="V227" i="12"/>
  <c r="U227" i="12"/>
  <c r="T227" i="12"/>
  <c r="Q227" i="12"/>
  <c r="P227" i="12"/>
  <c r="O227" i="12"/>
  <c r="N227" i="12"/>
  <c r="M227" i="12"/>
  <c r="L227" i="12"/>
  <c r="K227" i="12"/>
  <c r="H227" i="12"/>
  <c r="G227" i="12"/>
  <c r="F227" i="12"/>
  <c r="E227" i="12"/>
  <c r="D227" i="12"/>
  <c r="C227" i="12"/>
  <c r="B227" i="12"/>
  <c r="Z226" i="12"/>
  <c r="Y226" i="12"/>
  <c r="X226" i="12"/>
  <c r="W226" i="12"/>
  <c r="V226" i="12"/>
  <c r="U226" i="12"/>
  <c r="T226" i="12"/>
  <c r="Q226" i="12"/>
  <c r="P226" i="12"/>
  <c r="O226" i="12"/>
  <c r="N226" i="12"/>
  <c r="M226" i="12"/>
  <c r="L226" i="12"/>
  <c r="K226" i="12"/>
  <c r="H226" i="12"/>
  <c r="G226" i="12"/>
  <c r="F226" i="12"/>
  <c r="E226" i="12"/>
  <c r="D226" i="12"/>
  <c r="C226" i="12"/>
  <c r="B226" i="12"/>
  <c r="Z224" i="12"/>
  <c r="Y224" i="12"/>
  <c r="X224" i="12"/>
  <c r="W224" i="12"/>
  <c r="V224" i="12"/>
  <c r="U224" i="12"/>
  <c r="T224" i="12"/>
  <c r="Q224" i="12"/>
  <c r="P224" i="12"/>
  <c r="O224" i="12"/>
  <c r="N224" i="12"/>
  <c r="M224" i="12"/>
  <c r="L224" i="12"/>
  <c r="K224" i="12"/>
  <c r="H224" i="12"/>
  <c r="G224" i="12"/>
  <c r="F224" i="12"/>
  <c r="E224" i="12"/>
  <c r="D224" i="12"/>
  <c r="C224" i="12"/>
  <c r="B224" i="12"/>
  <c r="Z223" i="12"/>
  <c r="Y223" i="12"/>
  <c r="X223" i="12"/>
  <c r="W223" i="12"/>
  <c r="V223" i="12"/>
  <c r="U223" i="12"/>
  <c r="T223" i="12"/>
  <c r="Q223" i="12"/>
  <c r="P223" i="12"/>
  <c r="O223" i="12"/>
  <c r="N223" i="12"/>
  <c r="M223" i="12"/>
  <c r="L223" i="12"/>
  <c r="K223" i="12"/>
  <c r="H223" i="12"/>
  <c r="G223" i="12"/>
  <c r="F223" i="12"/>
  <c r="E223" i="12"/>
  <c r="D223" i="12"/>
  <c r="C223" i="12"/>
  <c r="B223" i="12"/>
  <c r="Z222" i="12"/>
  <c r="Y222" i="12"/>
  <c r="X222" i="12"/>
  <c r="W222" i="12"/>
  <c r="V222" i="12"/>
  <c r="U222" i="12"/>
  <c r="T222" i="12"/>
  <c r="Q222" i="12"/>
  <c r="P222" i="12"/>
  <c r="O222" i="12"/>
  <c r="N222" i="12"/>
  <c r="M222" i="12"/>
  <c r="L222" i="12"/>
  <c r="K222" i="12"/>
  <c r="H222" i="12"/>
  <c r="G222" i="12"/>
  <c r="F222" i="12"/>
  <c r="E222" i="12"/>
  <c r="D222" i="12"/>
  <c r="C222" i="12"/>
  <c r="B222" i="12"/>
  <c r="Z221" i="12"/>
  <c r="Y221" i="12"/>
  <c r="X221" i="12"/>
  <c r="W221" i="12"/>
  <c r="V221" i="12"/>
  <c r="U221" i="12"/>
  <c r="T221" i="12"/>
  <c r="Q221" i="12"/>
  <c r="P221" i="12"/>
  <c r="O221" i="12"/>
  <c r="N221" i="12"/>
  <c r="M221" i="12"/>
  <c r="L221" i="12"/>
  <c r="K221" i="12"/>
  <c r="H221" i="12"/>
  <c r="G221" i="12"/>
  <c r="F221" i="12"/>
  <c r="E221" i="12"/>
  <c r="D221" i="12"/>
  <c r="C221" i="12"/>
  <c r="B221" i="12"/>
  <c r="Z219" i="12"/>
  <c r="Y219" i="12"/>
  <c r="X219" i="12"/>
  <c r="W219" i="12"/>
  <c r="V219" i="12"/>
  <c r="U219" i="12"/>
  <c r="T219" i="12"/>
  <c r="Q219" i="12"/>
  <c r="P219" i="12"/>
  <c r="O219" i="12"/>
  <c r="N219" i="12"/>
  <c r="M219" i="12"/>
  <c r="L219" i="12"/>
  <c r="K219" i="12"/>
  <c r="H219" i="12"/>
  <c r="G219" i="12"/>
  <c r="F219" i="12"/>
  <c r="E219" i="12"/>
  <c r="D219" i="12"/>
  <c r="C219" i="12"/>
  <c r="B219" i="12"/>
  <c r="Z218" i="12"/>
  <c r="Y218" i="12"/>
  <c r="X218" i="12"/>
  <c r="W218" i="12"/>
  <c r="V218" i="12"/>
  <c r="U218" i="12"/>
  <c r="T218" i="12"/>
  <c r="Q218" i="12"/>
  <c r="P218" i="12"/>
  <c r="O218" i="12"/>
  <c r="N218" i="12"/>
  <c r="M218" i="12"/>
  <c r="L218" i="12"/>
  <c r="K218" i="12"/>
  <c r="H218" i="12"/>
  <c r="G218" i="12"/>
  <c r="F218" i="12"/>
  <c r="E218" i="12"/>
  <c r="D218" i="12"/>
  <c r="C218" i="12"/>
  <c r="B218" i="12"/>
  <c r="Z217" i="12"/>
  <c r="Y217" i="12"/>
  <c r="X217" i="12"/>
  <c r="W217" i="12"/>
  <c r="V217" i="12"/>
  <c r="U217" i="12"/>
  <c r="T217" i="12"/>
  <c r="Q217" i="12"/>
  <c r="P217" i="12"/>
  <c r="O217" i="12"/>
  <c r="N217" i="12"/>
  <c r="M217" i="12"/>
  <c r="L217" i="12"/>
  <c r="K217" i="12"/>
  <c r="H217" i="12"/>
  <c r="G217" i="12"/>
  <c r="F217" i="12"/>
  <c r="E217" i="12"/>
  <c r="D217" i="12"/>
  <c r="C217" i="12"/>
  <c r="B217" i="12"/>
  <c r="Z216" i="12"/>
  <c r="Y216" i="12"/>
  <c r="X216" i="12"/>
  <c r="W216" i="12"/>
  <c r="V216" i="12"/>
  <c r="U216" i="12"/>
  <c r="T216" i="12"/>
  <c r="Q216" i="12"/>
  <c r="P216" i="12"/>
  <c r="O216" i="12"/>
  <c r="N216" i="12"/>
  <c r="M216" i="12"/>
  <c r="L216" i="12"/>
  <c r="K216" i="12"/>
  <c r="H216" i="12"/>
  <c r="G216" i="12"/>
  <c r="F216" i="12"/>
  <c r="E216" i="12"/>
  <c r="D216" i="12"/>
  <c r="C216" i="12"/>
  <c r="B216" i="12"/>
  <c r="Z214" i="12"/>
  <c r="Y214" i="12"/>
  <c r="X214" i="12"/>
  <c r="W214" i="12"/>
  <c r="V214" i="12"/>
  <c r="U214" i="12"/>
  <c r="T214" i="12"/>
  <c r="V213" i="12"/>
  <c r="Q214" i="12"/>
  <c r="P214" i="12"/>
  <c r="O214" i="12"/>
  <c r="N214" i="12"/>
  <c r="M214" i="12"/>
  <c r="L214" i="12"/>
  <c r="K214" i="12"/>
  <c r="M213" i="12"/>
  <c r="H214" i="12"/>
  <c r="G214" i="12"/>
  <c r="F214" i="12"/>
  <c r="E214" i="12"/>
  <c r="D214" i="12"/>
  <c r="C214" i="12"/>
  <c r="B214" i="12"/>
  <c r="D213" i="12"/>
  <c r="Y209" i="12"/>
  <c r="W209" i="12"/>
  <c r="E209" i="12"/>
  <c r="AC204" i="12"/>
  <c r="AC203" i="12"/>
  <c r="X209" i="12"/>
  <c r="T209" i="12"/>
  <c r="F209" i="12"/>
  <c r="AC196" i="12"/>
  <c r="Z209" i="12"/>
  <c r="V209" i="12"/>
  <c r="D209" i="12"/>
  <c r="AC163" i="12"/>
  <c r="AC155" i="12"/>
  <c r="AC154" i="12"/>
  <c r="Z146" i="12"/>
  <c r="Y146" i="12"/>
  <c r="X146" i="12"/>
  <c r="W146" i="12"/>
  <c r="V146" i="12"/>
  <c r="U146" i="12"/>
  <c r="T146" i="12"/>
  <c r="V145" i="12"/>
  <c r="Q146" i="12"/>
  <c r="P146" i="12"/>
  <c r="O146" i="12"/>
  <c r="N146" i="12"/>
  <c r="M146" i="12"/>
  <c r="L146" i="12"/>
  <c r="K146" i="12"/>
  <c r="M145" i="12"/>
  <c r="H146" i="12"/>
  <c r="G146" i="12"/>
  <c r="F146" i="12"/>
  <c r="E146" i="12"/>
  <c r="D146" i="12"/>
  <c r="C146" i="12"/>
  <c r="B146" i="12"/>
  <c r="D145" i="12"/>
  <c r="B144" i="12"/>
  <c r="Z139" i="12"/>
  <c r="Y139" i="12"/>
  <c r="X139" i="12"/>
  <c r="W139" i="12"/>
  <c r="V139" i="12"/>
  <c r="U139" i="12"/>
  <c r="T139" i="12"/>
  <c r="Q139" i="12"/>
  <c r="P139" i="12"/>
  <c r="O139" i="12"/>
  <c r="N139" i="12"/>
  <c r="M139" i="12"/>
  <c r="L139" i="12"/>
  <c r="K139" i="12"/>
  <c r="H139" i="12"/>
  <c r="G139" i="12"/>
  <c r="F139" i="12"/>
  <c r="E139" i="12"/>
  <c r="D139" i="12"/>
  <c r="C139" i="12"/>
  <c r="B139" i="12"/>
  <c r="AA138" i="12"/>
  <c r="R138" i="12"/>
  <c r="I138" i="12"/>
  <c r="AA137" i="12"/>
  <c r="R137" i="12"/>
  <c r="I137" i="12"/>
  <c r="AA136" i="12"/>
  <c r="R136" i="12"/>
  <c r="I136" i="12"/>
  <c r="AA135" i="12"/>
  <c r="R135" i="12"/>
  <c r="I135" i="12"/>
  <c r="Z134" i="12"/>
  <c r="Y134" i="12"/>
  <c r="X134" i="12"/>
  <c r="W134" i="12"/>
  <c r="V134" i="12"/>
  <c r="U134" i="12"/>
  <c r="T134" i="12"/>
  <c r="Q134" i="12"/>
  <c r="P134" i="12"/>
  <c r="O134" i="12"/>
  <c r="N134" i="12"/>
  <c r="M134" i="12"/>
  <c r="L134" i="12"/>
  <c r="K134" i="12"/>
  <c r="H134" i="12"/>
  <c r="G134" i="12"/>
  <c r="F134" i="12"/>
  <c r="E134" i="12"/>
  <c r="D134" i="12"/>
  <c r="C134" i="12"/>
  <c r="B134" i="12"/>
  <c r="AA133" i="12"/>
  <c r="R133" i="12"/>
  <c r="I133" i="12"/>
  <c r="AA132" i="12"/>
  <c r="R132" i="12"/>
  <c r="I132" i="12"/>
  <c r="AA131" i="12"/>
  <c r="R131" i="12"/>
  <c r="I131" i="12"/>
  <c r="AA130" i="12"/>
  <c r="R130" i="12"/>
  <c r="I130" i="12"/>
  <c r="Z129" i="12"/>
  <c r="Y129" i="12"/>
  <c r="X129" i="12"/>
  <c r="W129" i="12"/>
  <c r="V129" i="12"/>
  <c r="U129" i="12"/>
  <c r="T129" i="12"/>
  <c r="Q129" i="12"/>
  <c r="P129" i="12"/>
  <c r="O129" i="12"/>
  <c r="N129" i="12"/>
  <c r="M129" i="12"/>
  <c r="L129" i="12"/>
  <c r="K129" i="12"/>
  <c r="H129" i="12"/>
  <c r="G129" i="12"/>
  <c r="F129" i="12"/>
  <c r="E129" i="12"/>
  <c r="D129" i="12"/>
  <c r="C129" i="12"/>
  <c r="B129" i="12"/>
  <c r="AA128" i="12"/>
  <c r="R128" i="12"/>
  <c r="I128" i="12"/>
  <c r="AA127" i="12"/>
  <c r="R127" i="12"/>
  <c r="I127" i="12"/>
  <c r="AA126" i="12"/>
  <c r="R126" i="12"/>
  <c r="I126" i="12"/>
  <c r="AA125" i="12"/>
  <c r="R125" i="12"/>
  <c r="I125" i="12"/>
  <c r="Z124" i="12"/>
  <c r="Y124" i="12"/>
  <c r="X124" i="12"/>
  <c r="W124" i="12"/>
  <c r="V124" i="12"/>
  <c r="U124" i="12"/>
  <c r="T124" i="12"/>
  <c r="Q124" i="12"/>
  <c r="P124" i="12"/>
  <c r="O124" i="12"/>
  <c r="N124" i="12"/>
  <c r="M124" i="12"/>
  <c r="L124" i="12"/>
  <c r="K124" i="12"/>
  <c r="H124" i="12"/>
  <c r="G124" i="12"/>
  <c r="F124" i="12"/>
  <c r="E124" i="12"/>
  <c r="D124" i="12"/>
  <c r="C124" i="12"/>
  <c r="B124" i="12"/>
  <c r="AA123" i="12"/>
  <c r="R123" i="12"/>
  <c r="I123" i="12"/>
  <c r="AA122" i="12"/>
  <c r="R122" i="12"/>
  <c r="I122" i="12"/>
  <c r="AA121" i="12"/>
  <c r="R121" i="12"/>
  <c r="I121" i="12"/>
  <c r="AA120" i="12"/>
  <c r="R120" i="12"/>
  <c r="I120" i="12"/>
  <c r="Z119" i="12"/>
  <c r="Y119" i="12"/>
  <c r="X119" i="12"/>
  <c r="W119" i="12"/>
  <c r="V119" i="12"/>
  <c r="U119" i="12"/>
  <c r="T119" i="12"/>
  <c r="Q119" i="12"/>
  <c r="P119" i="12"/>
  <c r="O119" i="12"/>
  <c r="N119" i="12"/>
  <c r="M119" i="12"/>
  <c r="L119" i="12"/>
  <c r="K119" i="12"/>
  <c r="H119" i="12"/>
  <c r="G119" i="12"/>
  <c r="F119" i="12"/>
  <c r="E119" i="12"/>
  <c r="D119" i="12"/>
  <c r="C119" i="12"/>
  <c r="B119" i="12"/>
  <c r="AA118" i="12"/>
  <c r="R118" i="12"/>
  <c r="I118" i="12"/>
  <c r="AA117" i="12"/>
  <c r="R117" i="12"/>
  <c r="I117" i="12"/>
  <c r="AA116" i="12"/>
  <c r="R116" i="12"/>
  <c r="I116" i="12"/>
  <c r="AA115" i="12"/>
  <c r="R115" i="12"/>
  <c r="I115" i="12"/>
  <c r="Z114" i="12"/>
  <c r="Y114" i="12"/>
  <c r="X114" i="12"/>
  <c r="W114" i="12"/>
  <c r="V114" i="12"/>
  <c r="U114" i="12"/>
  <c r="T114" i="12"/>
  <c r="Q114" i="12"/>
  <c r="P114" i="12"/>
  <c r="O114" i="12"/>
  <c r="N114" i="12"/>
  <c r="M114" i="12"/>
  <c r="L114" i="12"/>
  <c r="K114" i="12"/>
  <c r="H114" i="12"/>
  <c r="G114" i="12"/>
  <c r="F114" i="12"/>
  <c r="E114" i="12"/>
  <c r="D114" i="12"/>
  <c r="C114" i="12"/>
  <c r="B114" i="12"/>
  <c r="AA113" i="12"/>
  <c r="R113" i="12"/>
  <c r="I113" i="12"/>
  <c r="AA112" i="12"/>
  <c r="R112" i="12"/>
  <c r="I112" i="12"/>
  <c r="AA111" i="12"/>
  <c r="R111" i="12"/>
  <c r="I111" i="12"/>
  <c r="AA110" i="12"/>
  <c r="R110" i="12"/>
  <c r="I110" i="12"/>
  <c r="Z109" i="12"/>
  <c r="Y109" i="12"/>
  <c r="X109" i="12"/>
  <c r="W109" i="12"/>
  <c r="V109" i="12"/>
  <c r="U109" i="12"/>
  <c r="T109" i="12"/>
  <c r="Q109" i="12"/>
  <c r="P109" i="12"/>
  <c r="O109" i="12"/>
  <c r="N109" i="12"/>
  <c r="M109" i="12"/>
  <c r="L109" i="12"/>
  <c r="K109" i="12"/>
  <c r="H109" i="12"/>
  <c r="G109" i="12"/>
  <c r="F109" i="12"/>
  <c r="E109" i="12"/>
  <c r="D109" i="12"/>
  <c r="C109" i="12"/>
  <c r="B109" i="12"/>
  <c r="AA108" i="12"/>
  <c r="R108" i="12"/>
  <c r="I108" i="12"/>
  <c r="AA107" i="12"/>
  <c r="R107" i="12"/>
  <c r="I107" i="12"/>
  <c r="AA106" i="12"/>
  <c r="R106" i="12"/>
  <c r="I106" i="12"/>
  <c r="AA105" i="12"/>
  <c r="R105" i="12"/>
  <c r="I105" i="12"/>
  <c r="Z104" i="12"/>
  <c r="Y104" i="12"/>
  <c r="X104" i="12"/>
  <c r="W104" i="12"/>
  <c r="V104" i="12"/>
  <c r="U104" i="12"/>
  <c r="T104" i="12"/>
  <c r="Q104" i="12"/>
  <c r="P104" i="12"/>
  <c r="O104" i="12"/>
  <c r="N104" i="12"/>
  <c r="M104" i="12"/>
  <c r="L104" i="12"/>
  <c r="K104" i="12"/>
  <c r="H104" i="12"/>
  <c r="G104" i="12"/>
  <c r="F104" i="12"/>
  <c r="E104" i="12"/>
  <c r="D104" i="12"/>
  <c r="C104" i="12"/>
  <c r="B104" i="12"/>
  <c r="AA103" i="12"/>
  <c r="R103" i="12"/>
  <c r="I103" i="12"/>
  <c r="AA102" i="12"/>
  <c r="R102" i="12"/>
  <c r="I102" i="12"/>
  <c r="AA101" i="12"/>
  <c r="R101" i="12"/>
  <c r="I101" i="12"/>
  <c r="AA100" i="12"/>
  <c r="R100" i="12"/>
  <c r="I100" i="12"/>
  <c r="Z99" i="12"/>
  <c r="Y99" i="12"/>
  <c r="X99" i="12"/>
  <c r="W99" i="12"/>
  <c r="V99" i="12"/>
  <c r="U99" i="12"/>
  <c r="T99" i="12"/>
  <c r="Q99" i="12"/>
  <c r="P99" i="12"/>
  <c r="O99" i="12"/>
  <c r="N99" i="12"/>
  <c r="M99" i="12"/>
  <c r="L99" i="12"/>
  <c r="K99" i="12"/>
  <c r="H99" i="12"/>
  <c r="G99" i="12"/>
  <c r="F99" i="12"/>
  <c r="E99" i="12"/>
  <c r="D99" i="12"/>
  <c r="C99" i="12"/>
  <c r="B99" i="12"/>
  <c r="AA98" i="12"/>
  <c r="R98" i="12"/>
  <c r="I98" i="12"/>
  <c r="AA97" i="12"/>
  <c r="R97" i="12"/>
  <c r="I97" i="12"/>
  <c r="AA96" i="12"/>
  <c r="R96" i="12"/>
  <c r="I96" i="12"/>
  <c r="AA95" i="12"/>
  <c r="R95" i="12"/>
  <c r="I95" i="12"/>
  <c r="Z94" i="12"/>
  <c r="Y94" i="12"/>
  <c r="X94" i="12"/>
  <c r="W94" i="12"/>
  <c r="V94" i="12"/>
  <c r="U94" i="12"/>
  <c r="T94" i="12"/>
  <c r="Q94" i="12"/>
  <c r="P94" i="12"/>
  <c r="O94" i="12"/>
  <c r="N94" i="12"/>
  <c r="M94" i="12"/>
  <c r="L94" i="12"/>
  <c r="K94" i="12"/>
  <c r="H94" i="12"/>
  <c r="G94" i="12"/>
  <c r="F94" i="12"/>
  <c r="E94" i="12"/>
  <c r="D94" i="12"/>
  <c r="C94" i="12"/>
  <c r="B94" i="12"/>
  <c r="AA93" i="12"/>
  <c r="R93" i="12"/>
  <c r="I93" i="12"/>
  <c r="AA92" i="12"/>
  <c r="R92" i="12"/>
  <c r="I92" i="12"/>
  <c r="AA91" i="12"/>
  <c r="R91" i="12"/>
  <c r="I91" i="12"/>
  <c r="AA90" i="12"/>
  <c r="R90" i="12"/>
  <c r="I90" i="12"/>
  <c r="Z89" i="12"/>
  <c r="Y89" i="12"/>
  <c r="X89" i="12"/>
  <c r="W89" i="12"/>
  <c r="V89" i="12"/>
  <c r="U89" i="12"/>
  <c r="T89" i="12"/>
  <c r="Q89" i="12"/>
  <c r="P89" i="12"/>
  <c r="O89" i="12"/>
  <c r="N89" i="12"/>
  <c r="M89" i="12"/>
  <c r="L89" i="12"/>
  <c r="K89" i="12"/>
  <c r="H89" i="12"/>
  <c r="G89" i="12"/>
  <c r="F89" i="12"/>
  <c r="E89" i="12"/>
  <c r="D89" i="12"/>
  <c r="C89" i="12"/>
  <c r="B89" i="12"/>
  <c r="AA88" i="12"/>
  <c r="R88" i="12"/>
  <c r="I88" i="12"/>
  <c r="AA87" i="12"/>
  <c r="R87" i="12"/>
  <c r="I87" i="12"/>
  <c r="AA86" i="12"/>
  <c r="R86" i="12"/>
  <c r="I86" i="12"/>
  <c r="AA85" i="12"/>
  <c r="R85" i="12"/>
  <c r="I85" i="12"/>
  <c r="Z84" i="12"/>
  <c r="Y84" i="12"/>
  <c r="X84" i="12"/>
  <c r="W84" i="12"/>
  <c r="V84" i="12"/>
  <c r="U84" i="12"/>
  <c r="T84" i="12"/>
  <c r="Q84" i="12"/>
  <c r="P84" i="12"/>
  <c r="O84" i="12"/>
  <c r="N84" i="12"/>
  <c r="M84" i="12"/>
  <c r="L84" i="12"/>
  <c r="K84" i="12"/>
  <c r="H84" i="12"/>
  <c r="G84" i="12"/>
  <c r="F84" i="12"/>
  <c r="E84" i="12"/>
  <c r="D84" i="12"/>
  <c r="C84" i="12"/>
  <c r="B84" i="12"/>
  <c r="AA83" i="12"/>
  <c r="R83" i="12"/>
  <c r="I83" i="12"/>
  <c r="AA82" i="12"/>
  <c r="R82" i="12"/>
  <c r="I82" i="12"/>
  <c r="AA81" i="12"/>
  <c r="R81" i="12"/>
  <c r="I81" i="12"/>
  <c r="AA80" i="12"/>
  <c r="R80" i="12"/>
  <c r="I80" i="12"/>
  <c r="Z78" i="12"/>
  <c r="Y78" i="12"/>
  <c r="X78" i="12"/>
  <c r="W78" i="12"/>
  <c r="V78" i="12"/>
  <c r="U78" i="12"/>
  <c r="T78" i="12"/>
  <c r="V77" i="12"/>
  <c r="Q78" i="12"/>
  <c r="P78" i="12"/>
  <c r="O78" i="12"/>
  <c r="N78" i="12"/>
  <c r="M78" i="12"/>
  <c r="L78" i="12"/>
  <c r="K78" i="12"/>
  <c r="M77" i="12"/>
  <c r="H78" i="12"/>
  <c r="G78" i="12"/>
  <c r="F78" i="12"/>
  <c r="E78" i="12"/>
  <c r="D78" i="12"/>
  <c r="C78" i="12"/>
  <c r="B78" i="12"/>
  <c r="D77" i="12"/>
  <c r="B76" i="12"/>
  <c r="Z71" i="12"/>
  <c r="Y71" i="12"/>
  <c r="X71" i="12"/>
  <c r="W71" i="12"/>
  <c r="V71" i="12"/>
  <c r="U71" i="12"/>
  <c r="T71" i="12"/>
  <c r="Q71" i="12"/>
  <c r="P71" i="12"/>
  <c r="O71" i="12"/>
  <c r="N71" i="12"/>
  <c r="M71" i="12"/>
  <c r="L71" i="12"/>
  <c r="K71" i="12"/>
  <c r="H71" i="12"/>
  <c r="G71" i="12"/>
  <c r="F71" i="12"/>
  <c r="E71" i="12"/>
  <c r="D71" i="12"/>
  <c r="C71" i="12"/>
  <c r="B71" i="12"/>
  <c r="AA70" i="12"/>
  <c r="R70" i="12"/>
  <c r="I70" i="12"/>
  <c r="AA69" i="12"/>
  <c r="R69" i="12"/>
  <c r="I69" i="12"/>
  <c r="AA68" i="12"/>
  <c r="R68" i="12"/>
  <c r="I68" i="12"/>
  <c r="AA67" i="12"/>
  <c r="R67" i="12"/>
  <c r="I67" i="12"/>
  <c r="Z66" i="12"/>
  <c r="Y66" i="12"/>
  <c r="X66" i="12"/>
  <c r="W66" i="12"/>
  <c r="V66" i="12"/>
  <c r="U66" i="12"/>
  <c r="T66" i="12"/>
  <c r="Q66" i="12"/>
  <c r="P66" i="12"/>
  <c r="O66" i="12"/>
  <c r="N66" i="12"/>
  <c r="M66" i="12"/>
  <c r="L66" i="12"/>
  <c r="K66" i="12"/>
  <c r="H66" i="12"/>
  <c r="G66" i="12"/>
  <c r="F66" i="12"/>
  <c r="E66" i="12"/>
  <c r="D66" i="12"/>
  <c r="C66" i="12"/>
  <c r="B66" i="12"/>
  <c r="AA65" i="12"/>
  <c r="R65" i="12"/>
  <c r="I65" i="12"/>
  <c r="AA64" i="12"/>
  <c r="R64" i="12"/>
  <c r="I64" i="12"/>
  <c r="AA63" i="12"/>
  <c r="R63" i="12"/>
  <c r="I63" i="12"/>
  <c r="AA62" i="12"/>
  <c r="R62" i="12"/>
  <c r="I62" i="12"/>
  <c r="Z61" i="12"/>
  <c r="Y61" i="12"/>
  <c r="X61" i="12"/>
  <c r="W61" i="12"/>
  <c r="V61" i="12"/>
  <c r="U61" i="12"/>
  <c r="T61" i="12"/>
  <c r="Q61" i="12"/>
  <c r="P61" i="12"/>
  <c r="O61" i="12"/>
  <c r="N61" i="12"/>
  <c r="M61" i="12"/>
  <c r="L61" i="12"/>
  <c r="K61" i="12"/>
  <c r="H61" i="12"/>
  <c r="G61" i="12"/>
  <c r="F61" i="12"/>
  <c r="E61" i="12"/>
  <c r="D61" i="12"/>
  <c r="C61" i="12"/>
  <c r="B61" i="12"/>
  <c r="AA60" i="12"/>
  <c r="R60" i="12"/>
  <c r="I60" i="12"/>
  <c r="AA59" i="12"/>
  <c r="R59" i="12"/>
  <c r="I59" i="12"/>
  <c r="AA58" i="12"/>
  <c r="R58" i="12"/>
  <c r="I58" i="12"/>
  <c r="AA57" i="12"/>
  <c r="R57" i="12"/>
  <c r="I57" i="12"/>
  <c r="Z56" i="12"/>
  <c r="Y56" i="12"/>
  <c r="X56" i="12"/>
  <c r="W56" i="12"/>
  <c r="V56" i="12"/>
  <c r="U56" i="12"/>
  <c r="T56" i="12"/>
  <c r="Q56" i="12"/>
  <c r="P56" i="12"/>
  <c r="O56" i="12"/>
  <c r="N56" i="12"/>
  <c r="M56" i="12"/>
  <c r="L56" i="12"/>
  <c r="K56" i="12"/>
  <c r="H56" i="12"/>
  <c r="G56" i="12"/>
  <c r="F56" i="12"/>
  <c r="E56" i="12"/>
  <c r="D56" i="12"/>
  <c r="C56" i="12"/>
  <c r="B56" i="12"/>
  <c r="AA55" i="12"/>
  <c r="R55" i="12"/>
  <c r="I55" i="12"/>
  <c r="AA54" i="12"/>
  <c r="R54" i="12"/>
  <c r="I54" i="12"/>
  <c r="AA53" i="12"/>
  <c r="R53" i="12"/>
  <c r="I53" i="12"/>
  <c r="AA52" i="12"/>
  <c r="R52" i="12"/>
  <c r="I52" i="12"/>
  <c r="Z51" i="12"/>
  <c r="Y51" i="12"/>
  <c r="X51" i="12"/>
  <c r="W51" i="12"/>
  <c r="V51" i="12"/>
  <c r="U51" i="12"/>
  <c r="T51" i="12"/>
  <c r="Q51" i="12"/>
  <c r="P51" i="12"/>
  <c r="O51" i="12"/>
  <c r="N51" i="12"/>
  <c r="M51" i="12"/>
  <c r="L51" i="12"/>
  <c r="K51" i="12"/>
  <c r="H51" i="12"/>
  <c r="G51" i="12"/>
  <c r="F51" i="12"/>
  <c r="E51" i="12"/>
  <c r="D51" i="12"/>
  <c r="C51" i="12"/>
  <c r="B51" i="12"/>
  <c r="AA50" i="12"/>
  <c r="R50" i="12"/>
  <c r="I50" i="12"/>
  <c r="AA49" i="12"/>
  <c r="R49" i="12"/>
  <c r="I49" i="12"/>
  <c r="AA48" i="12"/>
  <c r="R48" i="12"/>
  <c r="I48" i="12"/>
  <c r="AA47" i="12"/>
  <c r="R47" i="12"/>
  <c r="I47" i="12"/>
  <c r="Z46" i="12"/>
  <c r="Y46" i="12"/>
  <c r="X46" i="12"/>
  <c r="W46" i="12"/>
  <c r="V46" i="12"/>
  <c r="U46" i="12"/>
  <c r="T46" i="12"/>
  <c r="Q46" i="12"/>
  <c r="P46" i="12"/>
  <c r="O46" i="12"/>
  <c r="N46" i="12"/>
  <c r="M46" i="12"/>
  <c r="L46" i="12"/>
  <c r="K46" i="12"/>
  <c r="H46" i="12"/>
  <c r="G46" i="12"/>
  <c r="F46" i="12"/>
  <c r="E46" i="12"/>
  <c r="D46" i="12"/>
  <c r="C46" i="12"/>
  <c r="B46" i="12"/>
  <c r="AA45" i="12"/>
  <c r="R45" i="12"/>
  <c r="I45" i="12"/>
  <c r="AA44" i="12"/>
  <c r="R44" i="12"/>
  <c r="I44" i="12"/>
  <c r="AA43" i="12"/>
  <c r="R43" i="12"/>
  <c r="I43" i="12"/>
  <c r="AA42" i="12"/>
  <c r="R42" i="12"/>
  <c r="I42" i="12"/>
  <c r="Z41" i="12"/>
  <c r="Y41" i="12"/>
  <c r="X41" i="12"/>
  <c r="W41" i="12"/>
  <c r="V41" i="12"/>
  <c r="U41" i="12"/>
  <c r="T41" i="12"/>
  <c r="Q41" i="12"/>
  <c r="P41" i="12"/>
  <c r="O41" i="12"/>
  <c r="N41" i="12"/>
  <c r="M41" i="12"/>
  <c r="L41" i="12"/>
  <c r="K41" i="12"/>
  <c r="H41" i="12"/>
  <c r="G41" i="12"/>
  <c r="F41" i="12"/>
  <c r="E41" i="12"/>
  <c r="D41" i="12"/>
  <c r="C41" i="12"/>
  <c r="B41" i="12"/>
  <c r="AA40" i="12"/>
  <c r="R40" i="12"/>
  <c r="I40" i="12"/>
  <c r="AA39" i="12"/>
  <c r="R39" i="12"/>
  <c r="I39" i="12"/>
  <c r="AA38" i="12"/>
  <c r="R38" i="12"/>
  <c r="I38" i="12"/>
  <c r="AA37" i="12"/>
  <c r="R37" i="12"/>
  <c r="I37" i="12"/>
  <c r="Z36" i="12"/>
  <c r="Y36" i="12"/>
  <c r="X36" i="12"/>
  <c r="W36" i="12"/>
  <c r="V36" i="12"/>
  <c r="U36" i="12"/>
  <c r="T36" i="12"/>
  <c r="Q36" i="12"/>
  <c r="P36" i="12"/>
  <c r="O36" i="12"/>
  <c r="N36" i="12"/>
  <c r="M36" i="12"/>
  <c r="L36" i="12"/>
  <c r="K36" i="12"/>
  <c r="H36" i="12"/>
  <c r="G36" i="12"/>
  <c r="F36" i="12"/>
  <c r="E36" i="12"/>
  <c r="D36" i="12"/>
  <c r="C36" i="12"/>
  <c r="B36" i="12"/>
  <c r="AA35" i="12"/>
  <c r="R35" i="12"/>
  <c r="I35" i="12"/>
  <c r="AA34" i="12"/>
  <c r="R34" i="12"/>
  <c r="I34" i="12"/>
  <c r="AA33" i="12"/>
  <c r="R33" i="12"/>
  <c r="I33" i="12"/>
  <c r="AA32" i="12"/>
  <c r="R32" i="12"/>
  <c r="I32" i="12"/>
  <c r="Z31" i="12"/>
  <c r="Y31" i="12"/>
  <c r="X31" i="12"/>
  <c r="W31" i="12"/>
  <c r="V31" i="12"/>
  <c r="U31" i="12"/>
  <c r="T31" i="12"/>
  <c r="Q31" i="12"/>
  <c r="P31" i="12"/>
  <c r="O31" i="12"/>
  <c r="N31" i="12"/>
  <c r="M31" i="12"/>
  <c r="L31" i="12"/>
  <c r="K31" i="12"/>
  <c r="H31" i="12"/>
  <c r="G31" i="12"/>
  <c r="F31" i="12"/>
  <c r="E31" i="12"/>
  <c r="D31" i="12"/>
  <c r="C31" i="12"/>
  <c r="B31" i="12"/>
  <c r="AA30" i="12"/>
  <c r="R30" i="12"/>
  <c r="I30" i="12"/>
  <c r="AA29" i="12"/>
  <c r="R29" i="12"/>
  <c r="I29" i="12"/>
  <c r="AA28" i="12"/>
  <c r="R28" i="12"/>
  <c r="I28" i="12"/>
  <c r="AA27" i="12"/>
  <c r="R27" i="12"/>
  <c r="I27" i="12"/>
  <c r="Z26" i="12"/>
  <c r="Y26" i="12"/>
  <c r="X26" i="12"/>
  <c r="W26" i="12"/>
  <c r="V26" i="12"/>
  <c r="U26" i="12"/>
  <c r="T26" i="12"/>
  <c r="Q26" i="12"/>
  <c r="P26" i="12"/>
  <c r="O26" i="12"/>
  <c r="N26" i="12"/>
  <c r="M26" i="12"/>
  <c r="L26" i="12"/>
  <c r="K26" i="12"/>
  <c r="H26" i="12"/>
  <c r="G26" i="12"/>
  <c r="F26" i="12"/>
  <c r="E26" i="12"/>
  <c r="D26" i="12"/>
  <c r="C26" i="12"/>
  <c r="B26" i="12"/>
  <c r="AA25" i="12"/>
  <c r="R25" i="12"/>
  <c r="I25" i="12"/>
  <c r="AA24" i="12"/>
  <c r="R24" i="12"/>
  <c r="I24" i="12"/>
  <c r="AA23" i="12"/>
  <c r="R23" i="12"/>
  <c r="I23" i="12"/>
  <c r="AA22" i="12"/>
  <c r="R22" i="12"/>
  <c r="I22" i="12"/>
  <c r="Z21" i="12"/>
  <c r="Y21" i="12"/>
  <c r="X21" i="12"/>
  <c r="W21" i="12"/>
  <c r="V21" i="12"/>
  <c r="U21" i="12"/>
  <c r="T21" i="12"/>
  <c r="Q21" i="12"/>
  <c r="P21" i="12"/>
  <c r="O21" i="12"/>
  <c r="N21" i="12"/>
  <c r="M21" i="12"/>
  <c r="L21" i="12"/>
  <c r="K21" i="12"/>
  <c r="H21" i="12"/>
  <c r="G21" i="12"/>
  <c r="F21" i="12"/>
  <c r="E21" i="12"/>
  <c r="D21" i="12"/>
  <c r="C21" i="12"/>
  <c r="B21" i="12"/>
  <c r="AA20" i="12"/>
  <c r="R20" i="12"/>
  <c r="I20" i="12"/>
  <c r="AA19" i="12"/>
  <c r="R19" i="12"/>
  <c r="I19" i="12"/>
  <c r="AA18" i="12"/>
  <c r="R18" i="12"/>
  <c r="I18" i="12"/>
  <c r="AA17" i="12"/>
  <c r="R17" i="12"/>
  <c r="I17" i="12"/>
  <c r="Z16" i="12"/>
  <c r="Y16" i="12"/>
  <c r="X16" i="12"/>
  <c r="W16" i="12"/>
  <c r="V16" i="12"/>
  <c r="U16" i="12"/>
  <c r="T16" i="12"/>
  <c r="Q16" i="12"/>
  <c r="P16" i="12"/>
  <c r="O16" i="12"/>
  <c r="N16" i="12"/>
  <c r="M16" i="12"/>
  <c r="L16" i="12"/>
  <c r="K16" i="12"/>
  <c r="H16" i="12"/>
  <c r="G16" i="12"/>
  <c r="F16" i="12"/>
  <c r="E16" i="12"/>
  <c r="D16" i="12"/>
  <c r="C16" i="12"/>
  <c r="B16" i="12"/>
  <c r="AA15" i="12"/>
  <c r="R15" i="12"/>
  <c r="I15" i="12"/>
  <c r="AA14" i="12"/>
  <c r="R14" i="12"/>
  <c r="I14" i="12"/>
  <c r="AA13" i="12"/>
  <c r="R13" i="12"/>
  <c r="I13" i="12"/>
  <c r="AA12" i="12"/>
  <c r="R12" i="12"/>
  <c r="I12" i="12"/>
  <c r="Z10" i="12"/>
  <c r="Y10" i="12"/>
  <c r="X10" i="12"/>
  <c r="W10" i="12"/>
  <c r="V10" i="12"/>
  <c r="U10" i="12"/>
  <c r="T10" i="12"/>
  <c r="Q10" i="12"/>
  <c r="P10" i="12"/>
  <c r="O10" i="12"/>
  <c r="N10" i="12"/>
  <c r="M10" i="12"/>
  <c r="L10" i="12"/>
  <c r="K10" i="12"/>
  <c r="B8" i="12"/>
  <c r="N5" i="12"/>
  <c r="N3" i="12"/>
  <c r="N2" i="12"/>
  <c r="I5" i="11"/>
  <c r="C5" i="11"/>
  <c r="I4" i="11"/>
  <c r="C4" i="11"/>
  <c r="D245" i="12" l="1"/>
  <c r="H245" i="12"/>
  <c r="H250" i="12"/>
  <c r="N250" i="12"/>
  <c r="D255" i="12"/>
  <c r="H255" i="12"/>
  <c r="N255" i="12"/>
  <c r="T255" i="12"/>
  <c r="X255" i="12"/>
  <c r="D260" i="12"/>
  <c r="H260" i="12"/>
  <c r="N260" i="12"/>
  <c r="D265" i="12"/>
  <c r="H265" i="12"/>
  <c r="N265" i="12"/>
  <c r="T265" i="12"/>
  <c r="X265" i="12"/>
  <c r="D270" i="12"/>
  <c r="H270" i="12"/>
  <c r="N270" i="12"/>
  <c r="T270" i="12"/>
  <c r="R269" i="12"/>
  <c r="D275" i="12"/>
  <c r="H275" i="12"/>
  <c r="H277" i="12" s="1"/>
  <c r="N275" i="12"/>
  <c r="T275" i="12"/>
  <c r="D288" i="12"/>
  <c r="H288" i="12"/>
  <c r="N288" i="12"/>
  <c r="D293" i="12"/>
  <c r="H293" i="12"/>
  <c r="D298" i="12"/>
  <c r="H298" i="12"/>
  <c r="D303" i="12"/>
  <c r="H303" i="12"/>
  <c r="D308" i="12"/>
  <c r="H308" i="12"/>
  <c r="X308" i="12"/>
  <c r="D313" i="12"/>
  <c r="H313" i="12"/>
  <c r="D318" i="12"/>
  <c r="H318" i="12"/>
  <c r="N318" i="12"/>
  <c r="D323" i="12"/>
  <c r="H323" i="12"/>
  <c r="D328" i="12"/>
  <c r="H328" i="12"/>
  <c r="D333" i="12"/>
  <c r="H333" i="12"/>
  <c r="D338" i="12"/>
  <c r="D343" i="12"/>
  <c r="D345" i="12" s="1"/>
  <c r="H343" i="12"/>
  <c r="T343" i="12"/>
  <c r="X343" i="12"/>
  <c r="R129" i="12"/>
  <c r="C220" i="12"/>
  <c r="M220" i="12"/>
  <c r="Q220" i="12"/>
  <c r="C225" i="12"/>
  <c r="G225" i="12"/>
  <c r="M225" i="12"/>
  <c r="Q225" i="12"/>
  <c r="C230" i="12"/>
  <c r="G230" i="12"/>
  <c r="M230" i="12"/>
  <c r="Q230" i="12"/>
  <c r="M235" i="12"/>
  <c r="Q235" i="12"/>
  <c r="G240" i="12"/>
  <c r="M240" i="12"/>
  <c r="Q240" i="12"/>
  <c r="M245" i="12"/>
  <c r="Q245" i="12"/>
  <c r="G250" i="12"/>
  <c r="L220" i="12"/>
  <c r="P220" i="12"/>
  <c r="B225" i="12"/>
  <c r="P225" i="12"/>
  <c r="B230" i="12"/>
  <c r="L230" i="12"/>
  <c r="P230" i="12"/>
  <c r="F235" i="12"/>
  <c r="P235" i="12"/>
  <c r="P240" i="12"/>
  <c r="B250" i="12"/>
  <c r="L250" i="12"/>
  <c r="P250" i="12"/>
  <c r="F255" i="12"/>
  <c r="I51" i="12"/>
  <c r="R109" i="12"/>
  <c r="AC122" i="12"/>
  <c r="AC136" i="12"/>
  <c r="R114" i="12"/>
  <c r="R134" i="12"/>
  <c r="M250" i="12"/>
  <c r="Q250" i="12"/>
  <c r="M255" i="12"/>
  <c r="Q255" i="12"/>
  <c r="R253" i="12"/>
  <c r="G260" i="12"/>
  <c r="M260" i="12"/>
  <c r="C265" i="12"/>
  <c r="M265" i="12"/>
  <c r="Q265" i="12"/>
  <c r="G270" i="12"/>
  <c r="M270" i="12"/>
  <c r="Q270" i="12"/>
  <c r="M275" i="12"/>
  <c r="Q275" i="12"/>
  <c r="R227" i="12"/>
  <c r="P255" i="12"/>
  <c r="V255" i="12"/>
  <c r="I254" i="12"/>
  <c r="F260" i="12"/>
  <c r="F265" i="12"/>
  <c r="P265" i="12"/>
  <c r="B270" i="12"/>
  <c r="F270" i="12"/>
  <c r="L270" i="12"/>
  <c r="P270" i="12"/>
  <c r="B275" i="12"/>
  <c r="L275" i="12"/>
  <c r="F288" i="12"/>
  <c r="F293" i="12"/>
  <c r="F298" i="12"/>
  <c r="I297" i="12"/>
  <c r="F303" i="12"/>
  <c r="F308" i="12"/>
  <c r="F313" i="12"/>
  <c r="F318" i="12"/>
  <c r="F323" i="12"/>
  <c r="F328" i="12"/>
  <c r="F333" i="12"/>
  <c r="B343" i="12"/>
  <c r="F343" i="12"/>
  <c r="P343" i="12"/>
  <c r="I26" i="12"/>
  <c r="I31" i="12"/>
  <c r="AC30" i="12"/>
  <c r="I66" i="12"/>
  <c r="I71" i="12"/>
  <c r="AC91" i="12"/>
  <c r="AC115" i="12"/>
  <c r="AA139" i="12"/>
  <c r="R139" i="12"/>
  <c r="I21" i="12"/>
  <c r="I41" i="12"/>
  <c r="I61" i="12"/>
  <c r="R94" i="12"/>
  <c r="R99" i="12"/>
  <c r="R119" i="12"/>
  <c r="AC116" i="12"/>
  <c r="AC118" i="12"/>
  <c r="I16" i="12"/>
  <c r="I56" i="12"/>
  <c r="AC69" i="12"/>
  <c r="R84" i="12"/>
  <c r="AC86" i="12"/>
  <c r="E141" i="12"/>
  <c r="F73" i="12"/>
  <c r="E73" i="12"/>
  <c r="N73" i="12"/>
  <c r="AA119" i="12"/>
  <c r="F141" i="12"/>
  <c r="N141" i="12"/>
  <c r="W141" i="12"/>
  <c r="R272" i="12"/>
  <c r="I36" i="12"/>
  <c r="D73" i="12"/>
  <c r="H73" i="12"/>
  <c r="O73" i="12"/>
  <c r="AC88" i="12"/>
  <c r="AC98" i="12"/>
  <c r="R104" i="12"/>
  <c r="R124" i="12"/>
  <c r="M141" i="12"/>
  <c r="Q141" i="12"/>
  <c r="K141" i="12"/>
  <c r="O141" i="12"/>
  <c r="X141" i="12"/>
  <c r="AC138" i="12"/>
  <c r="E220" i="12"/>
  <c r="O220" i="12"/>
  <c r="O225" i="12"/>
  <c r="O230" i="12"/>
  <c r="O235" i="12"/>
  <c r="O240" i="12"/>
  <c r="E245" i="12"/>
  <c r="O245" i="12"/>
  <c r="E250" i="12"/>
  <c r="O250" i="12"/>
  <c r="O255" i="12"/>
  <c r="E260" i="12"/>
  <c r="O260" i="12"/>
  <c r="O265" i="12"/>
  <c r="O270" i="12"/>
  <c r="O277" i="12" s="1"/>
  <c r="E275" i="12"/>
  <c r="O275" i="12"/>
  <c r="I46" i="12"/>
  <c r="AC50" i="12"/>
  <c r="Q73" i="12"/>
  <c r="AC68" i="12"/>
  <c r="G73" i="12"/>
  <c r="P73" i="12"/>
  <c r="R89" i="12"/>
  <c r="I94" i="12"/>
  <c r="AC135" i="12"/>
  <c r="L141" i="12"/>
  <c r="P141" i="12"/>
  <c r="D220" i="12"/>
  <c r="H220" i="12"/>
  <c r="N220" i="12"/>
  <c r="R219" i="12"/>
  <c r="D225" i="12"/>
  <c r="H225" i="12"/>
  <c r="N225" i="12"/>
  <c r="I223" i="12"/>
  <c r="D230" i="12"/>
  <c r="H230" i="12"/>
  <c r="N230" i="12"/>
  <c r="R229" i="12"/>
  <c r="D235" i="12"/>
  <c r="H235" i="12"/>
  <c r="N235" i="12"/>
  <c r="D240" i="12"/>
  <c r="N240" i="12"/>
  <c r="R239" i="12"/>
  <c r="N245" i="12"/>
  <c r="I243" i="12"/>
  <c r="R249" i="12"/>
  <c r="G275" i="12"/>
  <c r="P275" i="12"/>
  <c r="R274" i="12"/>
  <c r="G328" i="12"/>
  <c r="AC70" i="12"/>
  <c r="R71" i="12"/>
  <c r="AC67" i="12"/>
  <c r="R66" i="12"/>
  <c r="I264" i="12"/>
  <c r="B265" i="12"/>
  <c r="R61" i="12"/>
  <c r="R56" i="12"/>
  <c r="R51" i="12"/>
  <c r="B255" i="12"/>
  <c r="AC49" i="12"/>
  <c r="AC48" i="12"/>
  <c r="R46" i="12"/>
  <c r="I244" i="12"/>
  <c r="R41" i="12"/>
  <c r="M73" i="12"/>
  <c r="R36" i="12"/>
  <c r="AC29" i="12"/>
  <c r="R31" i="12"/>
  <c r="AC28" i="12"/>
  <c r="B235" i="12"/>
  <c r="R26" i="12"/>
  <c r="R21" i="12"/>
  <c r="L73" i="12"/>
  <c r="B220" i="12"/>
  <c r="K73" i="12"/>
  <c r="R16" i="12"/>
  <c r="C250" i="12"/>
  <c r="C73" i="12"/>
  <c r="B73" i="12"/>
  <c r="F275" i="12"/>
  <c r="I273" i="12"/>
  <c r="C275" i="12"/>
  <c r="C277" i="12" s="1"/>
  <c r="I274" i="12"/>
  <c r="AA71" i="12"/>
  <c r="AA342" i="12"/>
  <c r="E270" i="12"/>
  <c r="C270" i="12"/>
  <c r="I269" i="12"/>
  <c r="I268" i="12"/>
  <c r="I267" i="12"/>
  <c r="AC65" i="12"/>
  <c r="AC64" i="12"/>
  <c r="AC63" i="12"/>
  <c r="AA66" i="12"/>
  <c r="I263" i="12"/>
  <c r="AC59" i="12"/>
  <c r="G265" i="12"/>
  <c r="E265" i="12"/>
  <c r="I262" i="12"/>
  <c r="AC60" i="12"/>
  <c r="AC58" i="12"/>
  <c r="AA61" i="12"/>
  <c r="I257" i="12"/>
  <c r="C260" i="12"/>
  <c r="I259" i="12"/>
  <c r="AC54" i="12"/>
  <c r="AC55" i="12"/>
  <c r="B260" i="12"/>
  <c r="I258" i="12"/>
  <c r="AA56" i="12"/>
  <c r="AC53" i="12"/>
  <c r="I253" i="12"/>
  <c r="G255" i="12"/>
  <c r="I252" i="12"/>
  <c r="E255" i="12"/>
  <c r="C255" i="12"/>
  <c r="AA51" i="12"/>
  <c r="AC47" i="12"/>
  <c r="F250" i="12"/>
  <c r="X318" i="12"/>
  <c r="I249" i="12"/>
  <c r="D250" i="12"/>
  <c r="AC45" i="12"/>
  <c r="I248" i="12"/>
  <c r="I247" i="12"/>
  <c r="AC44" i="12"/>
  <c r="AC43" i="12"/>
  <c r="AA46" i="12"/>
  <c r="G245" i="12"/>
  <c r="F245" i="12"/>
  <c r="X313" i="12"/>
  <c r="C245" i="12"/>
  <c r="AC40" i="12"/>
  <c r="AC39" i="12"/>
  <c r="AA41" i="12"/>
  <c r="B245" i="12"/>
  <c r="AC38" i="12"/>
  <c r="I242" i="12"/>
  <c r="T313" i="12"/>
  <c r="H240" i="12"/>
  <c r="F240" i="12"/>
  <c r="E240" i="12"/>
  <c r="I239" i="12"/>
  <c r="AC34" i="12"/>
  <c r="C240" i="12"/>
  <c r="I237" i="12"/>
  <c r="AC35" i="12"/>
  <c r="B240" i="12"/>
  <c r="I238" i="12"/>
  <c r="AC33" i="12"/>
  <c r="AA36" i="12"/>
  <c r="I233" i="12"/>
  <c r="G235" i="12"/>
  <c r="I234" i="12"/>
  <c r="X303" i="12"/>
  <c r="E235" i="12"/>
  <c r="C235" i="12"/>
  <c r="I232" i="12"/>
  <c r="AA31" i="12"/>
  <c r="AC27" i="12"/>
  <c r="F230" i="12"/>
  <c r="X298" i="12"/>
  <c r="I227" i="12"/>
  <c r="E230" i="12"/>
  <c r="I229" i="12"/>
  <c r="I228" i="12"/>
  <c r="AC23" i="12"/>
  <c r="AC25" i="12"/>
  <c r="AA297" i="12"/>
  <c r="AC24" i="12"/>
  <c r="AA26" i="12"/>
  <c r="I224" i="12"/>
  <c r="F225" i="12"/>
  <c r="X293" i="12"/>
  <c r="E225" i="12"/>
  <c r="W73" i="12"/>
  <c r="AC19" i="12"/>
  <c r="AC20" i="12"/>
  <c r="AC18" i="12"/>
  <c r="AA21" i="12"/>
  <c r="I222" i="12"/>
  <c r="T293" i="12"/>
  <c r="I217" i="12"/>
  <c r="Z73" i="12"/>
  <c r="G220" i="12"/>
  <c r="I219" i="12"/>
  <c r="Y73" i="12"/>
  <c r="X288" i="12"/>
  <c r="F220" i="12"/>
  <c r="X73" i="12"/>
  <c r="V73" i="12"/>
  <c r="AC14" i="12"/>
  <c r="U73" i="12"/>
  <c r="AC15" i="12"/>
  <c r="I218" i="12"/>
  <c r="T288" i="12"/>
  <c r="AC13" i="12"/>
  <c r="AA16" i="12"/>
  <c r="T73" i="12"/>
  <c r="AC137" i="12"/>
  <c r="I139" i="12"/>
  <c r="R267" i="12"/>
  <c r="I134" i="12"/>
  <c r="I129" i="12"/>
  <c r="I331" i="12"/>
  <c r="L265" i="12"/>
  <c r="R262" i="12"/>
  <c r="AC126" i="12"/>
  <c r="I330" i="12"/>
  <c r="P260" i="12"/>
  <c r="G141" i="12"/>
  <c r="I124" i="12"/>
  <c r="I119" i="12"/>
  <c r="R254" i="12"/>
  <c r="AC117" i="12"/>
  <c r="AC119" i="12" s="1"/>
  <c r="I114" i="12"/>
  <c r="R243" i="12"/>
  <c r="I109" i="12"/>
  <c r="R244" i="12"/>
  <c r="AC108" i="12"/>
  <c r="AC107" i="12"/>
  <c r="AC106" i="12"/>
  <c r="D141" i="12"/>
  <c r="L240" i="12"/>
  <c r="I104" i="12"/>
  <c r="I99" i="12"/>
  <c r="AC96" i="12"/>
  <c r="AC95" i="12"/>
  <c r="R224" i="12"/>
  <c r="H141" i="12"/>
  <c r="I89" i="12"/>
  <c r="I291" i="12"/>
  <c r="I84" i="12"/>
  <c r="R217" i="12"/>
  <c r="C141" i="12"/>
  <c r="R218" i="12"/>
  <c r="I285" i="12"/>
  <c r="B141" i="12"/>
  <c r="R273" i="12"/>
  <c r="K275" i="12"/>
  <c r="AC131" i="12"/>
  <c r="AC133" i="12"/>
  <c r="AC132" i="12"/>
  <c r="R268" i="12"/>
  <c r="AA134" i="12"/>
  <c r="K270" i="12"/>
  <c r="R263" i="12"/>
  <c r="AC127" i="12"/>
  <c r="R264" i="12"/>
  <c r="K265" i="12"/>
  <c r="AA129" i="12"/>
  <c r="AC128" i="12"/>
  <c r="Q260" i="12"/>
  <c r="R257" i="12"/>
  <c r="L260" i="12"/>
  <c r="R259" i="12"/>
  <c r="AC123" i="12"/>
  <c r="R258" i="12"/>
  <c r="AC121" i="12"/>
  <c r="AA124" i="12"/>
  <c r="K260" i="12"/>
  <c r="L255" i="12"/>
  <c r="K255" i="12"/>
  <c r="T323" i="12"/>
  <c r="R252" i="12"/>
  <c r="R247" i="12"/>
  <c r="AC113" i="12"/>
  <c r="R248" i="12"/>
  <c r="AC112" i="12"/>
  <c r="T318" i="12"/>
  <c r="AC111" i="12"/>
  <c r="K250" i="12"/>
  <c r="AA114" i="12"/>
  <c r="Y141" i="12"/>
  <c r="P245" i="12"/>
  <c r="AA109" i="12"/>
  <c r="L245" i="12"/>
  <c r="R242" i="12"/>
  <c r="K245" i="12"/>
  <c r="AC102" i="12"/>
  <c r="V141" i="12"/>
  <c r="R237" i="12"/>
  <c r="AC103" i="12"/>
  <c r="R238" i="12"/>
  <c r="T308" i="12"/>
  <c r="AC101" i="12"/>
  <c r="K240" i="12"/>
  <c r="AA104" i="12"/>
  <c r="R233" i="12"/>
  <c r="L235" i="12"/>
  <c r="AA99" i="12"/>
  <c r="R232" i="12"/>
  <c r="R234" i="12"/>
  <c r="AC97" i="12"/>
  <c r="K235" i="12"/>
  <c r="T303" i="12"/>
  <c r="AC93" i="12"/>
  <c r="AC92" i="12"/>
  <c r="R228" i="12"/>
  <c r="T298" i="12"/>
  <c r="AA94" i="12"/>
  <c r="K230" i="12"/>
  <c r="R223" i="12"/>
  <c r="L225" i="12"/>
  <c r="AC87" i="12"/>
  <c r="AA89" i="12"/>
  <c r="R222" i="12"/>
  <c r="K225" i="12"/>
  <c r="AA84" i="12"/>
  <c r="AC82" i="12"/>
  <c r="Z141" i="12"/>
  <c r="U141" i="12"/>
  <c r="AC83" i="12"/>
  <c r="AC81" i="12"/>
  <c r="K220" i="12"/>
  <c r="T141" i="12"/>
  <c r="V225" i="12"/>
  <c r="Z235" i="12"/>
  <c r="U288" i="12"/>
  <c r="Y288" i="12"/>
  <c r="AA289" i="12"/>
  <c r="Y293" i="12"/>
  <c r="AA290" i="12"/>
  <c r="U298" i="12"/>
  <c r="Y298" i="12"/>
  <c r="AA295" i="12"/>
  <c r="U303" i="12"/>
  <c r="Y303" i="12"/>
  <c r="Y308" i="12"/>
  <c r="AA309" i="12"/>
  <c r="Y313" i="12"/>
  <c r="AA310" i="12"/>
  <c r="U318" i="12"/>
  <c r="Y318" i="12"/>
  <c r="AA315" i="12"/>
  <c r="AA316" i="12"/>
  <c r="U323" i="12"/>
  <c r="Y323" i="12"/>
  <c r="U328" i="12"/>
  <c r="U333" i="12"/>
  <c r="Y333" i="12"/>
  <c r="U338" i="12"/>
  <c r="Y338" i="12"/>
  <c r="AA335" i="12"/>
  <c r="U343" i="12"/>
  <c r="Y343" i="12"/>
  <c r="T225" i="12"/>
  <c r="T230" i="12"/>
  <c r="X230" i="12"/>
  <c r="T235" i="12"/>
  <c r="T245" i="12"/>
  <c r="X245" i="12"/>
  <c r="T250" i="12"/>
  <c r="X250" i="12"/>
  <c r="Q313" i="12"/>
  <c r="M343" i="12"/>
  <c r="W255" i="12"/>
  <c r="W260" i="12"/>
  <c r="C288" i="12"/>
  <c r="G288" i="12"/>
  <c r="G293" i="12"/>
  <c r="I290" i="12"/>
  <c r="C298" i="12"/>
  <c r="G298" i="12"/>
  <c r="I295" i="12"/>
  <c r="I296" i="12"/>
  <c r="G303" i="12"/>
  <c r="G308" i="12"/>
  <c r="G313" i="12"/>
  <c r="G318" i="12"/>
  <c r="I315" i="12"/>
  <c r="G338" i="12"/>
  <c r="C343" i="12"/>
  <c r="G343" i="12"/>
  <c r="U225" i="12"/>
  <c r="Y235" i="12"/>
  <c r="Y240" i="12"/>
  <c r="E288" i="12"/>
  <c r="I287" i="12"/>
  <c r="E293" i="12"/>
  <c r="E298" i="12"/>
  <c r="E303" i="12"/>
  <c r="E308" i="12"/>
  <c r="I307" i="12"/>
  <c r="E313" i="12"/>
  <c r="E318" i="12"/>
  <c r="E323" i="12"/>
  <c r="E328" i="12"/>
  <c r="I327" i="12"/>
  <c r="E333" i="12"/>
  <c r="E338" i="12"/>
  <c r="I337" i="12"/>
  <c r="E343" i="12"/>
  <c r="W265" i="12"/>
  <c r="W270" i="12"/>
  <c r="W288" i="12"/>
  <c r="AA287" i="12"/>
  <c r="W293" i="12"/>
  <c r="W298" i="12"/>
  <c r="W303" i="12"/>
  <c r="AA301" i="12"/>
  <c r="AA302" i="12"/>
  <c r="W308" i="12"/>
  <c r="AA307" i="12"/>
  <c r="W313" i="12"/>
  <c r="W318" i="12"/>
  <c r="W323" i="12"/>
  <c r="AA321" i="12"/>
  <c r="AA322" i="12"/>
  <c r="AA324" i="12"/>
  <c r="AA326" i="12"/>
  <c r="W338" i="12"/>
  <c r="W343" i="12"/>
  <c r="V275" i="12"/>
  <c r="V288" i="12"/>
  <c r="Z288" i="12"/>
  <c r="AA285" i="12"/>
  <c r="AA286" i="12"/>
  <c r="V293" i="12"/>
  <c r="Z293" i="12"/>
  <c r="AA291" i="12"/>
  <c r="AA292" i="12"/>
  <c r="V298" i="12"/>
  <c r="Z298" i="12"/>
  <c r="V303" i="12"/>
  <c r="Z303" i="12"/>
  <c r="V308" i="12"/>
  <c r="Z308" i="12"/>
  <c r="AA305" i="12"/>
  <c r="AA306" i="12"/>
  <c r="V313" i="12"/>
  <c r="Z313" i="12"/>
  <c r="AA311" i="12"/>
  <c r="AA312" i="12"/>
  <c r="V318" i="12"/>
  <c r="Z318" i="12"/>
  <c r="V323" i="12"/>
  <c r="Z323" i="12"/>
  <c r="V328" i="12"/>
  <c r="Z328" i="12"/>
  <c r="AA325" i="12"/>
  <c r="Y328" i="12"/>
  <c r="V333" i="12"/>
  <c r="Z333" i="12"/>
  <c r="AA330" i="12"/>
  <c r="AA332" i="12"/>
  <c r="V338" i="12"/>
  <c r="Z338" i="12"/>
  <c r="V343" i="12"/>
  <c r="Z343" i="12"/>
  <c r="AA340" i="12"/>
  <c r="AA341" i="12"/>
  <c r="AA296" i="12"/>
  <c r="AA336" i="12"/>
  <c r="AA300" i="12"/>
  <c r="AA317" i="12"/>
  <c r="X323" i="12"/>
  <c r="AA320" i="12"/>
  <c r="T328" i="12"/>
  <c r="X328" i="12"/>
  <c r="AA329" i="12"/>
  <c r="X333" i="12"/>
  <c r="Z275" i="12"/>
  <c r="AC205" i="12"/>
  <c r="I341" i="12"/>
  <c r="I342" i="12"/>
  <c r="AC206" i="12"/>
  <c r="I340" i="12"/>
  <c r="H338" i="12"/>
  <c r="I336" i="12"/>
  <c r="I334" i="12"/>
  <c r="I332" i="12"/>
  <c r="AC194" i="12"/>
  <c r="AC195" i="12"/>
  <c r="I326" i="12"/>
  <c r="C328" i="12"/>
  <c r="B328" i="12"/>
  <c r="T260" i="12"/>
  <c r="I325" i="12"/>
  <c r="G323" i="12"/>
  <c r="G209" i="12"/>
  <c r="I322" i="12"/>
  <c r="Q343" i="12"/>
  <c r="AA274" i="12"/>
  <c r="O343" i="12"/>
  <c r="X275" i="12"/>
  <c r="W275" i="12"/>
  <c r="N343" i="12"/>
  <c r="R341" i="12"/>
  <c r="L343" i="12"/>
  <c r="U275" i="12"/>
  <c r="R342" i="12"/>
  <c r="AA273" i="12"/>
  <c r="R340" i="12"/>
  <c r="K343" i="12"/>
  <c r="Z270" i="12"/>
  <c r="P338" i="12"/>
  <c r="Y270" i="12"/>
  <c r="X270" i="12"/>
  <c r="N338" i="12"/>
  <c r="V270" i="12"/>
  <c r="AA269" i="12"/>
  <c r="AC269" i="12" s="1"/>
  <c r="AC201" i="12"/>
  <c r="R337" i="12"/>
  <c r="L338" i="12"/>
  <c r="U270" i="12"/>
  <c r="AA267" i="12"/>
  <c r="R336" i="12"/>
  <c r="AC200" i="12"/>
  <c r="AA268" i="12"/>
  <c r="AC199" i="12"/>
  <c r="Z265" i="12"/>
  <c r="Q333" i="12"/>
  <c r="P333" i="12"/>
  <c r="AA263" i="12"/>
  <c r="Y265" i="12"/>
  <c r="O333" i="12"/>
  <c r="N333" i="12"/>
  <c r="M333" i="12"/>
  <c r="V265" i="12"/>
  <c r="U265" i="12"/>
  <c r="L333" i="12"/>
  <c r="R329" i="12"/>
  <c r="R332" i="12"/>
  <c r="AA264" i="12"/>
  <c r="R330" i="12"/>
  <c r="AA262" i="12"/>
  <c r="AC262" i="12" s="1"/>
  <c r="Z260" i="12"/>
  <c r="Q328" i="12"/>
  <c r="P328" i="12"/>
  <c r="Y260" i="12"/>
  <c r="O328" i="12"/>
  <c r="X260" i="12"/>
  <c r="AA259" i="12"/>
  <c r="V260" i="12"/>
  <c r="R326" i="12"/>
  <c r="M328" i="12"/>
  <c r="U260" i="12"/>
  <c r="AC190" i="12"/>
  <c r="L328" i="12"/>
  <c r="AA257" i="12"/>
  <c r="AC191" i="12"/>
  <c r="AA258" i="12"/>
  <c r="R325" i="12"/>
  <c r="AC189" i="12"/>
  <c r="K328" i="12"/>
  <c r="R324" i="12"/>
  <c r="Q323" i="12"/>
  <c r="Z255" i="12"/>
  <c r="P323" i="12"/>
  <c r="Y255" i="12"/>
  <c r="O323" i="12"/>
  <c r="AA254" i="12"/>
  <c r="AA253" i="12"/>
  <c r="AC253" i="12" s="1"/>
  <c r="N323" i="12"/>
  <c r="M323" i="12"/>
  <c r="L323" i="12"/>
  <c r="R322" i="12"/>
  <c r="U255" i="12"/>
  <c r="AA252" i="12"/>
  <c r="AC186" i="12"/>
  <c r="AC185" i="12"/>
  <c r="R321" i="12"/>
  <c r="AC184" i="12"/>
  <c r="K323" i="12"/>
  <c r="R320" i="12"/>
  <c r="AC183" i="12"/>
  <c r="C323" i="12"/>
  <c r="B323" i="12"/>
  <c r="I321" i="12"/>
  <c r="I320" i="12"/>
  <c r="U209" i="12"/>
  <c r="U308" i="12"/>
  <c r="C318" i="12"/>
  <c r="I317" i="12"/>
  <c r="I316" i="12"/>
  <c r="B318" i="12"/>
  <c r="I311" i="12"/>
  <c r="AC174" i="12"/>
  <c r="I310" i="12"/>
  <c r="AC176" i="12"/>
  <c r="I312" i="12"/>
  <c r="AC175" i="12"/>
  <c r="B313" i="12"/>
  <c r="I309" i="12"/>
  <c r="I306" i="12"/>
  <c r="C308" i="12"/>
  <c r="B308" i="12"/>
  <c r="I305" i="12"/>
  <c r="I302" i="12"/>
  <c r="C303" i="12"/>
  <c r="C209" i="12"/>
  <c r="AC166" i="12"/>
  <c r="AC165" i="12"/>
  <c r="B303" i="12"/>
  <c r="I301" i="12"/>
  <c r="AC164" i="12"/>
  <c r="I300" i="12"/>
  <c r="B298" i="12"/>
  <c r="AC156" i="12"/>
  <c r="I292" i="12"/>
  <c r="B293" i="12"/>
  <c r="I289" i="12"/>
  <c r="I286" i="12"/>
  <c r="H209" i="12"/>
  <c r="B209" i="12"/>
  <c r="B288" i="12"/>
  <c r="Q318" i="12"/>
  <c r="Z250" i="12"/>
  <c r="P318" i="12"/>
  <c r="Y250" i="12"/>
  <c r="O318" i="12"/>
  <c r="W250" i="12"/>
  <c r="AC181" i="12"/>
  <c r="V250" i="12"/>
  <c r="M318" i="12"/>
  <c r="AC179" i="12"/>
  <c r="AA249" i="12"/>
  <c r="U250" i="12"/>
  <c r="L318" i="12"/>
  <c r="AA248" i="12"/>
  <c r="R315" i="12"/>
  <c r="AA247" i="12"/>
  <c r="R317" i="12"/>
  <c r="AC180" i="12"/>
  <c r="R316" i="12"/>
  <c r="K318" i="12"/>
  <c r="Z245" i="12"/>
  <c r="P313" i="12"/>
  <c r="Y245" i="12"/>
  <c r="O313" i="12"/>
  <c r="N313" i="12"/>
  <c r="W245" i="12"/>
  <c r="V245" i="12"/>
  <c r="AA243" i="12"/>
  <c r="M313" i="12"/>
  <c r="AA242" i="12"/>
  <c r="R311" i="12"/>
  <c r="U245" i="12"/>
  <c r="R310" i="12"/>
  <c r="R312" i="12"/>
  <c r="AA244" i="12"/>
  <c r="K313" i="12"/>
  <c r="R309" i="12"/>
  <c r="Q308" i="12"/>
  <c r="Z240" i="12"/>
  <c r="P308" i="12"/>
  <c r="X240" i="12"/>
  <c r="O308" i="12"/>
  <c r="N308" i="12"/>
  <c r="W240" i="12"/>
  <c r="V240" i="12"/>
  <c r="R307" i="12"/>
  <c r="M308" i="12"/>
  <c r="AA239" i="12"/>
  <c r="AC239" i="12" s="1"/>
  <c r="AC171" i="12"/>
  <c r="R306" i="12"/>
  <c r="U240" i="12"/>
  <c r="L308" i="12"/>
  <c r="AA237" i="12"/>
  <c r="AA238" i="12"/>
  <c r="AC238" i="12" s="1"/>
  <c r="AC170" i="12"/>
  <c r="AC169" i="12"/>
  <c r="R305" i="12"/>
  <c r="K308" i="12"/>
  <c r="T240" i="12"/>
  <c r="Q303" i="12"/>
  <c r="P303" i="12"/>
  <c r="O303" i="12"/>
  <c r="X235" i="12"/>
  <c r="W235" i="12"/>
  <c r="N303" i="12"/>
  <c r="V235" i="12"/>
  <c r="AA234" i="12"/>
  <c r="R301" i="12"/>
  <c r="M303" i="12"/>
  <c r="R302" i="12"/>
  <c r="AA233" i="12"/>
  <c r="L303" i="12"/>
  <c r="U235" i="12"/>
  <c r="K303" i="12"/>
  <c r="R300" i="12"/>
  <c r="AA232" i="12"/>
  <c r="Q298" i="12"/>
  <c r="Z230" i="12"/>
  <c r="Y230" i="12"/>
  <c r="P298" i="12"/>
  <c r="O298" i="12"/>
  <c r="W230" i="12"/>
  <c r="N298" i="12"/>
  <c r="V230" i="12"/>
  <c r="M298" i="12"/>
  <c r="AA227" i="12"/>
  <c r="AA229" i="12"/>
  <c r="L298" i="12"/>
  <c r="U230" i="12"/>
  <c r="AC159" i="12"/>
  <c r="R295" i="12"/>
  <c r="R297" i="12"/>
  <c r="AC161" i="12"/>
  <c r="R296" i="12"/>
  <c r="AC160" i="12"/>
  <c r="AA228" i="12"/>
  <c r="AC228" i="12" s="1"/>
  <c r="K298" i="12"/>
  <c r="Z225" i="12"/>
  <c r="Q293" i="12"/>
  <c r="P293" i="12"/>
  <c r="Y225" i="12"/>
  <c r="X225" i="12"/>
  <c r="O293" i="12"/>
  <c r="W225" i="12"/>
  <c r="N293" i="12"/>
  <c r="M293" i="12"/>
  <c r="AA222" i="12"/>
  <c r="R289" i="12"/>
  <c r="R291" i="12"/>
  <c r="AA223" i="12"/>
  <c r="R290" i="12"/>
  <c r="R292" i="12"/>
  <c r="AA224" i="12"/>
  <c r="K293" i="12"/>
  <c r="Z220" i="12"/>
  <c r="Q288" i="12"/>
  <c r="Q209" i="12"/>
  <c r="P288" i="12"/>
  <c r="Y220" i="12"/>
  <c r="P209" i="12"/>
  <c r="O288" i="12"/>
  <c r="X220" i="12"/>
  <c r="O209" i="12"/>
  <c r="W220" i="12"/>
  <c r="N209" i="12"/>
  <c r="V220" i="12"/>
  <c r="M288" i="12"/>
  <c r="AA217" i="12"/>
  <c r="AC217" i="12" s="1"/>
  <c r="M209" i="12"/>
  <c r="AA219" i="12"/>
  <c r="U220" i="12"/>
  <c r="R287" i="12"/>
  <c r="R286" i="12"/>
  <c r="L288" i="12"/>
  <c r="AC149" i="12"/>
  <c r="L209" i="12"/>
  <c r="AC151" i="12"/>
  <c r="AA218" i="12"/>
  <c r="AC150" i="12"/>
  <c r="R285" i="12"/>
  <c r="K288" i="12"/>
  <c r="T220" i="12"/>
  <c r="K209" i="12"/>
  <c r="AA209" i="12"/>
  <c r="AC249" i="12"/>
  <c r="AC12" i="12"/>
  <c r="AC32" i="12"/>
  <c r="AC52" i="12"/>
  <c r="AC80" i="12"/>
  <c r="AC100" i="12"/>
  <c r="AC120" i="12"/>
  <c r="AC148" i="12"/>
  <c r="AC168" i="12"/>
  <c r="AC188" i="12"/>
  <c r="I221" i="12"/>
  <c r="R221" i="12"/>
  <c r="AA221" i="12"/>
  <c r="I241" i="12"/>
  <c r="R241" i="12"/>
  <c r="AA241" i="12"/>
  <c r="I261" i="12"/>
  <c r="R261" i="12"/>
  <c r="AA261" i="12"/>
  <c r="Y275" i="12"/>
  <c r="I272" i="12"/>
  <c r="AC316" i="12"/>
  <c r="AC17" i="12"/>
  <c r="AC57" i="12"/>
  <c r="AC85" i="12"/>
  <c r="AC105" i="12"/>
  <c r="AC109" i="12" s="1"/>
  <c r="AC125" i="12"/>
  <c r="AC153" i="12"/>
  <c r="AC173" i="12"/>
  <c r="AC193" i="12"/>
  <c r="AC197" i="12" s="1"/>
  <c r="I226" i="12"/>
  <c r="R226" i="12"/>
  <c r="AA226" i="12"/>
  <c r="I246" i="12"/>
  <c r="R246" i="12"/>
  <c r="AA246" i="12"/>
  <c r="I266" i="12"/>
  <c r="R266" i="12"/>
  <c r="R270" i="12" s="1"/>
  <c r="AA266" i="12"/>
  <c r="AC37" i="12"/>
  <c r="AC22" i="12"/>
  <c r="AC42" i="12"/>
  <c r="AC46" i="12" s="1"/>
  <c r="AC62" i="12"/>
  <c r="AC90" i="12"/>
  <c r="AC110" i="12"/>
  <c r="AC130" i="12"/>
  <c r="AC134" i="12" s="1"/>
  <c r="AC158" i="12"/>
  <c r="AC178" i="12"/>
  <c r="AC198" i="12"/>
  <c r="I231" i="12"/>
  <c r="R231" i="12"/>
  <c r="AA231" i="12"/>
  <c r="I251" i="12"/>
  <c r="R251" i="12"/>
  <c r="R255" i="12" s="1"/>
  <c r="AA251" i="12"/>
  <c r="I271" i="12"/>
  <c r="R271" i="12"/>
  <c r="AA271" i="12"/>
  <c r="AA272" i="12"/>
  <c r="I216" i="12"/>
  <c r="R216" i="12"/>
  <c r="R220" i="12" s="1"/>
  <c r="AA216" i="12"/>
  <c r="I236" i="12"/>
  <c r="R236" i="12"/>
  <c r="AA236" i="12"/>
  <c r="I256" i="12"/>
  <c r="R256" i="12"/>
  <c r="AA256" i="12"/>
  <c r="I294" i="12"/>
  <c r="R294" i="12"/>
  <c r="AA294" i="12"/>
  <c r="I314" i="12"/>
  <c r="R314" i="12"/>
  <c r="AA314" i="12"/>
  <c r="R327" i="12"/>
  <c r="N328" i="12"/>
  <c r="W328" i="12"/>
  <c r="C333" i="12"/>
  <c r="G333" i="12"/>
  <c r="W333" i="12"/>
  <c r="R331" i="12"/>
  <c r="B338" i="12"/>
  <c r="F338" i="12"/>
  <c r="K338" i="12"/>
  <c r="O338" i="12"/>
  <c r="T338" i="12"/>
  <c r="X338" i="12"/>
  <c r="I335" i="12"/>
  <c r="AA337" i="12"/>
  <c r="AC337" i="12" s="1"/>
  <c r="C338" i="12"/>
  <c r="C293" i="12"/>
  <c r="L293" i="12"/>
  <c r="U293" i="12"/>
  <c r="I299" i="12"/>
  <c r="R299" i="12"/>
  <c r="AA299" i="12"/>
  <c r="C313" i="12"/>
  <c r="L313" i="12"/>
  <c r="U313" i="12"/>
  <c r="I319" i="12"/>
  <c r="R319" i="12"/>
  <c r="R323" i="12" s="1"/>
  <c r="AA319" i="12"/>
  <c r="I284" i="12"/>
  <c r="R284" i="12"/>
  <c r="AA284" i="12"/>
  <c r="I304" i="12"/>
  <c r="R304" i="12"/>
  <c r="AA304" i="12"/>
  <c r="I324" i="12"/>
  <c r="M338" i="12"/>
  <c r="Q338" i="12"/>
  <c r="AA327" i="12"/>
  <c r="I329" i="12"/>
  <c r="AA331" i="12"/>
  <c r="B333" i="12"/>
  <c r="K333" i="12"/>
  <c r="T333" i="12"/>
  <c r="R334" i="12"/>
  <c r="AA334" i="12"/>
  <c r="R335" i="12"/>
  <c r="I339" i="12"/>
  <c r="R339" i="12"/>
  <c r="AA339" i="12"/>
  <c r="R275" i="12" l="1"/>
  <c r="R303" i="12"/>
  <c r="R240" i="12"/>
  <c r="AC223" i="12"/>
  <c r="AC254" i="12"/>
  <c r="AC257" i="12"/>
  <c r="P345" i="12"/>
  <c r="H345" i="12"/>
  <c r="AC322" i="12"/>
  <c r="E345" i="12"/>
  <c r="AC289" i="12"/>
  <c r="Q277" i="12"/>
  <c r="G277" i="12"/>
  <c r="G345" i="12"/>
  <c r="N277" i="12"/>
  <c r="D277" i="12"/>
  <c r="I73" i="12"/>
  <c r="F345" i="12"/>
  <c r="L277" i="12"/>
  <c r="M277" i="12"/>
  <c r="R141" i="12"/>
  <c r="AC290" i="12"/>
  <c r="AC244" i="12"/>
  <c r="AC315" i="12"/>
  <c r="AC219" i="12"/>
  <c r="AA318" i="12"/>
  <c r="R245" i="12"/>
  <c r="AC36" i="12"/>
  <c r="AC237" i="12"/>
  <c r="AC274" i="12"/>
  <c r="AC139" i="12"/>
  <c r="AC114" i="12"/>
  <c r="AC89" i="12"/>
  <c r="R265" i="12"/>
  <c r="AC305" i="12"/>
  <c r="AC309" i="12"/>
  <c r="AC252" i="12"/>
  <c r="AC94" i="12"/>
  <c r="R230" i="12"/>
  <c r="AC61" i="12"/>
  <c r="AC297" i="12"/>
  <c r="AC243" i="12"/>
  <c r="AC247" i="12"/>
  <c r="AC258" i="12"/>
  <c r="AA343" i="12"/>
  <c r="AC66" i="12"/>
  <c r="R250" i="12"/>
  <c r="R225" i="12"/>
  <c r="AC222" i="12"/>
  <c r="AC229" i="12"/>
  <c r="AC233" i="12"/>
  <c r="AC99" i="12"/>
  <c r="F277" i="12"/>
  <c r="E277" i="12"/>
  <c r="AC31" i="12"/>
  <c r="B277" i="12"/>
  <c r="AC232" i="12"/>
  <c r="AC71" i="12"/>
  <c r="AC336" i="12"/>
  <c r="AC267" i="12"/>
  <c r="AC332" i="12"/>
  <c r="AC51" i="12"/>
  <c r="R73" i="12"/>
  <c r="AC234" i="12"/>
  <c r="AC227" i="12"/>
  <c r="AC295" i="12"/>
  <c r="AC16" i="12"/>
  <c r="AC273" i="12"/>
  <c r="AC268" i="12"/>
  <c r="V345" i="12"/>
  <c r="AC330" i="12"/>
  <c r="AA333" i="12"/>
  <c r="AC56" i="12"/>
  <c r="X345" i="12"/>
  <c r="AA323" i="12"/>
  <c r="AC248" i="12"/>
  <c r="AC242" i="12"/>
  <c r="AC41" i="12"/>
  <c r="AA313" i="12"/>
  <c r="Y345" i="12"/>
  <c r="AA308" i="12"/>
  <c r="AA303" i="12"/>
  <c r="AC301" i="12"/>
  <c r="AC26" i="12"/>
  <c r="AA298" i="12"/>
  <c r="AC296" i="12"/>
  <c r="Z345" i="12"/>
  <c r="AC21" i="12"/>
  <c r="AC292" i="12"/>
  <c r="AC224" i="12"/>
  <c r="AA293" i="12"/>
  <c r="AA73" i="12"/>
  <c r="AC287" i="12"/>
  <c r="AC218" i="12"/>
  <c r="I338" i="12"/>
  <c r="AC264" i="12"/>
  <c r="AC263" i="12"/>
  <c r="P277" i="12"/>
  <c r="AC124" i="12"/>
  <c r="AC320" i="12"/>
  <c r="AC317" i="12"/>
  <c r="K277" i="12"/>
  <c r="I141" i="12"/>
  <c r="AC104" i="12"/>
  <c r="I293" i="12"/>
  <c r="AC291" i="12"/>
  <c r="AC84" i="12"/>
  <c r="AC285" i="12"/>
  <c r="AC129" i="12"/>
  <c r="R260" i="12"/>
  <c r="AC259" i="12"/>
  <c r="U345" i="12"/>
  <c r="R235" i="12"/>
  <c r="AA141" i="12"/>
  <c r="AA288" i="12"/>
  <c r="AC341" i="12"/>
  <c r="AC300" i="12"/>
  <c r="AC302" i="12"/>
  <c r="AC310" i="12"/>
  <c r="AC342" i="12"/>
  <c r="AC157" i="12"/>
  <c r="AC286" i="12"/>
  <c r="AC306" i="12"/>
  <c r="AC307" i="12"/>
  <c r="AC311" i="12"/>
  <c r="AC167" i="12"/>
  <c r="AC326" i="12"/>
  <c r="W345" i="12"/>
  <c r="AC325" i="12"/>
  <c r="X277" i="12"/>
  <c r="AC331" i="12"/>
  <c r="AA338" i="12"/>
  <c r="T345" i="12"/>
  <c r="W277" i="12"/>
  <c r="AC207" i="12"/>
  <c r="AC340" i="12"/>
  <c r="AC321" i="12"/>
  <c r="N345" i="12"/>
  <c r="R343" i="12"/>
  <c r="AA275" i="12"/>
  <c r="Q345" i="12"/>
  <c r="AA270" i="12"/>
  <c r="AC202" i="12"/>
  <c r="L345" i="12"/>
  <c r="R338" i="12"/>
  <c r="AA265" i="12"/>
  <c r="R333" i="12"/>
  <c r="V277" i="12"/>
  <c r="AA260" i="12"/>
  <c r="AC192" i="12"/>
  <c r="AC327" i="12"/>
  <c r="R328" i="12"/>
  <c r="AA255" i="12"/>
  <c r="AC187" i="12"/>
  <c r="B345" i="12"/>
  <c r="C345" i="12"/>
  <c r="I313" i="12"/>
  <c r="AC312" i="12"/>
  <c r="AC177" i="12"/>
  <c r="I209" i="12"/>
  <c r="AA225" i="12"/>
  <c r="T277" i="12"/>
  <c r="AC182" i="12"/>
  <c r="R318" i="12"/>
  <c r="AA250" i="12"/>
  <c r="AA245" i="12"/>
  <c r="O345" i="12"/>
  <c r="R313" i="12"/>
  <c r="Z277" i="12"/>
  <c r="AA240" i="12"/>
  <c r="R308" i="12"/>
  <c r="AC172" i="12"/>
  <c r="U277" i="12"/>
  <c r="AA235" i="12"/>
  <c r="R298" i="12"/>
  <c r="M345" i="12"/>
  <c r="AA230" i="12"/>
  <c r="AC162" i="12"/>
  <c r="Y277" i="12"/>
  <c r="R209" i="12"/>
  <c r="R293" i="12"/>
  <c r="R288" i="12"/>
  <c r="AA220" i="12"/>
  <c r="AC152" i="12"/>
  <c r="K345" i="12"/>
  <c r="AC304" i="12"/>
  <c r="I308" i="12"/>
  <c r="AC251" i="12"/>
  <c r="I255" i="12"/>
  <c r="AC266" i="12"/>
  <c r="I270" i="12"/>
  <c r="AC334" i="12"/>
  <c r="AC272" i="12"/>
  <c r="AC261" i="12"/>
  <c r="I265" i="12"/>
  <c r="AC324" i="12"/>
  <c r="I328" i="12"/>
  <c r="AC319" i="12"/>
  <c r="I323" i="12"/>
  <c r="I220" i="12"/>
  <c r="AC216" i="12"/>
  <c r="AC271" i="12"/>
  <c r="I275" i="12"/>
  <c r="AC339" i="12"/>
  <c r="I343" i="12"/>
  <c r="I333" i="12"/>
  <c r="AC329" i="12"/>
  <c r="AC294" i="12"/>
  <c r="I298" i="12"/>
  <c r="I240" i="12"/>
  <c r="AC236" i="12"/>
  <c r="AC240" i="12" s="1"/>
  <c r="AC226" i="12"/>
  <c r="I230" i="12"/>
  <c r="AA328" i="12"/>
  <c r="AC221" i="12"/>
  <c r="I225" i="12"/>
  <c r="AC284" i="12"/>
  <c r="I288" i="12"/>
  <c r="AC299" i="12"/>
  <c r="I303" i="12"/>
  <c r="AC335" i="12"/>
  <c r="AC314" i="12"/>
  <c r="I318" i="12"/>
  <c r="I260" i="12"/>
  <c r="AC256" i="12"/>
  <c r="AC231" i="12"/>
  <c r="I235" i="12"/>
  <c r="AC246" i="12"/>
  <c r="I250" i="12"/>
  <c r="AC241" i="12"/>
  <c r="I245" i="12"/>
  <c r="AC250" i="12" l="1"/>
  <c r="AC298" i="12"/>
  <c r="AC255" i="12"/>
  <c r="R277" i="12"/>
  <c r="AC245" i="12"/>
  <c r="AC270" i="12"/>
  <c r="AC230" i="12"/>
  <c r="AC293" i="12"/>
  <c r="AC235" i="12"/>
  <c r="AC318" i="12"/>
  <c r="AC220" i="12"/>
  <c r="AC265" i="12"/>
  <c r="AC260" i="12"/>
  <c r="AC73" i="12"/>
  <c r="AC225" i="12"/>
  <c r="AC141" i="12"/>
  <c r="AA345" i="12"/>
  <c r="AC308" i="12"/>
  <c r="AC313" i="12"/>
  <c r="AC303" i="12"/>
  <c r="AC343" i="12"/>
  <c r="AC288" i="12"/>
  <c r="AC323" i="12"/>
  <c r="AC333" i="12"/>
  <c r="AC328" i="12"/>
  <c r="AC275" i="12"/>
  <c r="AC209" i="12"/>
  <c r="AA277" i="12"/>
  <c r="R345" i="12"/>
  <c r="AC338" i="12"/>
  <c r="I345" i="12"/>
  <c r="I277" i="12"/>
  <c r="AC277" i="12" l="1"/>
  <c r="AC345" i="12"/>
</calcChain>
</file>

<file path=xl/sharedStrings.xml><?xml version="1.0" encoding="utf-8"?>
<sst xmlns="http://schemas.openxmlformats.org/spreadsheetml/2006/main" count="197" uniqueCount="63">
  <si>
    <t>Client:</t>
  </si>
  <si>
    <t>Project:</t>
  </si>
  <si>
    <t>Sites:</t>
  </si>
  <si>
    <t>Survey Date:</t>
  </si>
  <si>
    <t>Survey Period:</t>
  </si>
  <si>
    <t>Method:</t>
  </si>
  <si>
    <t>Incidents / Observations:</t>
  </si>
  <si>
    <t>Client :</t>
  </si>
  <si>
    <t>Site plan for :</t>
  </si>
  <si>
    <t>Project :</t>
  </si>
  <si>
    <t>Date :</t>
  </si>
  <si>
    <t>Site:</t>
  </si>
  <si>
    <t>Date:</t>
  </si>
  <si>
    <t>Entry :</t>
  </si>
  <si>
    <t>Destination :</t>
  </si>
  <si>
    <t>CAR</t>
  </si>
  <si>
    <t>LGV</t>
  </si>
  <si>
    <t>OGV1</t>
  </si>
  <si>
    <t>OGV2</t>
  </si>
  <si>
    <t>PSV</t>
  </si>
  <si>
    <t>MC</t>
  </si>
  <si>
    <t>PC</t>
  </si>
  <si>
    <t>Total</t>
  </si>
  <si>
    <t>Arm Totals</t>
  </si>
  <si>
    <t>1 Hr</t>
  </si>
  <si>
    <t>ORIGIN SUMMARY</t>
  </si>
  <si>
    <t>Origin :</t>
  </si>
  <si>
    <t>Origin Totals</t>
  </si>
  <si>
    <t>DESTINATION SUMMARY</t>
  </si>
  <si>
    <t>Dest Totals</t>
  </si>
  <si>
    <t>7:00-19:00</t>
  </si>
  <si>
    <t>12 Hrs</t>
  </si>
  <si>
    <t>Pedestrian Crossing Movements</t>
  </si>
  <si>
    <t>Peds</t>
  </si>
  <si>
    <t>Wal 2527 Fishponds Road</t>
  </si>
  <si>
    <t>Zone A Eastbound</t>
  </si>
  <si>
    <t>Stopped</t>
  </si>
  <si>
    <t>Slow Moving</t>
  </si>
  <si>
    <t>Zone B Eastbound</t>
  </si>
  <si>
    <t>Zone C Eastbound</t>
  </si>
  <si>
    <t>Zone A Westbound</t>
  </si>
  <si>
    <t>Zone B Westbound</t>
  </si>
  <si>
    <t>Zone C Westbound</t>
  </si>
  <si>
    <t>Tuesday 10th November 2015</t>
  </si>
  <si>
    <t>Max Qeue in 12 Hrs</t>
  </si>
  <si>
    <t>Zone A Northbound</t>
  </si>
  <si>
    <t>Zone A Southbound</t>
  </si>
  <si>
    <t>Zone B Northbound</t>
  </si>
  <si>
    <t>Zone C Northbound</t>
  </si>
  <si>
    <t>Zone B Southbound</t>
  </si>
  <si>
    <t>Zone C Southbound</t>
  </si>
  <si>
    <t>Checks</t>
  </si>
  <si>
    <t>Arms</t>
  </si>
  <si>
    <t>Orign</t>
  </si>
  <si>
    <t>Dest</t>
  </si>
  <si>
    <t>Bristol City Council</t>
  </si>
  <si>
    <t>1 - Fishponds Road</t>
  </si>
  <si>
    <t>Video Analysis</t>
  </si>
  <si>
    <t>There were no incidents reported throughout the survey period.</t>
  </si>
  <si>
    <t>A - Fishponds Road (E)</t>
  </si>
  <si>
    <t xml:space="preserve">B - Drummond Road </t>
  </si>
  <si>
    <t>C - Fishponds Road (W)</t>
  </si>
  <si>
    <t>Max Queues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</si>
</sst>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8"/>
      <name val="Arial"/>
      <family val="2"/>
    </font>
    <font>
      <sz val="11"/>
      <name val="Arial MT"/>
    </font>
    <font>
      <sz val="6"/>
      <name val="Arial"/>
      <family val="2"/>
    </font>
    <font>
      <sz val="11"/>
      <color indexed="12"/>
      <name val="Arial MT"/>
    </font>
    <font>
      <b/>
      <sz val="11"/>
      <name val="Arial MT"/>
    </font>
    <font>
      <sz val="11"/>
      <color rgb="FFFF0000"/>
      <name val="Arial"/>
      <family val="2"/>
    </font>
    <font>
      <b/>
      <u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8"/>
      </right>
      <top/>
      <bottom style="thin">
        <color indexed="8"/>
      </bottom>
      <diagonal/>
    </border>
    <border>
      <left style="hair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hair">
        <color indexed="8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2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3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4" fontId="3" fillId="2" borderId="9" xfId="0" applyNumberFormat="1" applyFont="1" applyFill="1" applyBorder="1" applyAlignment="1">
      <alignment vertical="center"/>
    </xf>
    <xf numFmtId="0" fontId="3" fillId="2" borderId="3" xfId="0" applyFont="1" applyFill="1" applyBorder="1"/>
    <xf numFmtId="0" fontId="3" fillId="2" borderId="1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0" xfId="0" applyFont="1" applyFill="1" applyBorder="1"/>
    <xf numFmtId="0" fontId="3" fillId="2" borderId="6" xfId="0" applyFont="1" applyFill="1" applyBorder="1"/>
    <xf numFmtId="0" fontId="3" fillId="2" borderId="0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10" fillId="0" borderId="0" xfId="0" applyNumberFormat="1" applyFont="1" applyFill="1" applyBorder="1" applyAlignment="1" applyProtection="1">
      <alignment horizontal="center"/>
    </xf>
    <xf numFmtId="20" fontId="8" fillId="0" borderId="1" xfId="0" quotePrefix="1" applyNumberFormat="1" applyFont="1" applyFill="1" applyBorder="1" applyAlignment="1">
      <alignment horizontal="center"/>
    </xf>
    <xf numFmtId="0" fontId="5" fillId="0" borderId="0" xfId="0" applyFont="1" applyFill="1"/>
    <xf numFmtId="0" fontId="5" fillId="0" borderId="3" xfId="0" applyFont="1" applyFill="1" applyBorder="1"/>
    <xf numFmtId="0" fontId="5" fillId="0" borderId="10" xfId="0" applyFont="1" applyFill="1" applyBorder="1"/>
    <xf numFmtId="0" fontId="5" fillId="0" borderId="4" xfId="0" applyFont="1" applyFill="1" applyBorder="1"/>
    <xf numFmtId="0" fontId="5" fillId="0" borderId="5" xfId="0" applyFont="1" applyFill="1" applyBorder="1"/>
    <xf numFmtId="0" fontId="5" fillId="0" borderId="0" xfId="0" applyFont="1" applyFill="1" applyBorder="1"/>
    <xf numFmtId="0" fontId="5" fillId="0" borderId="6" xfId="0" applyFont="1" applyFill="1" applyBorder="1"/>
    <xf numFmtId="0" fontId="5" fillId="0" borderId="7" xfId="0" applyFont="1" applyFill="1" applyBorder="1"/>
    <xf numFmtId="0" fontId="5" fillId="0" borderId="11" xfId="0" applyFont="1" applyFill="1" applyBorder="1"/>
    <xf numFmtId="0" fontId="5" fillId="0" borderId="8" xfId="0" applyFont="1" applyFill="1" applyBorder="1"/>
    <xf numFmtId="0" fontId="3" fillId="0" borderId="0" xfId="0" applyFont="1" applyFill="1"/>
    <xf numFmtId="0" fontId="5" fillId="0" borderId="2" xfId="0" applyFont="1" applyFill="1" applyBorder="1"/>
    <xf numFmtId="0" fontId="5" fillId="0" borderId="9" xfId="0" applyFont="1" applyFill="1" applyBorder="1"/>
    <xf numFmtId="0" fontId="5" fillId="0" borderId="12" xfId="0" applyFont="1" applyFill="1" applyBorder="1"/>
    <xf numFmtId="0" fontId="5" fillId="0" borderId="1" xfId="0" applyFont="1" applyFill="1" applyBorder="1"/>
    <xf numFmtId="0" fontId="1" fillId="0" borderId="0" xfId="0" applyFont="1" applyFill="1"/>
    <xf numFmtId="0" fontId="1" fillId="0" borderId="2" xfId="0" applyFont="1" applyFill="1" applyBorder="1" applyAlignment="1">
      <alignment horizontal="right"/>
    </xf>
    <xf numFmtId="0" fontId="1" fillId="0" borderId="9" xfId="0" applyFont="1" applyFill="1" applyBorder="1" applyAlignment="1">
      <alignment horizontal="right"/>
    </xf>
    <xf numFmtId="0" fontId="1" fillId="0" borderId="12" xfId="0" applyFont="1" applyFill="1" applyBorder="1" applyAlignment="1">
      <alignment horizontal="right"/>
    </xf>
    <xf numFmtId="0" fontId="4" fillId="0" borderId="0" xfId="0" applyFont="1" applyFill="1" applyBorder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/>
    </xf>
    <xf numFmtId="0" fontId="3" fillId="0" borderId="0" xfId="0" applyNumberFormat="1" applyFont="1" applyFill="1" applyBorder="1" applyAlignment="1" applyProtection="1">
      <alignment horizontal="left"/>
    </xf>
    <xf numFmtId="0" fontId="3" fillId="0" borderId="0" xfId="0" applyNumberFormat="1" applyFont="1" applyFill="1" applyBorder="1" applyAlignment="1" applyProtection="1"/>
    <xf numFmtId="0" fontId="7" fillId="0" borderId="0" xfId="0" applyNumberFormat="1" applyFont="1" applyFill="1" applyBorder="1" applyAlignment="1" applyProtection="1"/>
    <xf numFmtId="20" fontId="8" fillId="0" borderId="13" xfId="0" quotePrefix="1" applyNumberFormat="1" applyFont="1" applyFill="1" applyBorder="1" applyAlignment="1">
      <alignment horizontal="left"/>
    </xf>
    <xf numFmtId="0" fontId="5" fillId="0" borderId="13" xfId="0" applyNumberFormat="1" applyFont="1" applyFill="1" applyBorder="1" applyAlignment="1" applyProtection="1">
      <alignment horizontal="center"/>
    </xf>
    <xf numFmtId="0" fontId="5" fillId="0" borderId="0" xfId="0" applyNumberFormat="1" applyFont="1" applyFill="1" applyBorder="1" applyAlignment="1" applyProtection="1">
      <alignment horizontal="center"/>
    </xf>
    <xf numFmtId="20" fontId="8" fillId="0" borderId="15" xfId="0" quotePrefix="1" applyNumberFormat="1" applyFont="1" applyFill="1" applyBorder="1" applyAlignment="1">
      <alignment horizontal="left"/>
    </xf>
    <xf numFmtId="0" fontId="5" fillId="0" borderId="15" xfId="0" applyNumberFormat="1" applyFont="1" applyFill="1" applyBorder="1" applyAlignment="1" applyProtection="1">
      <alignment horizontal="center"/>
    </xf>
    <xf numFmtId="0" fontId="8" fillId="0" borderId="1" xfId="0" applyNumberFormat="1" applyFont="1" applyFill="1" applyBorder="1" applyAlignment="1" applyProtection="1">
      <alignment horizontal="left"/>
    </xf>
    <xf numFmtId="0" fontId="5" fillId="0" borderId="1" xfId="0" applyNumberFormat="1" applyFont="1" applyFill="1" applyBorder="1" applyAlignment="1" applyProtection="1">
      <alignment horizontal="center"/>
    </xf>
    <xf numFmtId="20" fontId="8" fillId="0" borderId="17" xfId="0" quotePrefix="1" applyNumberFormat="1" applyFont="1" applyFill="1" applyBorder="1" applyAlignment="1">
      <alignment horizontal="left"/>
    </xf>
    <xf numFmtId="20" fontId="8" fillId="0" borderId="18" xfId="0" quotePrefix="1" applyNumberFormat="1" applyFont="1" applyFill="1" applyBorder="1" applyAlignment="1">
      <alignment horizontal="left"/>
    </xf>
    <xf numFmtId="0" fontId="8" fillId="0" borderId="19" xfId="0" applyNumberFormat="1" applyFont="1" applyFill="1" applyBorder="1" applyAlignment="1" applyProtection="1">
      <alignment horizontal="left"/>
    </xf>
    <xf numFmtId="20" fontId="8" fillId="0" borderId="20" xfId="0" quotePrefix="1" applyNumberFormat="1" applyFont="1" applyFill="1" applyBorder="1" applyAlignment="1">
      <alignment horizontal="left"/>
    </xf>
    <xf numFmtId="0" fontId="9" fillId="0" borderId="0" xfId="0" applyNumberFormat="1" applyFont="1" applyFill="1" applyBorder="1" applyAlignment="1" applyProtection="1">
      <alignment horizontal="left"/>
    </xf>
    <xf numFmtId="0" fontId="9" fillId="0" borderId="0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</xf>
    <xf numFmtId="0" fontId="1" fillId="0" borderId="1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right"/>
    </xf>
    <xf numFmtId="0" fontId="1" fillId="0" borderId="0" xfId="0" applyNumberFormat="1" applyFont="1" applyFill="1" applyBorder="1" applyAlignment="1" applyProtection="1">
      <alignment horizontal="center"/>
    </xf>
    <xf numFmtId="0" fontId="5" fillId="0" borderId="21" xfId="0" applyNumberFormat="1" applyFont="1" applyFill="1" applyBorder="1" applyAlignment="1" applyProtection="1">
      <alignment horizontal="left"/>
    </xf>
    <xf numFmtId="0" fontId="12" fillId="0" borderId="0" xfId="0" applyFont="1" applyFill="1"/>
    <xf numFmtId="0" fontId="11" fillId="0" borderId="24" xfId="1" applyNumberFormat="1" applyFont="1" applyFill="1" applyBorder="1" applyAlignment="1" applyProtection="1">
      <alignment horizontal="center"/>
    </xf>
    <xf numFmtId="0" fontId="11" fillId="0" borderId="25" xfId="1" applyNumberFormat="1" applyFont="1" applyFill="1" applyBorder="1" applyAlignment="1" applyProtection="1">
      <alignment horizontal="center"/>
    </xf>
    <xf numFmtId="0" fontId="11" fillId="0" borderId="22" xfId="1" applyNumberFormat="1" applyFont="1" applyFill="1" applyBorder="1" applyAlignment="1" applyProtection="1">
      <alignment horizontal="center"/>
    </xf>
    <xf numFmtId="0" fontId="11" fillId="0" borderId="23" xfId="1" applyNumberFormat="1" applyFont="1" applyFill="1" applyBorder="1" applyAlignment="1" applyProtection="1">
      <alignment horizontal="center"/>
    </xf>
    <xf numFmtId="0" fontId="8" fillId="0" borderId="26" xfId="1" applyFont="1" applyFill="1" applyBorder="1" applyAlignment="1" applyProtection="1">
      <alignment horizontal="center"/>
    </xf>
    <xf numFmtId="0" fontId="8" fillId="0" borderId="27" xfId="1" applyFont="1" applyFill="1" applyBorder="1" applyAlignment="1" applyProtection="1">
      <alignment horizontal="center"/>
    </xf>
    <xf numFmtId="0" fontId="8" fillId="0" borderId="28" xfId="1" applyFont="1" applyFill="1" applyBorder="1" applyAlignment="1" applyProtection="1">
      <alignment horizontal="center"/>
    </xf>
    <xf numFmtId="0" fontId="8" fillId="0" borderId="29" xfId="1" applyFont="1" applyFill="1" applyBorder="1" applyAlignment="1" applyProtection="1">
      <alignment horizontal="center"/>
    </xf>
    <xf numFmtId="0" fontId="8" fillId="0" borderId="30" xfId="1" applyFont="1" applyFill="1" applyBorder="1" applyAlignment="1" applyProtection="1">
      <alignment horizontal="center"/>
    </xf>
    <xf numFmtId="0" fontId="8" fillId="0" borderId="31" xfId="1" applyFont="1" applyFill="1" applyBorder="1" applyAlignment="1" applyProtection="1">
      <alignment horizontal="center"/>
    </xf>
    <xf numFmtId="0" fontId="5" fillId="0" borderId="1" xfId="0" applyFont="1" applyFill="1" applyBorder="1" applyAlignment="1">
      <alignment wrapText="1"/>
    </xf>
    <xf numFmtId="0" fontId="5" fillId="0" borderId="32" xfId="0" applyFont="1" applyFill="1" applyBorder="1" applyAlignment="1">
      <alignment horizontal="center" vertical="center"/>
    </xf>
    <xf numFmtId="0" fontId="5" fillId="0" borderId="33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vertical="center" wrapText="1"/>
    </xf>
    <xf numFmtId="0" fontId="5" fillId="0" borderId="0" xfId="0" applyFont="1" applyFill="1" applyAlignment="1">
      <alignment vertical="center"/>
    </xf>
    <xf numFmtId="14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9" fillId="0" borderId="0" xfId="0" applyFont="1" applyFill="1" applyAlignment="1">
      <alignment vertical="top"/>
    </xf>
    <xf numFmtId="0" fontId="1" fillId="0" borderId="1" xfId="0" applyFont="1" applyFill="1" applyBorder="1" applyAlignment="1">
      <alignment horizontal="center"/>
    </xf>
    <xf numFmtId="20" fontId="5" fillId="0" borderId="13" xfId="0" applyNumberFormat="1" applyFont="1" applyFill="1" applyBorder="1" applyAlignment="1">
      <alignment horizontal="left"/>
    </xf>
    <xf numFmtId="0" fontId="5" fillId="0" borderId="13" xfId="0" applyFont="1" applyFill="1" applyBorder="1"/>
    <xf numFmtId="20" fontId="5" fillId="0" borderId="15" xfId="0" applyNumberFormat="1" applyFont="1" applyFill="1" applyBorder="1" applyAlignment="1">
      <alignment horizontal="left"/>
    </xf>
    <xf numFmtId="0" fontId="5" fillId="0" borderId="15" xfId="0" applyFont="1" applyFill="1" applyBorder="1"/>
    <xf numFmtId="20" fontId="5" fillId="0" borderId="14" xfId="0" applyNumberFormat="1" applyFont="1" applyFill="1" applyBorder="1" applyAlignment="1">
      <alignment horizontal="left"/>
    </xf>
    <xf numFmtId="0" fontId="5" fillId="0" borderId="14" xfId="0" applyFont="1" applyFill="1" applyBorder="1"/>
    <xf numFmtId="0" fontId="4" fillId="0" borderId="0" xfId="0" applyFont="1" applyFill="1" applyBorder="1" applyAlignment="1">
      <alignment horizontal="right"/>
    </xf>
    <xf numFmtId="0" fontId="5" fillId="0" borderId="0" xfId="0" applyNumberFormat="1" applyFont="1" applyFill="1" applyBorder="1" applyAlignment="1" applyProtection="1">
      <alignment horizontal="left" vertical="center"/>
    </xf>
    <xf numFmtId="0" fontId="5" fillId="0" borderId="1" xfId="0" applyNumberFormat="1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0" fontId="3" fillId="2" borderId="7" xfId="0" applyFont="1" applyFill="1" applyBorder="1" applyAlignment="1">
      <alignment vertical="top"/>
    </xf>
    <xf numFmtId="0" fontId="3" fillId="2" borderId="8" xfId="0" applyFont="1" applyFill="1" applyBorder="1" applyAlignment="1">
      <alignment vertical="top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5" fillId="0" borderId="13" xfId="0" applyFont="1" applyFill="1" applyBorder="1" applyAlignment="1">
      <alignment horizontal="center" vertical="distributed"/>
    </xf>
    <xf numFmtId="0" fontId="5" fillId="0" borderId="14" xfId="0" applyFont="1" applyFill="1" applyBorder="1" applyAlignment="1">
      <alignment horizontal="center" vertical="distributed"/>
    </xf>
    <xf numFmtId="0" fontId="11" fillId="0" borderId="2" xfId="1" applyNumberFormat="1" applyFont="1" applyFill="1" applyBorder="1" applyAlignment="1" applyProtection="1">
      <alignment horizontal="center"/>
    </xf>
    <xf numFmtId="0" fontId="11" fillId="0" borderId="16" xfId="1" applyNumberFormat="1" applyFont="1" applyFill="1" applyBorder="1" applyAlignment="1" applyProtection="1">
      <alignment horizontal="center"/>
    </xf>
    <xf numFmtId="0" fontId="13" fillId="0" borderId="0" xfId="0" applyFont="1" applyFill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977900</xdr:colOff>
      <xdr:row>2</xdr:row>
      <xdr:rowOff>114300</xdr:rowOff>
    </xdr:from>
    <xdr:to>
      <xdr:col>1</xdr:col>
      <xdr:colOff>2349500</xdr:colOff>
      <xdr:row>3</xdr:row>
      <xdr:rowOff>288925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901700"/>
          <a:ext cx="2832100" cy="56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2</xdr:row>
      <xdr:rowOff>254000</xdr:rowOff>
    </xdr:from>
    <xdr:to>
      <xdr:col>3</xdr:col>
      <xdr:colOff>952500</xdr:colOff>
      <xdr:row>4</xdr:row>
      <xdr:rowOff>113848</xdr:rowOff>
    </xdr:to>
    <xdr:pic>
      <xdr:nvPicPr>
        <xdr:cNvPr id="4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8200" y="1041400"/>
          <a:ext cx="3225800" cy="6472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12</xdr:col>
      <xdr:colOff>1217700</xdr:colOff>
      <xdr:row>34</xdr:row>
      <xdr:rowOff>313715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3185" b="1843"/>
        <a:stretch/>
      </xdr:blipFill>
      <xdr:spPr>
        <a:xfrm>
          <a:off x="0" y="1682750"/>
          <a:ext cx="16076700" cy="9425965"/>
        </a:xfrm>
        <a:prstGeom prst="rect">
          <a:avLst/>
        </a:prstGeom>
      </xdr:spPr>
    </xdr:pic>
    <xdr:clientData/>
  </xdr:twoCellAnchor>
  <xdr:twoCellAnchor>
    <xdr:from>
      <xdr:col>0</xdr:col>
      <xdr:colOff>269875</xdr:colOff>
      <xdr:row>6</xdr:row>
      <xdr:rowOff>15875</xdr:rowOff>
    </xdr:from>
    <xdr:to>
      <xdr:col>1</xdr:col>
      <xdr:colOff>15875</xdr:colOff>
      <xdr:row>8</xdr:row>
      <xdr:rowOff>269875</xdr:rowOff>
    </xdr:to>
    <xdr:sp macro="" textlink="">
      <xdr:nvSpPr>
        <xdr:cNvPr id="2" name="TextBox 1"/>
        <xdr:cNvSpPr txBox="1"/>
      </xdr:nvSpPr>
      <xdr:spPr>
        <a:xfrm>
          <a:off x="269875" y="1920875"/>
          <a:ext cx="984250" cy="8890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1800"/>
            <a:t>North</a:t>
          </a:r>
        </a:p>
      </xdr:txBody>
    </xdr:sp>
    <xdr:clientData/>
  </xdr:twoCellAnchor>
  <xdr:twoCellAnchor>
    <xdr:from>
      <xdr:col>0</xdr:col>
      <xdr:colOff>746125</xdr:colOff>
      <xdr:row>6</xdr:row>
      <xdr:rowOff>142875</xdr:rowOff>
    </xdr:from>
    <xdr:to>
      <xdr:col>0</xdr:col>
      <xdr:colOff>746126</xdr:colOff>
      <xdr:row>7</xdr:row>
      <xdr:rowOff>222251</xdr:rowOff>
    </xdr:to>
    <xdr:cxnSp macro="">
      <xdr:nvCxnSpPr>
        <xdr:cNvPr id="4" name="Straight Arrow Connector 3"/>
        <xdr:cNvCxnSpPr/>
      </xdr:nvCxnSpPr>
      <xdr:spPr bwMode="auto">
        <a:xfrm flipH="1" flipV="1">
          <a:off x="746125" y="2047875"/>
          <a:ext cx="1" cy="396876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7</xdr:col>
      <xdr:colOff>111125</xdr:colOff>
      <xdr:row>14</xdr:row>
      <xdr:rowOff>31750</xdr:rowOff>
    </xdr:from>
    <xdr:to>
      <xdr:col>7</xdr:col>
      <xdr:colOff>508000</xdr:colOff>
      <xdr:row>15</xdr:row>
      <xdr:rowOff>111125</xdr:rowOff>
    </xdr:to>
    <xdr:sp macro="" textlink="">
      <xdr:nvSpPr>
        <xdr:cNvPr id="8" name="Oval 7"/>
        <xdr:cNvSpPr/>
      </xdr:nvSpPr>
      <xdr:spPr bwMode="auto">
        <a:xfrm>
          <a:off x="8778875" y="4476750"/>
          <a:ext cx="396875" cy="396875"/>
        </a:xfrm>
        <a:prstGeom prst="ellipse">
          <a:avLst/>
        </a:prstGeom>
        <a:solidFill>
          <a:srgbClr val="FFFFFF"/>
        </a:solidFill>
        <a:ln w="28575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2000"/>
            <a:t>A</a:t>
          </a:r>
        </a:p>
      </xdr:txBody>
    </xdr:sp>
    <xdr:clientData/>
  </xdr:twoCellAnchor>
  <xdr:twoCellAnchor>
    <xdr:from>
      <xdr:col>5</xdr:col>
      <xdr:colOff>41275</xdr:colOff>
      <xdr:row>17</xdr:row>
      <xdr:rowOff>311150</xdr:rowOff>
    </xdr:from>
    <xdr:to>
      <xdr:col>5</xdr:col>
      <xdr:colOff>438150</xdr:colOff>
      <xdr:row>19</xdr:row>
      <xdr:rowOff>73025</xdr:rowOff>
    </xdr:to>
    <xdr:sp macro="" textlink="">
      <xdr:nvSpPr>
        <xdr:cNvPr id="34" name="Oval 33"/>
        <xdr:cNvSpPr/>
      </xdr:nvSpPr>
      <xdr:spPr bwMode="auto">
        <a:xfrm>
          <a:off x="6232525" y="5708650"/>
          <a:ext cx="396875" cy="396875"/>
        </a:xfrm>
        <a:prstGeom prst="ellipse">
          <a:avLst/>
        </a:prstGeom>
        <a:solidFill>
          <a:srgbClr val="FFFFFF"/>
        </a:solidFill>
        <a:ln w="28575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2000"/>
            <a:t>C</a:t>
          </a:r>
        </a:p>
      </xdr:txBody>
    </xdr:sp>
    <xdr:clientData/>
  </xdr:twoCellAnchor>
  <xdr:twoCellAnchor>
    <xdr:from>
      <xdr:col>6</xdr:col>
      <xdr:colOff>876300</xdr:colOff>
      <xdr:row>19</xdr:row>
      <xdr:rowOff>273050</xdr:rowOff>
    </xdr:from>
    <xdr:to>
      <xdr:col>7</xdr:col>
      <xdr:colOff>34925</xdr:colOff>
      <xdr:row>21</xdr:row>
      <xdr:rowOff>34925</xdr:rowOff>
    </xdr:to>
    <xdr:sp macro="" textlink="">
      <xdr:nvSpPr>
        <xdr:cNvPr id="35" name="Oval 34"/>
        <xdr:cNvSpPr/>
      </xdr:nvSpPr>
      <xdr:spPr bwMode="auto">
        <a:xfrm>
          <a:off x="8305800" y="6305550"/>
          <a:ext cx="396875" cy="396875"/>
        </a:xfrm>
        <a:prstGeom prst="ellipse">
          <a:avLst/>
        </a:prstGeom>
        <a:solidFill>
          <a:srgbClr val="FFFFFF"/>
        </a:solidFill>
        <a:ln w="28575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2000"/>
            <a:t>B</a:t>
          </a:r>
        </a:p>
      </xdr:txBody>
    </xdr:sp>
    <xdr:clientData/>
  </xdr:twoCellAnchor>
  <xdr:twoCellAnchor editAs="oneCell">
    <xdr:from>
      <xdr:col>5</xdr:col>
      <xdr:colOff>95250</xdr:colOff>
      <xdr:row>0</xdr:row>
      <xdr:rowOff>142875</xdr:rowOff>
    </xdr:from>
    <xdr:to>
      <xdr:col>7</xdr:col>
      <xdr:colOff>482600</xdr:colOff>
      <xdr:row>2</xdr:row>
      <xdr:rowOff>82571</xdr:rowOff>
    </xdr:to>
    <xdr:pic>
      <xdr:nvPicPr>
        <xdr:cNvPr id="3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142875"/>
          <a:ext cx="2863850" cy="5746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63500</xdr:colOff>
      <xdr:row>0</xdr:row>
      <xdr:rowOff>222250</xdr:rowOff>
    </xdr:from>
    <xdr:to>
      <xdr:col>12</xdr:col>
      <xdr:colOff>1079500</xdr:colOff>
      <xdr:row>2</xdr:row>
      <xdr:rowOff>288011</xdr:rowOff>
    </xdr:to>
    <xdr:pic>
      <xdr:nvPicPr>
        <xdr:cNvPr id="3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0" y="222250"/>
          <a:ext cx="3492500" cy="7007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538940</xdr:colOff>
      <xdr:row>9</xdr:row>
      <xdr:rowOff>192112</xdr:rowOff>
    </xdr:from>
    <xdr:to>
      <xdr:col>10</xdr:col>
      <xdr:colOff>798378</xdr:colOff>
      <xdr:row>12</xdr:row>
      <xdr:rowOff>195327</xdr:rowOff>
    </xdr:to>
    <xdr:sp macro="" textlink="">
      <xdr:nvSpPr>
        <xdr:cNvPr id="6" name="Rectangle 5"/>
        <xdr:cNvSpPr/>
      </xdr:nvSpPr>
      <xdr:spPr bwMode="auto">
        <a:xfrm rot="19873999">
          <a:off x="9206690" y="3049612"/>
          <a:ext cx="3974188" cy="955715"/>
        </a:xfrm>
        <a:prstGeom prst="rect">
          <a:avLst/>
        </a:prstGeom>
        <a:noFill/>
        <a:ln w="28575" cap="flat" cmpd="sng" algn="ctr">
          <a:solidFill>
            <a:srgbClr val="00CC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1225466</xdr:colOff>
      <xdr:row>20</xdr:row>
      <xdr:rowOff>246040</xdr:rowOff>
    </xdr:from>
    <xdr:to>
      <xdr:col>5</xdr:col>
      <xdr:colOff>55379</xdr:colOff>
      <xdr:row>23</xdr:row>
      <xdr:rowOff>233910</xdr:rowOff>
    </xdr:to>
    <xdr:sp macro="" textlink="">
      <xdr:nvSpPr>
        <xdr:cNvPr id="38" name="Rectangle 37"/>
        <xdr:cNvSpPr/>
      </xdr:nvSpPr>
      <xdr:spPr bwMode="auto">
        <a:xfrm rot="20272697">
          <a:off x="1225466" y="6596040"/>
          <a:ext cx="5021163" cy="940370"/>
        </a:xfrm>
        <a:prstGeom prst="rect">
          <a:avLst/>
        </a:prstGeom>
        <a:noFill/>
        <a:ln w="28575" cap="flat" cmpd="sng" algn="ctr">
          <a:solidFill>
            <a:srgbClr val="00CC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977814</xdr:colOff>
      <xdr:row>15</xdr:row>
      <xdr:rowOff>55251</xdr:rowOff>
    </xdr:from>
    <xdr:to>
      <xdr:col>7</xdr:col>
      <xdr:colOff>923871</xdr:colOff>
      <xdr:row>18</xdr:row>
      <xdr:rowOff>57937</xdr:rowOff>
    </xdr:to>
    <xdr:sp macro="" textlink="">
      <xdr:nvSpPr>
        <xdr:cNvPr id="39" name="Rectangle 38"/>
        <xdr:cNvSpPr/>
      </xdr:nvSpPr>
      <xdr:spPr bwMode="auto">
        <a:xfrm rot="20063860">
          <a:off x="5930814" y="4817751"/>
          <a:ext cx="3660807" cy="955186"/>
        </a:xfrm>
        <a:prstGeom prst="rect">
          <a:avLst/>
        </a:prstGeom>
        <a:noFill/>
        <a:ln w="28575" cap="flat" cmpd="sng" algn="ctr">
          <a:solidFill>
            <a:srgbClr val="00CC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oneCellAnchor>
    <xdr:from>
      <xdr:col>2</xdr:col>
      <xdr:colOff>1060720</xdr:colOff>
      <xdr:row>23</xdr:row>
      <xdr:rowOff>205873</xdr:rowOff>
    </xdr:from>
    <xdr:ext cx="1053558" cy="468013"/>
    <xdr:sp macro="" textlink="">
      <xdr:nvSpPr>
        <xdr:cNvPr id="33" name="Rectangle 32"/>
        <xdr:cNvSpPr/>
      </xdr:nvSpPr>
      <xdr:spPr>
        <a:xfrm>
          <a:off x="3537220" y="7508373"/>
          <a:ext cx="1053558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Zone</a:t>
          </a:r>
          <a:r>
            <a:rPr lang="en-US" sz="2400" b="0" cap="none" spc="0" baseline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A</a:t>
          </a:r>
          <a:endParaRPr lang="en-US" sz="2400" b="0" cap="none" spc="0">
            <a:ln w="0"/>
            <a:solidFill>
              <a:srgbClr val="00CC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oneCellAnchor>
    <xdr:from>
      <xdr:col>9</xdr:col>
      <xdr:colOff>331109</xdr:colOff>
      <xdr:row>12</xdr:row>
      <xdr:rowOff>88398</xdr:rowOff>
    </xdr:from>
    <xdr:ext cx="1039580" cy="468013"/>
    <xdr:sp macro="" textlink="">
      <xdr:nvSpPr>
        <xdr:cNvPr id="40" name="Rectangle 39"/>
        <xdr:cNvSpPr/>
      </xdr:nvSpPr>
      <xdr:spPr>
        <a:xfrm>
          <a:off x="11475359" y="3898398"/>
          <a:ext cx="103958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Zone</a:t>
          </a:r>
          <a:r>
            <a:rPr lang="en-US" sz="2400" b="0" cap="none" spc="0" baseline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</a:t>
          </a:r>
          <a:endParaRPr lang="en-US" sz="2400" b="0" cap="none" spc="0">
            <a:ln w="0"/>
            <a:solidFill>
              <a:srgbClr val="00CC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oneCellAnchor>
    <xdr:from>
      <xdr:col>5</xdr:col>
      <xdr:colOff>370717</xdr:colOff>
      <xdr:row>13</xdr:row>
      <xdr:rowOff>256673</xdr:rowOff>
    </xdr:from>
    <xdr:ext cx="1042914" cy="468013"/>
    <xdr:sp macro="" textlink="">
      <xdr:nvSpPr>
        <xdr:cNvPr id="41" name="Rectangle 40"/>
        <xdr:cNvSpPr/>
      </xdr:nvSpPr>
      <xdr:spPr>
        <a:xfrm>
          <a:off x="6561967" y="4384173"/>
          <a:ext cx="104291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Zone</a:t>
          </a:r>
          <a:r>
            <a:rPr lang="en-US" sz="2400" b="0" cap="none" spc="0" baseline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</a:t>
          </a:r>
          <a:endParaRPr lang="en-US" sz="2400" b="0" cap="none" spc="0">
            <a:ln w="0"/>
            <a:solidFill>
              <a:srgbClr val="00CC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928687</xdr:colOff>
      <xdr:row>23</xdr:row>
      <xdr:rowOff>198437</xdr:rowOff>
    </xdr:from>
    <xdr:to>
      <xdr:col>1</xdr:col>
      <xdr:colOff>166687</xdr:colOff>
      <xdr:row>25</xdr:row>
      <xdr:rowOff>55562</xdr:rowOff>
    </xdr:to>
    <xdr:grpSp>
      <xdr:nvGrpSpPr>
        <xdr:cNvPr id="9" name="Group 5"/>
        <xdr:cNvGrpSpPr>
          <a:grpSpLocks/>
        </xdr:cNvGrpSpPr>
      </xdr:nvGrpSpPr>
      <xdr:grpSpPr bwMode="auto">
        <a:xfrm rot="15669253">
          <a:off x="920749" y="7508875"/>
          <a:ext cx="492125" cy="476250"/>
          <a:chOff x="420" y="497"/>
          <a:chExt cx="28" cy="44"/>
        </a:xfrm>
      </xdr:grpSpPr>
      <xdr:sp macro="" textlink="">
        <xdr:nvSpPr>
          <xdr:cNvPr id="10" name="AutoShape 6"/>
          <xdr:cNvSpPr>
            <a:spLocks noChangeArrowheads="1"/>
          </xdr:cNvSpPr>
        </xdr:nvSpPr>
        <xdr:spPr bwMode="auto">
          <a:xfrm>
            <a:off x="422" y="497"/>
            <a:ext cx="25" cy="39"/>
          </a:xfrm>
          <a:prstGeom prst="triangle">
            <a:avLst>
              <a:gd name="adj" fmla="val 50000"/>
            </a:avLst>
          </a:pr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" name="Line 7"/>
          <xdr:cNvSpPr>
            <a:spLocks noChangeShapeType="1"/>
          </xdr:cNvSpPr>
        </xdr:nvSpPr>
        <xdr:spPr bwMode="auto">
          <a:xfrm flipH="1">
            <a:off x="424" y="530"/>
            <a:ext cx="20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8"/>
          <xdr:cNvSpPr>
            <a:spLocks noChangeShapeType="1"/>
          </xdr:cNvSpPr>
        </xdr:nvSpPr>
        <xdr:spPr bwMode="auto">
          <a:xfrm flipH="1">
            <a:off x="427" y="521"/>
            <a:ext cx="15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"/>
          <xdr:cNvSpPr>
            <a:spLocks noChangeShapeType="1"/>
          </xdr:cNvSpPr>
        </xdr:nvSpPr>
        <xdr:spPr bwMode="auto">
          <a:xfrm flipH="1">
            <a:off x="430" y="511"/>
            <a:ext cx="8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10"/>
          <xdr:cNvSpPr>
            <a:spLocks noChangeShapeType="1"/>
          </xdr:cNvSpPr>
        </xdr:nvSpPr>
        <xdr:spPr bwMode="auto">
          <a:xfrm flipH="1">
            <a:off x="420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11"/>
          <xdr:cNvSpPr>
            <a:spLocks noChangeShapeType="1"/>
          </xdr:cNvSpPr>
        </xdr:nvSpPr>
        <xdr:spPr bwMode="auto">
          <a:xfrm>
            <a:off x="434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238215</xdr:colOff>
      <xdr:row>21</xdr:row>
      <xdr:rowOff>165194</xdr:rowOff>
    </xdr:from>
    <xdr:to>
      <xdr:col>2</xdr:col>
      <xdr:colOff>708011</xdr:colOff>
      <xdr:row>23</xdr:row>
      <xdr:rowOff>53566</xdr:rowOff>
    </xdr:to>
    <xdr:grpSp>
      <xdr:nvGrpSpPr>
        <xdr:cNvPr id="16" name="Group 5"/>
        <xdr:cNvGrpSpPr>
          <a:grpSpLocks/>
        </xdr:cNvGrpSpPr>
      </xdr:nvGrpSpPr>
      <xdr:grpSpPr bwMode="auto">
        <a:xfrm rot="15601350">
          <a:off x="2687927" y="6859482"/>
          <a:ext cx="523372" cy="469796"/>
          <a:chOff x="420" y="497"/>
          <a:chExt cx="28" cy="44"/>
        </a:xfrm>
      </xdr:grpSpPr>
      <xdr:sp macro="" textlink="">
        <xdr:nvSpPr>
          <xdr:cNvPr id="17" name="AutoShape 6"/>
          <xdr:cNvSpPr>
            <a:spLocks noChangeArrowheads="1"/>
          </xdr:cNvSpPr>
        </xdr:nvSpPr>
        <xdr:spPr bwMode="auto">
          <a:xfrm>
            <a:off x="422" y="497"/>
            <a:ext cx="25" cy="39"/>
          </a:xfrm>
          <a:prstGeom prst="triangle">
            <a:avLst>
              <a:gd name="adj" fmla="val 50000"/>
            </a:avLst>
          </a:pr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" name="Line 7"/>
          <xdr:cNvSpPr>
            <a:spLocks noChangeShapeType="1"/>
          </xdr:cNvSpPr>
        </xdr:nvSpPr>
        <xdr:spPr bwMode="auto">
          <a:xfrm flipH="1">
            <a:off x="424" y="530"/>
            <a:ext cx="20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8"/>
          <xdr:cNvSpPr>
            <a:spLocks noChangeShapeType="1"/>
          </xdr:cNvSpPr>
        </xdr:nvSpPr>
        <xdr:spPr bwMode="auto">
          <a:xfrm flipH="1">
            <a:off x="427" y="521"/>
            <a:ext cx="15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9"/>
          <xdr:cNvSpPr>
            <a:spLocks noChangeShapeType="1"/>
          </xdr:cNvSpPr>
        </xdr:nvSpPr>
        <xdr:spPr bwMode="auto">
          <a:xfrm flipH="1">
            <a:off x="430" y="511"/>
            <a:ext cx="8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10"/>
          <xdr:cNvSpPr>
            <a:spLocks noChangeShapeType="1"/>
          </xdr:cNvSpPr>
        </xdr:nvSpPr>
        <xdr:spPr bwMode="auto">
          <a:xfrm flipH="1">
            <a:off x="420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11"/>
          <xdr:cNvSpPr>
            <a:spLocks noChangeShapeType="1"/>
          </xdr:cNvSpPr>
        </xdr:nvSpPr>
        <xdr:spPr bwMode="auto">
          <a:xfrm>
            <a:off x="434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1154111</xdr:colOff>
      <xdr:row>17</xdr:row>
      <xdr:rowOff>233363</xdr:rowOff>
    </xdr:from>
    <xdr:to>
      <xdr:col>6</xdr:col>
      <xdr:colOff>357186</xdr:colOff>
      <xdr:row>19</xdr:row>
      <xdr:rowOff>55563</xdr:rowOff>
    </xdr:to>
    <xdr:grpSp>
      <xdr:nvGrpSpPr>
        <xdr:cNvPr id="23" name="Group 5"/>
        <xdr:cNvGrpSpPr>
          <a:grpSpLocks/>
        </xdr:cNvGrpSpPr>
      </xdr:nvGrpSpPr>
      <xdr:grpSpPr bwMode="auto">
        <a:xfrm rot="14061855">
          <a:off x="7337424" y="5638800"/>
          <a:ext cx="457200" cy="441325"/>
          <a:chOff x="420" y="497"/>
          <a:chExt cx="28" cy="44"/>
        </a:xfrm>
      </xdr:grpSpPr>
      <xdr:sp macro="" textlink="">
        <xdr:nvSpPr>
          <xdr:cNvPr id="24" name="AutoShape 6"/>
          <xdr:cNvSpPr>
            <a:spLocks noChangeArrowheads="1"/>
          </xdr:cNvSpPr>
        </xdr:nvSpPr>
        <xdr:spPr bwMode="auto">
          <a:xfrm>
            <a:off x="422" y="497"/>
            <a:ext cx="25" cy="39"/>
          </a:xfrm>
          <a:prstGeom prst="triangle">
            <a:avLst>
              <a:gd name="adj" fmla="val 50000"/>
            </a:avLst>
          </a:pr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Line 7"/>
          <xdr:cNvSpPr>
            <a:spLocks noChangeShapeType="1"/>
          </xdr:cNvSpPr>
        </xdr:nvSpPr>
        <xdr:spPr bwMode="auto">
          <a:xfrm flipH="1">
            <a:off x="424" y="530"/>
            <a:ext cx="20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" name="Line 8"/>
          <xdr:cNvSpPr>
            <a:spLocks noChangeShapeType="1"/>
          </xdr:cNvSpPr>
        </xdr:nvSpPr>
        <xdr:spPr bwMode="auto">
          <a:xfrm flipH="1">
            <a:off x="427" y="521"/>
            <a:ext cx="15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" name="Line 9"/>
          <xdr:cNvSpPr>
            <a:spLocks noChangeShapeType="1"/>
          </xdr:cNvSpPr>
        </xdr:nvSpPr>
        <xdr:spPr bwMode="auto">
          <a:xfrm flipH="1">
            <a:off x="430" y="511"/>
            <a:ext cx="8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8" name="Line 10"/>
          <xdr:cNvSpPr>
            <a:spLocks noChangeShapeType="1"/>
          </xdr:cNvSpPr>
        </xdr:nvSpPr>
        <xdr:spPr bwMode="auto">
          <a:xfrm flipH="1">
            <a:off x="420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" name="Line 11"/>
          <xdr:cNvSpPr>
            <a:spLocks noChangeShapeType="1"/>
          </xdr:cNvSpPr>
        </xdr:nvSpPr>
        <xdr:spPr bwMode="auto">
          <a:xfrm>
            <a:off x="434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558800</xdr:colOff>
      <xdr:row>18</xdr:row>
      <xdr:rowOff>304800</xdr:rowOff>
    </xdr:from>
    <xdr:to>
      <xdr:col>6</xdr:col>
      <xdr:colOff>10541</xdr:colOff>
      <xdr:row>19</xdr:row>
      <xdr:rowOff>278296</xdr:rowOff>
    </xdr:to>
    <xdr:sp macro="" textlink="">
      <xdr:nvSpPr>
        <xdr:cNvPr id="30" name="TextBox 29"/>
        <xdr:cNvSpPr txBox="1"/>
      </xdr:nvSpPr>
      <xdr:spPr>
        <a:xfrm>
          <a:off x="6750050" y="6019800"/>
          <a:ext cx="689991" cy="290996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</a:rPr>
            <a:t>CAM 1</a:t>
          </a:r>
        </a:p>
      </xdr:txBody>
    </xdr:sp>
    <xdr:clientData/>
  </xdr:twoCellAnchor>
  <xdr:twoCellAnchor>
    <xdr:from>
      <xdr:col>1</xdr:col>
      <xdr:colOff>790575</xdr:colOff>
      <xdr:row>21</xdr:row>
      <xdr:rowOff>123825</xdr:rowOff>
    </xdr:from>
    <xdr:to>
      <xdr:col>2</xdr:col>
      <xdr:colOff>242316</xdr:colOff>
      <xdr:row>22</xdr:row>
      <xdr:rowOff>97321</xdr:rowOff>
    </xdr:to>
    <xdr:sp macro="" textlink="">
      <xdr:nvSpPr>
        <xdr:cNvPr id="31" name="TextBox 30"/>
        <xdr:cNvSpPr txBox="1"/>
      </xdr:nvSpPr>
      <xdr:spPr>
        <a:xfrm>
          <a:off x="2028825" y="6791325"/>
          <a:ext cx="689991" cy="290996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</a:rPr>
            <a:t>CAM 1</a:t>
          </a:r>
        </a:p>
      </xdr:txBody>
    </xdr:sp>
    <xdr:clientData/>
  </xdr:twoCellAnchor>
  <xdr:twoCellAnchor>
    <xdr:from>
      <xdr:col>0</xdr:col>
      <xdr:colOff>212725</xdr:colOff>
      <xdr:row>23</xdr:row>
      <xdr:rowOff>149225</xdr:rowOff>
    </xdr:from>
    <xdr:to>
      <xdr:col>0</xdr:col>
      <xdr:colOff>902716</xdr:colOff>
      <xdr:row>24</xdr:row>
      <xdr:rowOff>122721</xdr:rowOff>
    </xdr:to>
    <xdr:sp macro="" textlink="">
      <xdr:nvSpPr>
        <xdr:cNvPr id="32" name="TextBox 31"/>
        <xdr:cNvSpPr txBox="1"/>
      </xdr:nvSpPr>
      <xdr:spPr>
        <a:xfrm>
          <a:off x="212725" y="7451725"/>
          <a:ext cx="689991" cy="290996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</a:rPr>
            <a:t>CAM 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22225</xdr:colOff>
      <xdr:row>3</xdr:row>
      <xdr:rowOff>22225</xdr:rowOff>
    </xdr:from>
    <xdr:to>
      <xdr:col>7</xdr:col>
      <xdr:colOff>19050</xdr:colOff>
      <xdr:row>5</xdr:row>
      <xdr:rowOff>193675</xdr:rowOff>
    </xdr:to>
    <xdr:pic>
      <xdr:nvPicPr>
        <xdr:cNvPr id="3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631825"/>
          <a:ext cx="2892425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152400</xdr:colOff>
      <xdr:row>0</xdr:row>
      <xdr:rowOff>139700</xdr:rowOff>
    </xdr:from>
    <xdr:to>
      <xdr:col>6</xdr:col>
      <xdr:colOff>12700</xdr:colOff>
      <xdr:row>3</xdr:row>
      <xdr:rowOff>98425</xdr:rowOff>
    </xdr:to>
    <xdr:pic>
      <xdr:nvPicPr>
        <xdr:cNvPr id="4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39700"/>
          <a:ext cx="2832100" cy="56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542925</xdr:colOff>
      <xdr:row>3</xdr:row>
      <xdr:rowOff>34925</xdr:rowOff>
    </xdr:from>
    <xdr:to>
      <xdr:col>5</xdr:col>
      <xdr:colOff>717550</xdr:colOff>
      <xdr:row>5</xdr:row>
      <xdr:rowOff>206375</xdr:rowOff>
    </xdr:to>
    <xdr:pic>
      <xdr:nvPicPr>
        <xdr:cNvPr id="4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644525"/>
          <a:ext cx="2892425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114300</xdr:colOff>
      <xdr:row>0</xdr:row>
      <xdr:rowOff>152400</xdr:rowOff>
    </xdr:from>
    <xdr:to>
      <xdr:col>5</xdr:col>
      <xdr:colOff>228600</xdr:colOff>
      <xdr:row>3</xdr:row>
      <xdr:rowOff>111125</xdr:rowOff>
    </xdr:to>
    <xdr:pic>
      <xdr:nvPicPr>
        <xdr:cNvPr id="5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52400"/>
          <a:ext cx="2832100" cy="56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542925</xdr:colOff>
      <xdr:row>3</xdr:row>
      <xdr:rowOff>47625</xdr:rowOff>
    </xdr:from>
    <xdr:to>
      <xdr:col>4</xdr:col>
      <xdr:colOff>514350</xdr:colOff>
      <xdr:row>5</xdr:row>
      <xdr:rowOff>219075</xdr:rowOff>
    </xdr:to>
    <xdr:pic>
      <xdr:nvPicPr>
        <xdr:cNvPr id="4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657225"/>
          <a:ext cx="2892425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114300</xdr:colOff>
      <xdr:row>0</xdr:row>
      <xdr:rowOff>165100</xdr:rowOff>
    </xdr:from>
    <xdr:to>
      <xdr:col>4</xdr:col>
      <xdr:colOff>25400</xdr:colOff>
      <xdr:row>3</xdr:row>
      <xdr:rowOff>123825</xdr:rowOff>
    </xdr:to>
    <xdr:pic>
      <xdr:nvPicPr>
        <xdr:cNvPr id="5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5100"/>
          <a:ext cx="2832100" cy="56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"/>
  <sheetViews>
    <sheetView tabSelected="1" zoomScale="75" zoomScaleNormal="75" workbookViewId="0">
      <selection sqref="A1:D1"/>
    </sheetView>
  </sheetViews>
  <sheetFormatPr defaultRowHeight="12.75"/>
  <cols>
    <col min="1" max="1" width="21.85546875" style="1" customWidth="1"/>
    <col min="2" max="3" width="40.85546875" style="1" customWidth="1"/>
    <col min="4" max="4" width="21.85546875" style="1" customWidth="1"/>
    <col min="5" max="16384" width="9.140625" style="1"/>
  </cols>
  <sheetData>
    <row r="1" spans="1:4" ht="30.75" customHeight="1">
      <c r="A1" s="103"/>
      <c r="B1" s="103"/>
      <c r="C1" s="103"/>
      <c r="D1" s="103"/>
    </row>
    <row r="2" spans="1:4" ht="30.75" customHeight="1"/>
    <row r="3" spans="1:4" ht="30.75" customHeight="1"/>
    <row r="4" spans="1:4" ht="30.75" customHeight="1"/>
    <row r="5" spans="1:4" ht="30.75" customHeight="1"/>
    <row r="6" spans="1:4" ht="30.75" customHeight="1">
      <c r="B6" s="2" t="s">
        <v>0</v>
      </c>
      <c r="C6" s="2" t="s">
        <v>55</v>
      </c>
    </row>
    <row r="7" spans="1:4" ht="30.75" customHeight="1">
      <c r="B7" s="2" t="s">
        <v>1</v>
      </c>
      <c r="C7" s="2" t="s">
        <v>34</v>
      </c>
    </row>
    <row r="8" spans="1:4" ht="30.75" customHeight="1">
      <c r="B8" s="2" t="s">
        <v>2</v>
      </c>
      <c r="C8" s="3" t="s">
        <v>56</v>
      </c>
    </row>
    <row r="9" spans="1:4" ht="30.75" customHeight="1">
      <c r="B9" s="2" t="s">
        <v>3</v>
      </c>
      <c r="C9" s="4" t="s">
        <v>43</v>
      </c>
    </row>
    <row r="10" spans="1:4" ht="30.75" customHeight="1">
      <c r="B10" s="2" t="s">
        <v>4</v>
      </c>
      <c r="C10" s="2" t="s">
        <v>30</v>
      </c>
    </row>
    <row r="11" spans="1:4" ht="30.75" customHeight="1">
      <c r="B11" s="2" t="s">
        <v>5</v>
      </c>
      <c r="C11" s="2" t="s">
        <v>57</v>
      </c>
    </row>
    <row r="12" spans="1:4" ht="30.75" customHeight="1">
      <c r="B12" s="5" t="s">
        <v>6</v>
      </c>
      <c r="C12" s="6"/>
    </row>
    <row r="13" spans="1:4" ht="30.75" customHeight="1">
      <c r="B13" s="99" t="s">
        <v>58</v>
      </c>
      <c r="C13" s="100"/>
    </row>
    <row r="14" spans="1:4" ht="30.75" customHeight="1">
      <c r="B14" s="99"/>
      <c r="C14" s="100"/>
    </row>
    <row r="15" spans="1:4" ht="30.75" customHeight="1">
      <c r="B15" s="101"/>
      <c r="C15" s="102"/>
    </row>
    <row r="16" spans="1:4" ht="17.25" customHeight="1"/>
    <row r="17" spans="1:4" ht="30.75" customHeight="1">
      <c r="A17" s="104"/>
      <c r="B17" s="104"/>
      <c r="C17" s="104"/>
      <c r="D17" s="104"/>
    </row>
  </sheetData>
  <mergeCells count="3">
    <mergeCell ref="B13:C15"/>
    <mergeCell ref="A1:D1"/>
    <mergeCell ref="A17:D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5"/>
  <sheetViews>
    <sheetView zoomScale="60" zoomScaleNormal="60" workbookViewId="0">
      <selection activeCell="A6" sqref="A6"/>
    </sheetView>
  </sheetViews>
  <sheetFormatPr defaultRowHeight="12.75"/>
  <cols>
    <col min="1" max="35" width="18.5703125" style="1" customWidth="1"/>
    <col min="36" max="16384" width="9.140625" style="1"/>
  </cols>
  <sheetData>
    <row r="1" spans="1:13" ht="25.5" customHeight="1">
      <c r="A1" s="10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2"/>
    </row>
    <row r="2" spans="1:13" ht="24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5"/>
    </row>
    <row r="3" spans="1:13" ht="24.75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</row>
    <row r="4" spans="1:13" ht="24.75" customHeight="1">
      <c r="A4" s="7" t="s">
        <v>7</v>
      </c>
      <c r="B4" s="8"/>
      <c r="C4" s="8" t="str">
        <f>'Job Details'!$C$6</f>
        <v>Bristol City Council</v>
      </c>
      <c r="D4" s="8"/>
      <c r="E4" s="8"/>
      <c r="F4" s="22"/>
      <c r="G4" s="7" t="s">
        <v>8</v>
      </c>
      <c r="H4" s="8"/>
      <c r="I4" s="8" t="str">
        <f>'Job Details'!$C$8</f>
        <v>1 - Fishponds Road</v>
      </c>
      <c r="J4" s="8"/>
      <c r="K4" s="8"/>
      <c r="L4" s="8"/>
      <c r="M4" s="23"/>
    </row>
    <row r="5" spans="1:13" ht="24.75" customHeight="1">
      <c r="A5" s="7" t="s">
        <v>9</v>
      </c>
      <c r="B5" s="8"/>
      <c r="C5" s="8" t="str">
        <f>'Job Details'!$C$7</f>
        <v>Wal 2527 Fishponds Road</v>
      </c>
      <c r="D5" s="8"/>
      <c r="E5" s="8"/>
      <c r="F5" s="22"/>
      <c r="G5" s="7" t="s">
        <v>10</v>
      </c>
      <c r="H5" s="8"/>
      <c r="I5" s="9" t="str">
        <f>'Job Details'!$C$9</f>
        <v>Tuesday 10th November 2015</v>
      </c>
      <c r="J5" s="8"/>
      <c r="K5" s="8"/>
      <c r="L5" s="8"/>
      <c r="M5" s="23"/>
    </row>
    <row r="6" spans="1:13" ht="24.75" customHeight="1">
      <c r="A6" s="18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7"/>
    </row>
    <row r="7" spans="1:13" ht="24.75" customHeight="1">
      <c r="A7" s="18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7"/>
    </row>
    <row r="8" spans="1:13" ht="24.75" customHeight="1">
      <c r="A8" s="18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7"/>
    </row>
    <row r="9" spans="1:13" ht="24.75" customHeight="1">
      <c r="A9" s="18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7"/>
    </row>
    <row r="10" spans="1:13" ht="24.75" customHeight="1">
      <c r="A10" s="18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7"/>
    </row>
    <row r="11" spans="1:13" ht="24.75" customHeight="1">
      <c r="A11" s="18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7"/>
    </row>
    <row r="12" spans="1:13" ht="24.75" customHeight="1">
      <c r="A12" s="18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7"/>
    </row>
    <row r="13" spans="1:13" ht="24.75" customHeight="1">
      <c r="A13" s="18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7"/>
    </row>
    <row r="14" spans="1:13" ht="24.75" customHeight="1">
      <c r="A14" s="18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7"/>
    </row>
    <row r="15" spans="1:13" ht="24.75" customHeight="1">
      <c r="A15" s="18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7"/>
    </row>
    <row r="16" spans="1:13" ht="24.75" customHeight="1">
      <c r="A16" s="18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7"/>
    </row>
    <row r="17" spans="1:13" ht="24.75" customHeight="1">
      <c r="A17" s="18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7"/>
    </row>
    <row r="18" spans="1:13" ht="24.75" customHeight="1">
      <c r="A18" s="18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7"/>
    </row>
    <row r="19" spans="1:13" ht="24.75" customHeight="1">
      <c r="A19" s="18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7"/>
    </row>
    <row r="20" spans="1:13" ht="24.75" customHeight="1">
      <c r="A20" s="18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7"/>
    </row>
    <row r="21" spans="1:13" ht="24.75" customHeight="1">
      <c r="A21" s="18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7"/>
    </row>
    <row r="22" spans="1:13" ht="24.75" customHeight="1">
      <c r="A22" s="18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7"/>
    </row>
    <row r="23" spans="1:13" ht="24.75" customHeight="1">
      <c r="A23" s="18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7"/>
    </row>
    <row r="24" spans="1:13" ht="24.75" customHeight="1">
      <c r="A24" s="18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7"/>
    </row>
    <row r="25" spans="1:13" ht="24.75" customHeight="1">
      <c r="A25" s="18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7"/>
    </row>
    <row r="26" spans="1:13" ht="24.75" customHeight="1">
      <c r="A26" s="18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7"/>
    </row>
    <row r="27" spans="1:13" ht="24.75" customHeight="1">
      <c r="A27" s="18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7"/>
    </row>
    <row r="28" spans="1:13" ht="24.75" customHeight="1">
      <c r="A28" s="18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7"/>
    </row>
    <row r="29" spans="1:13" ht="24.75" customHeight="1">
      <c r="A29" s="18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7"/>
    </row>
    <row r="30" spans="1:13" ht="24.75" customHeight="1">
      <c r="A30" s="18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7"/>
    </row>
    <row r="31" spans="1:13" ht="24.75" customHeight="1">
      <c r="A31" s="18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7"/>
    </row>
    <row r="32" spans="1:13" ht="24.75" customHeight="1">
      <c r="A32" s="18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7"/>
    </row>
    <row r="33" spans="1:13" ht="24.75" customHeight="1">
      <c r="A33" s="18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7"/>
    </row>
    <row r="34" spans="1:13" ht="24.75" customHeight="1">
      <c r="A34" s="18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7"/>
    </row>
    <row r="35" spans="1:13" ht="24.75" customHeight="1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51"/>
  <sheetViews>
    <sheetView showGridLines="0" zoomScale="75" zoomScaleNormal="75" workbookViewId="0">
      <selection activeCell="B2" sqref="B2"/>
    </sheetView>
  </sheetViews>
  <sheetFormatPr defaultRowHeight="15.75" customHeight="1"/>
  <cols>
    <col min="1" max="1" width="8.28515625" style="26" customWidth="1"/>
    <col min="2" max="9" width="7.28515625" style="26" customWidth="1"/>
    <col min="10" max="10" width="1.28515625" style="26" customWidth="1"/>
    <col min="11" max="18" width="7.28515625" style="26" customWidth="1"/>
    <col min="19" max="19" width="1.28515625" style="26" customWidth="1"/>
    <col min="20" max="27" width="7.28515625" style="26" customWidth="1"/>
    <col min="28" max="28" width="1.28515625" style="26" customWidth="1"/>
    <col min="29" max="29" width="8.28515625" style="26" customWidth="1"/>
    <col min="30" max="16384" width="9.140625" style="26"/>
  </cols>
  <sheetData>
    <row r="1" spans="1:29" ht="15.75" customHeight="1">
      <c r="A1" s="27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9"/>
    </row>
    <row r="2" spans="1:29" ht="15.75" customHeight="1">
      <c r="A2" s="30"/>
      <c r="B2" s="31"/>
      <c r="C2" s="31"/>
      <c r="D2" s="31"/>
      <c r="E2" s="31"/>
      <c r="F2" s="31"/>
      <c r="G2" s="31"/>
      <c r="H2" s="31"/>
      <c r="I2" s="31"/>
      <c r="J2" s="31"/>
      <c r="K2" s="31"/>
      <c r="L2" s="96" t="s">
        <v>0</v>
      </c>
      <c r="M2" s="46"/>
      <c r="N2" s="46" t="str">
        <f>'Job Details'!$C$6</f>
        <v>Bristol City Council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31"/>
      <c r="AB2" s="31"/>
      <c r="AC2" s="32"/>
    </row>
    <row r="3" spans="1:29" ht="15.75" customHeight="1">
      <c r="A3" s="30"/>
      <c r="B3" s="31"/>
      <c r="C3" s="31"/>
      <c r="D3" s="31"/>
      <c r="E3" s="31"/>
      <c r="F3" s="31"/>
      <c r="G3" s="31"/>
      <c r="H3" s="31"/>
      <c r="I3" s="31"/>
      <c r="J3" s="31"/>
      <c r="K3" s="31"/>
      <c r="L3" s="96" t="s">
        <v>1</v>
      </c>
      <c r="M3" s="46"/>
      <c r="N3" s="46" t="str">
        <f>'Job Details'!$C$7</f>
        <v>Wal 2527 Fishponds Road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31"/>
      <c r="AB3" s="31"/>
      <c r="AC3" s="32"/>
    </row>
    <row r="4" spans="1:29" ht="15.75" customHeight="1">
      <c r="A4" s="30"/>
      <c r="B4" s="31"/>
      <c r="C4" s="31"/>
      <c r="D4" s="31"/>
      <c r="E4" s="31"/>
      <c r="F4" s="31"/>
      <c r="G4" s="31"/>
      <c r="H4" s="31"/>
      <c r="I4" s="31"/>
      <c r="J4" s="31"/>
      <c r="K4" s="31"/>
      <c r="L4" s="96" t="s">
        <v>11</v>
      </c>
      <c r="M4" s="46"/>
      <c r="N4" s="47" t="str">
        <f>'Job Details'!C8</f>
        <v>1 - Fishponds Road</v>
      </c>
      <c r="O4" s="46"/>
      <c r="P4" s="46"/>
      <c r="Q4" s="46"/>
      <c r="R4" s="46"/>
      <c r="S4" s="46"/>
      <c r="T4" s="46"/>
      <c r="U4" s="46"/>
      <c r="V4" s="46"/>
      <c r="W4" s="45"/>
      <c r="X4" s="46"/>
      <c r="Y4" s="46"/>
      <c r="Z4" s="46"/>
      <c r="AA4" s="31"/>
      <c r="AB4" s="31"/>
      <c r="AC4" s="32"/>
    </row>
    <row r="5" spans="1:29" ht="15.75" customHeight="1">
      <c r="A5" s="30"/>
      <c r="B5" s="31"/>
      <c r="C5" s="31"/>
      <c r="D5" s="31"/>
      <c r="E5" s="31"/>
      <c r="F5" s="31"/>
      <c r="G5" s="31"/>
      <c r="H5" s="31"/>
      <c r="I5" s="31"/>
      <c r="J5" s="31"/>
      <c r="K5" s="31"/>
      <c r="L5" s="96" t="s">
        <v>12</v>
      </c>
      <c r="M5" s="46"/>
      <c r="N5" s="86" t="str">
        <f>'Job Details'!$C$9</f>
        <v>Tuesday 10th November 2015</v>
      </c>
      <c r="O5" s="87"/>
      <c r="P5" s="87"/>
      <c r="Q5" s="46"/>
      <c r="R5" s="46"/>
      <c r="S5" s="46"/>
      <c r="T5" s="46"/>
      <c r="U5" s="46"/>
      <c r="V5" s="46"/>
      <c r="W5" s="45"/>
      <c r="X5" s="46"/>
      <c r="Y5" s="46"/>
      <c r="Z5" s="46"/>
      <c r="AA5" s="31"/>
      <c r="AB5" s="31"/>
      <c r="AC5" s="32"/>
    </row>
    <row r="6" spans="1:29" ht="21.75" customHeight="1">
      <c r="A6" s="33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5"/>
    </row>
    <row r="8" spans="1:29" ht="15.75" customHeight="1">
      <c r="A8" s="36" t="s">
        <v>13</v>
      </c>
      <c r="B8" s="36" t="str">
        <f>$D$9</f>
        <v>A - Fishponds Road (E)</v>
      </c>
    </row>
    <row r="9" spans="1:29" ht="15.75" customHeight="1">
      <c r="B9" s="37" t="s">
        <v>14</v>
      </c>
      <c r="C9" s="38"/>
      <c r="D9" s="38" t="s">
        <v>59</v>
      </c>
      <c r="E9" s="38"/>
      <c r="F9" s="38"/>
      <c r="G9" s="38"/>
      <c r="H9" s="39"/>
      <c r="I9" s="40"/>
      <c r="K9" s="37" t="s">
        <v>14</v>
      </c>
      <c r="L9" s="38"/>
      <c r="M9" s="38" t="s">
        <v>60</v>
      </c>
      <c r="N9" s="38"/>
      <c r="O9" s="38"/>
      <c r="P9" s="38"/>
      <c r="Q9" s="39"/>
      <c r="R9" s="40"/>
      <c r="T9" s="37" t="s">
        <v>14</v>
      </c>
      <c r="U9" s="38"/>
      <c r="V9" s="38" t="s">
        <v>61</v>
      </c>
      <c r="W9" s="38"/>
      <c r="X9" s="38"/>
      <c r="Y9" s="38"/>
      <c r="Z9" s="39"/>
      <c r="AA9" s="40"/>
      <c r="AC9" s="105" t="s">
        <v>23</v>
      </c>
    </row>
    <row r="10" spans="1:29" s="41" customFormat="1" ht="15.75" customHeight="1">
      <c r="B10" s="42" t="s">
        <v>15</v>
      </c>
      <c r="C10" s="43" t="s">
        <v>16</v>
      </c>
      <c r="D10" s="43" t="s">
        <v>17</v>
      </c>
      <c r="E10" s="43" t="s">
        <v>18</v>
      </c>
      <c r="F10" s="43" t="s">
        <v>19</v>
      </c>
      <c r="G10" s="43" t="s">
        <v>20</v>
      </c>
      <c r="H10" s="44" t="s">
        <v>21</v>
      </c>
      <c r="I10" s="89" t="s">
        <v>22</v>
      </c>
      <c r="K10" s="42" t="str">
        <f>$B$10</f>
        <v>CAR</v>
      </c>
      <c r="L10" s="43" t="str">
        <f>$C$10</f>
        <v>LGV</v>
      </c>
      <c r="M10" s="43" t="str">
        <f>$D$10</f>
        <v>OGV1</v>
      </c>
      <c r="N10" s="43" t="str">
        <f>$E$10</f>
        <v>OGV2</v>
      </c>
      <c r="O10" s="43" t="str">
        <f>$F$10</f>
        <v>PSV</v>
      </c>
      <c r="P10" s="43" t="str">
        <f>$G$10</f>
        <v>MC</v>
      </c>
      <c r="Q10" s="44" t="str">
        <f>$H$10</f>
        <v>PC</v>
      </c>
      <c r="R10" s="89" t="s">
        <v>22</v>
      </c>
      <c r="T10" s="42" t="str">
        <f>$B$10</f>
        <v>CAR</v>
      </c>
      <c r="U10" s="43" t="str">
        <f>$C$10</f>
        <v>LGV</v>
      </c>
      <c r="V10" s="43" t="str">
        <f>$D$10</f>
        <v>OGV1</v>
      </c>
      <c r="W10" s="43" t="str">
        <f>$E$10</f>
        <v>OGV2</v>
      </c>
      <c r="X10" s="43" t="str">
        <f>$F$10</f>
        <v>PSV</v>
      </c>
      <c r="Y10" s="43" t="str">
        <f>$G$10</f>
        <v>MC</v>
      </c>
      <c r="Z10" s="44" t="str">
        <f>$H$10</f>
        <v>PC</v>
      </c>
      <c r="AA10" s="89" t="s">
        <v>22</v>
      </c>
      <c r="AC10" s="106"/>
    </row>
    <row r="12" spans="1:29" ht="15.75" customHeight="1">
      <c r="A12" s="90">
        <v>0.29166666666666669</v>
      </c>
      <c r="B12" s="27">
        <v>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9">
        <v>0</v>
      </c>
      <c r="I12" s="91">
        <f>SUM(B12:H12)</f>
        <v>0</v>
      </c>
      <c r="K12" s="27">
        <v>0</v>
      </c>
      <c r="L12" s="28">
        <v>2</v>
      </c>
      <c r="M12" s="28">
        <v>0</v>
      </c>
      <c r="N12" s="28">
        <v>0</v>
      </c>
      <c r="O12" s="28">
        <v>0</v>
      </c>
      <c r="P12" s="28">
        <v>0</v>
      </c>
      <c r="Q12" s="29">
        <v>0</v>
      </c>
      <c r="R12" s="91">
        <f>SUM(K12:Q12)</f>
        <v>2</v>
      </c>
      <c r="T12" s="27">
        <v>163</v>
      </c>
      <c r="U12" s="28">
        <v>30</v>
      </c>
      <c r="V12" s="28">
        <v>3</v>
      </c>
      <c r="W12" s="28">
        <v>0</v>
      </c>
      <c r="X12" s="28">
        <v>4</v>
      </c>
      <c r="Y12" s="28">
        <v>6</v>
      </c>
      <c r="Z12" s="29">
        <v>4</v>
      </c>
      <c r="AA12" s="91">
        <f>SUM(T12:Z12)</f>
        <v>210</v>
      </c>
      <c r="AC12" s="91">
        <f>SUM(I12+R12+AA12)</f>
        <v>212</v>
      </c>
    </row>
    <row r="13" spans="1:29" ht="15.75" customHeight="1">
      <c r="A13" s="92">
        <v>0.30208333333333331</v>
      </c>
      <c r="B13" s="30">
        <v>0</v>
      </c>
      <c r="C13" s="31">
        <v>0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 s="93">
        <f>SUM(B13:H13)</f>
        <v>0</v>
      </c>
      <c r="K13" s="30">
        <v>3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2">
        <v>0</v>
      </c>
      <c r="R13" s="93">
        <f>SUM(K13:Q13)</f>
        <v>3</v>
      </c>
      <c r="T13" s="30">
        <v>150</v>
      </c>
      <c r="U13" s="31">
        <v>31</v>
      </c>
      <c r="V13" s="31">
        <v>2</v>
      </c>
      <c r="W13" s="31">
        <v>0</v>
      </c>
      <c r="X13" s="31">
        <v>4</v>
      </c>
      <c r="Y13" s="31">
        <v>7</v>
      </c>
      <c r="Z13" s="32">
        <v>3</v>
      </c>
      <c r="AA13" s="93">
        <f>SUM(T13:Z13)</f>
        <v>197</v>
      </c>
      <c r="AC13" s="93">
        <f>SUM(I13+R13+AA13)</f>
        <v>200</v>
      </c>
    </row>
    <row r="14" spans="1:29" ht="15.75" customHeight="1">
      <c r="A14" s="92">
        <v>0.3125</v>
      </c>
      <c r="B14" s="30">
        <v>0</v>
      </c>
      <c r="C14" s="31">
        <v>0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 s="93">
        <f>SUM(B14:H14)</f>
        <v>0</v>
      </c>
      <c r="K14" s="30">
        <v>1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2">
        <v>0</v>
      </c>
      <c r="R14" s="93">
        <f>SUM(K14:Q14)</f>
        <v>1</v>
      </c>
      <c r="T14" s="30">
        <v>99</v>
      </c>
      <c r="U14" s="31">
        <v>20</v>
      </c>
      <c r="V14" s="31">
        <v>4</v>
      </c>
      <c r="W14" s="31">
        <v>0</v>
      </c>
      <c r="X14" s="31">
        <v>7</v>
      </c>
      <c r="Y14" s="31">
        <v>8</v>
      </c>
      <c r="Z14" s="32">
        <v>5</v>
      </c>
      <c r="AA14" s="93">
        <f>SUM(T14:Z14)</f>
        <v>143</v>
      </c>
      <c r="AC14" s="93">
        <f>SUM(I14+R14+AA14)</f>
        <v>144</v>
      </c>
    </row>
    <row r="15" spans="1:29" ht="15.75" customHeight="1">
      <c r="A15" s="94">
        <v>0.32291666666666669</v>
      </c>
      <c r="B15" s="33">
        <v>0</v>
      </c>
      <c r="C15" s="34">
        <v>0</v>
      </c>
      <c r="D15" s="34">
        <v>0</v>
      </c>
      <c r="E15" s="34">
        <v>0</v>
      </c>
      <c r="F15" s="34">
        <v>0</v>
      </c>
      <c r="G15" s="34">
        <v>0</v>
      </c>
      <c r="H15" s="35">
        <v>0</v>
      </c>
      <c r="I15" s="95">
        <f>SUM(B15:H15)</f>
        <v>0</v>
      </c>
      <c r="K15" s="33">
        <v>2</v>
      </c>
      <c r="L15" s="34">
        <v>0</v>
      </c>
      <c r="M15" s="34">
        <v>0</v>
      </c>
      <c r="N15" s="34">
        <v>0</v>
      </c>
      <c r="O15" s="34">
        <v>0</v>
      </c>
      <c r="P15" s="34">
        <v>0</v>
      </c>
      <c r="Q15" s="35">
        <v>0</v>
      </c>
      <c r="R15" s="95">
        <f>SUM(K15:Q15)</f>
        <v>2</v>
      </c>
      <c r="T15" s="33">
        <v>83</v>
      </c>
      <c r="U15" s="34">
        <v>17</v>
      </c>
      <c r="V15" s="34">
        <v>3</v>
      </c>
      <c r="W15" s="34">
        <v>0</v>
      </c>
      <c r="X15" s="34">
        <v>3</v>
      </c>
      <c r="Y15" s="34">
        <v>13</v>
      </c>
      <c r="Z15" s="35">
        <v>10</v>
      </c>
      <c r="AA15" s="95">
        <f>SUM(T15:Z15)</f>
        <v>129</v>
      </c>
      <c r="AC15" s="95">
        <f>SUM(I15+R15+AA15)</f>
        <v>131</v>
      </c>
    </row>
    <row r="16" spans="1:29" ht="15.75" customHeight="1">
      <c r="A16" s="40" t="s">
        <v>24</v>
      </c>
      <c r="B16" s="37">
        <f t="shared" ref="B16:I16" si="0">SUM(B12:B15)</f>
        <v>0</v>
      </c>
      <c r="C16" s="38">
        <f t="shared" si="0"/>
        <v>0</v>
      </c>
      <c r="D16" s="38">
        <f t="shared" si="0"/>
        <v>0</v>
      </c>
      <c r="E16" s="38">
        <f t="shared" si="0"/>
        <v>0</v>
      </c>
      <c r="F16" s="38">
        <f t="shared" si="0"/>
        <v>0</v>
      </c>
      <c r="G16" s="38">
        <f t="shared" si="0"/>
        <v>0</v>
      </c>
      <c r="H16" s="39">
        <f t="shared" si="0"/>
        <v>0</v>
      </c>
      <c r="I16" s="40">
        <f t="shared" si="0"/>
        <v>0</v>
      </c>
      <c r="K16" s="37">
        <f t="shared" ref="K16:R16" si="1">SUM(K12:K15)</f>
        <v>6</v>
      </c>
      <c r="L16" s="38">
        <f t="shared" si="1"/>
        <v>2</v>
      </c>
      <c r="M16" s="38">
        <f t="shared" si="1"/>
        <v>0</v>
      </c>
      <c r="N16" s="38">
        <f t="shared" si="1"/>
        <v>0</v>
      </c>
      <c r="O16" s="38">
        <f t="shared" si="1"/>
        <v>0</v>
      </c>
      <c r="P16" s="38">
        <f t="shared" si="1"/>
        <v>0</v>
      </c>
      <c r="Q16" s="39">
        <f t="shared" si="1"/>
        <v>0</v>
      </c>
      <c r="R16" s="40">
        <f t="shared" si="1"/>
        <v>8</v>
      </c>
      <c r="T16" s="37">
        <f t="shared" ref="T16:AA16" si="2">SUM(T12:T15)</f>
        <v>495</v>
      </c>
      <c r="U16" s="38">
        <f t="shared" si="2"/>
        <v>98</v>
      </c>
      <c r="V16" s="38">
        <f t="shared" si="2"/>
        <v>12</v>
      </c>
      <c r="W16" s="38">
        <f t="shared" si="2"/>
        <v>0</v>
      </c>
      <c r="X16" s="38">
        <f t="shared" si="2"/>
        <v>18</v>
      </c>
      <c r="Y16" s="38">
        <f t="shared" si="2"/>
        <v>34</v>
      </c>
      <c r="Z16" s="39">
        <f t="shared" si="2"/>
        <v>22</v>
      </c>
      <c r="AA16" s="40">
        <f t="shared" si="2"/>
        <v>679</v>
      </c>
      <c r="AC16" s="40">
        <f>SUM(AC12:AC15)</f>
        <v>687</v>
      </c>
    </row>
    <row r="17" spans="1:29" ht="15.75" customHeight="1">
      <c r="A17" s="90">
        <v>0.33333333333333331</v>
      </c>
      <c r="B17" s="27">
        <v>0</v>
      </c>
      <c r="C17" s="28">
        <v>0</v>
      </c>
      <c r="D17" s="28">
        <v>0</v>
      </c>
      <c r="E17" s="28">
        <v>0</v>
      </c>
      <c r="F17" s="28">
        <v>0</v>
      </c>
      <c r="G17" s="28">
        <v>0</v>
      </c>
      <c r="H17" s="29">
        <v>0</v>
      </c>
      <c r="I17" s="91">
        <f>SUM(B17:H17)</f>
        <v>0</v>
      </c>
      <c r="K17" s="27">
        <v>6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9">
        <v>0</v>
      </c>
      <c r="R17" s="91">
        <f>SUM(K17:Q17)</f>
        <v>6</v>
      </c>
      <c r="T17" s="27">
        <v>77</v>
      </c>
      <c r="U17" s="28">
        <v>14</v>
      </c>
      <c r="V17" s="28">
        <v>1</v>
      </c>
      <c r="W17" s="28">
        <v>2</v>
      </c>
      <c r="X17" s="28">
        <v>8</v>
      </c>
      <c r="Y17" s="28">
        <v>10</v>
      </c>
      <c r="Z17" s="29">
        <v>6</v>
      </c>
      <c r="AA17" s="91">
        <f>SUM(T17:Z17)</f>
        <v>118</v>
      </c>
      <c r="AC17" s="91">
        <f>SUM(I17+R17+AA17)</f>
        <v>124</v>
      </c>
    </row>
    <row r="18" spans="1:29" ht="15.75" customHeight="1">
      <c r="A18" s="92">
        <v>0.34375</v>
      </c>
      <c r="B18" s="30">
        <v>0</v>
      </c>
      <c r="C18" s="31">
        <v>0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 s="93">
        <f>SUM(B18:H18)</f>
        <v>0</v>
      </c>
      <c r="K18" s="30">
        <v>9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2">
        <v>0</v>
      </c>
      <c r="R18" s="93">
        <f>SUM(K18:Q18)</f>
        <v>9</v>
      </c>
      <c r="T18" s="30">
        <v>51</v>
      </c>
      <c r="U18" s="31">
        <v>16</v>
      </c>
      <c r="V18" s="31">
        <v>0</v>
      </c>
      <c r="W18" s="31">
        <v>1</v>
      </c>
      <c r="X18" s="31">
        <v>2</v>
      </c>
      <c r="Y18" s="31">
        <v>10</v>
      </c>
      <c r="Z18" s="32">
        <v>11</v>
      </c>
      <c r="AA18" s="93">
        <f>SUM(T18:Z18)</f>
        <v>91</v>
      </c>
      <c r="AC18" s="93">
        <f>SUM(I18+R18+AA18)</f>
        <v>100</v>
      </c>
    </row>
    <row r="19" spans="1:29" ht="15.75" customHeight="1">
      <c r="A19" s="92">
        <v>0.35416666666666669</v>
      </c>
      <c r="B19" s="30">
        <v>0</v>
      </c>
      <c r="C19" s="31">
        <v>0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 s="93">
        <f>SUM(B19:H19)</f>
        <v>0</v>
      </c>
      <c r="K19" s="30">
        <v>2</v>
      </c>
      <c r="L19" s="31">
        <v>1</v>
      </c>
      <c r="M19" s="31">
        <v>0</v>
      </c>
      <c r="N19" s="31">
        <v>0</v>
      </c>
      <c r="O19" s="31">
        <v>0</v>
      </c>
      <c r="P19" s="31">
        <v>0</v>
      </c>
      <c r="Q19" s="32">
        <v>0</v>
      </c>
      <c r="R19" s="93">
        <f>SUM(K19:Q19)</f>
        <v>3</v>
      </c>
      <c r="T19" s="30">
        <v>91</v>
      </c>
      <c r="U19" s="31">
        <v>15</v>
      </c>
      <c r="V19" s="31">
        <v>1</v>
      </c>
      <c r="W19" s="31">
        <v>3</v>
      </c>
      <c r="X19" s="31">
        <v>1</v>
      </c>
      <c r="Y19" s="31">
        <v>14</v>
      </c>
      <c r="Z19" s="32">
        <v>6</v>
      </c>
      <c r="AA19" s="93">
        <f>SUM(T19:Z19)</f>
        <v>131</v>
      </c>
      <c r="AC19" s="93">
        <f>SUM(I19+R19+AA19)</f>
        <v>134</v>
      </c>
    </row>
    <row r="20" spans="1:29" ht="15.75" customHeight="1">
      <c r="A20" s="94">
        <v>0.36458333333333331</v>
      </c>
      <c r="B20" s="33">
        <v>0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5">
        <v>0</v>
      </c>
      <c r="I20" s="95">
        <f>SUM(B20:H20)</f>
        <v>0</v>
      </c>
      <c r="K20" s="33">
        <v>3</v>
      </c>
      <c r="L20" s="34">
        <v>0</v>
      </c>
      <c r="M20" s="34">
        <v>0</v>
      </c>
      <c r="N20" s="34">
        <v>0</v>
      </c>
      <c r="O20" s="34">
        <v>0</v>
      </c>
      <c r="P20" s="34">
        <v>0</v>
      </c>
      <c r="Q20" s="35">
        <v>0</v>
      </c>
      <c r="R20" s="95">
        <f>SUM(K20:Q20)</f>
        <v>3</v>
      </c>
      <c r="T20" s="33">
        <v>137</v>
      </c>
      <c r="U20" s="34">
        <v>22</v>
      </c>
      <c r="V20" s="34">
        <v>3</v>
      </c>
      <c r="W20" s="34">
        <v>4</v>
      </c>
      <c r="X20" s="34">
        <v>9</v>
      </c>
      <c r="Y20" s="34">
        <v>9</v>
      </c>
      <c r="Z20" s="35">
        <v>11</v>
      </c>
      <c r="AA20" s="95">
        <f>SUM(T20:Z20)</f>
        <v>195</v>
      </c>
      <c r="AC20" s="95">
        <f>SUM(I20+R20+AA20)</f>
        <v>198</v>
      </c>
    </row>
    <row r="21" spans="1:29" ht="15.75" customHeight="1">
      <c r="A21" s="40" t="s">
        <v>24</v>
      </c>
      <c r="B21" s="37">
        <f t="shared" ref="B21:I21" si="3">SUM(B17:B20)</f>
        <v>0</v>
      </c>
      <c r="C21" s="38">
        <f t="shared" si="3"/>
        <v>0</v>
      </c>
      <c r="D21" s="38">
        <f t="shared" si="3"/>
        <v>0</v>
      </c>
      <c r="E21" s="38">
        <f t="shared" si="3"/>
        <v>0</v>
      </c>
      <c r="F21" s="38">
        <f t="shared" si="3"/>
        <v>0</v>
      </c>
      <c r="G21" s="38">
        <f t="shared" si="3"/>
        <v>0</v>
      </c>
      <c r="H21" s="39">
        <f t="shared" si="3"/>
        <v>0</v>
      </c>
      <c r="I21" s="40">
        <f t="shared" si="3"/>
        <v>0</v>
      </c>
      <c r="K21" s="37">
        <f t="shared" ref="K21:R21" si="4">SUM(K17:K20)</f>
        <v>20</v>
      </c>
      <c r="L21" s="38">
        <f t="shared" si="4"/>
        <v>1</v>
      </c>
      <c r="M21" s="38">
        <f t="shared" si="4"/>
        <v>0</v>
      </c>
      <c r="N21" s="38">
        <f t="shared" si="4"/>
        <v>0</v>
      </c>
      <c r="O21" s="38">
        <f t="shared" si="4"/>
        <v>0</v>
      </c>
      <c r="P21" s="38">
        <f t="shared" si="4"/>
        <v>0</v>
      </c>
      <c r="Q21" s="39">
        <f t="shared" si="4"/>
        <v>0</v>
      </c>
      <c r="R21" s="40">
        <f t="shared" si="4"/>
        <v>21</v>
      </c>
      <c r="T21" s="37">
        <f t="shared" ref="T21:AA21" si="5">SUM(T17:T20)</f>
        <v>356</v>
      </c>
      <c r="U21" s="38">
        <f t="shared" si="5"/>
        <v>67</v>
      </c>
      <c r="V21" s="38">
        <f t="shared" si="5"/>
        <v>5</v>
      </c>
      <c r="W21" s="38">
        <f t="shared" si="5"/>
        <v>10</v>
      </c>
      <c r="X21" s="38">
        <f t="shared" si="5"/>
        <v>20</v>
      </c>
      <c r="Y21" s="38">
        <f t="shared" si="5"/>
        <v>43</v>
      </c>
      <c r="Z21" s="39">
        <f t="shared" si="5"/>
        <v>34</v>
      </c>
      <c r="AA21" s="40">
        <f t="shared" si="5"/>
        <v>535</v>
      </c>
      <c r="AC21" s="40">
        <f>SUM(AC17:AC20)</f>
        <v>556</v>
      </c>
    </row>
    <row r="22" spans="1:29" ht="15.75" customHeight="1">
      <c r="A22" s="90">
        <v>0.375</v>
      </c>
      <c r="B22" s="27">
        <v>0</v>
      </c>
      <c r="C22" s="28">
        <v>0</v>
      </c>
      <c r="D22" s="28">
        <v>0</v>
      </c>
      <c r="E22" s="28">
        <v>0</v>
      </c>
      <c r="F22" s="28">
        <v>0</v>
      </c>
      <c r="G22" s="28">
        <v>0</v>
      </c>
      <c r="H22" s="29">
        <v>0</v>
      </c>
      <c r="I22" s="91">
        <f>SUM(B22:H22)</f>
        <v>0</v>
      </c>
      <c r="K22" s="27">
        <v>5</v>
      </c>
      <c r="L22" s="28">
        <v>0</v>
      </c>
      <c r="M22" s="28">
        <v>0</v>
      </c>
      <c r="N22" s="28">
        <v>0</v>
      </c>
      <c r="O22" s="28">
        <v>0</v>
      </c>
      <c r="P22" s="28">
        <v>0</v>
      </c>
      <c r="Q22" s="29">
        <v>0</v>
      </c>
      <c r="R22" s="91">
        <f>SUM(K22:Q22)</f>
        <v>5</v>
      </c>
      <c r="T22" s="27">
        <v>150</v>
      </c>
      <c r="U22" s="28">
        <v>16</v>
      </c>
      <c r="V22" s="28">
        <v>2</v>
      </c>
      <c r="W22" s="28">
        <v>1</v>
      </c>
      <c r="X22" s="28">
        <v>4</v>
      </c>
      <c r="Y22" s="28">
        <v>5</v>
      </c>
      <c r="Z22" s="29">
        <v>3</v>
      </c>
      <c r="AA22" s="91">
        <f>SUM(T22:Z22)</f>
        <v>181</v>
      </c>
      <c r="AC22" s="91">
        <f>SUM(I22+R22+AA22)</f>
        <v>186</v>
      </c>
    </row>
    <row r="23" spans="1:29" ht="15.75" customHeight="1">
      <c r="A23" s="92">
        <v>0.38541666666666669</v>
      </c>
      <c r="B23" s="30">
        <v>0</v>
      </c>
      <c r="C23" s="31">
        <v>0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 s="93">
        <f>SUM(B23:H23)</f>
        <v>0</v>
      </c>
      <c r="K23" s="30">
        <v>1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2">
        <v>0</v>
      </c>
      <c r="R23" s="93">
        <f>SUM(K23:Q23)</f>
        <v>1</v>
      </c>
      <c r="T23" s="30">
        <v>159</v>
      </c>
      <c r="U23" s="31">
        <v>25</v>
      </c>
      <c r="V23" s="31">
        <v>1</v>
      </c>
      <c r="W23" s="31">
        <v>1</v>
      </c>
      <c r="X23" s="31">
        <v>3</v>
      </c>
      <c r="Y23" s="31">
        <v>2</v>
      </c>
      <c r="Z23" s="32">
        <v>5</v>
      </c>
      <c r="AA23" s="93">
        <f>SUM(T23:Z23)</f>
        <v>196</v>
      </c>
      <c r="AC23" s="93">
        <f>SUM(I23+R23+AA23)</f>
        <v>197</v>
      </c>
    </row>
    <row r="24" spans="1:29" ht="15.75" customHeight="1">
      <c r="A24" s="92">
        <v>0.39583333333333331</v>
      </c>
      <c r="B24" s="30">
        <v>0</v>
      </c>
      <c r="C24" s="31">
        <v>0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 s="93">
        <f>SUM(B24:H24)</f>
        <v>0</v>
      </c>
      <c r="K24" s="30">
        <v>2</v>
      </c>
      <c r="L24" s="31">
        <v>1</v>
      </c>
      <c r="M24" s="31">
        <v>0</v>
      </c>
      <c r="N24" s="31">
        <v>0</v>
      </c>
      <c r="O24" s="31">
        <v>0</v>
      </c>
      <c r="P24" s="31">
        <v>0</v>
      </c>
      <c r="Q24" s="32">
        <v>0</v>
      </c>
      <c r="R24" s="93">
        <f>SUM(K24:Q24)</f>
        <v>3</v>
      </c>
      <c r="T24" s="30">
        <v>120</v>
      </c>
      <c r="U24" s="31">
        <v>29</v>
      </c>
      <c r="V24" s="31">
        <v>1</v>
      </c>
      <c r="W24" s="31">
        <v>4</v>
      </c>
      <c r="X24" s="31">
        <v>12</v>
      </c>
      <c r="Y24" s="31">
        <v>4</v>
      </c>
      <c r="Z24" s="32">
        <v>2</v>
      </c>
      <c r="AA24" s="93">
        <f>SUM(T24:Z24)</f>
        <v>172</v>
      </c>
      <c r="AC24" s="93">
        <f>SUM(I24+R24+AA24)</f>
        <v>175</v>
      </c>
    </row>
    <row r="25" spans="1:29" ht="15.75" customHeight="1">
      <c r="A25" s="94">
        <v>0.40625</v>
      </c>
      <c r="B25" s="33">
        <v>0</v>
      </c>
      <c r="C25" s="34">
        <v>0</v>
      </c>
      <c r="D25" s="34">
        <v>0</v>
      </c>
      <c r="E25" s="34">
        <v>0</v>
      </c>
      <c r="F25" s="34">
        <v>0</v>
      </c>
      <c r="G25" s="34">
        <v>0</v>
      </c>
      <c r="H25" s="35">
        <v>0</v>
      </c>
      <c r="I25" s="95">
        <f>SUM(B25:H25)</f>
        <v>0</v>
      </c>
      <c r="K25" s="33">
        <v>2</v>
      </c>
      <c r="L25" s="34">
        <v>0</v>
      </c>
      <c r="M25" s="34">
        <v>0</v>
      </c>
      <c r="N25" s="34">
        <v>0</v>
      </c>
      <c r="O25" s="34">
        <v>0</v>
      </c>
      <c r="P25" s="34">
        <v>0</v>
      </c>
      <c r="Q25" s="35">
        <v>0</v>
      </c>
      <c r="R25" s="95">
        <f>SUM(K25:Q25)</f>
        <v>2</v>
      </c>
      <c r="T25" s="33">
        <v>128</v>
      </c>
      <c r="U25" s="34">
        <v>27</v>
      </c>
      <c r="V25" s="34">
        <v>1</v>
      </c>
      <c r="W25" s="34">
        <v>2</v>
      </c>
      <c r="X25" s="34">
        <v>6</v>
      </c>
      <c r="Y25" s="34">
        <v>2</v>
      </c>
      <c r="Z25" s="35">
        <v>5</v>
      </c>
      <c r="AA25" s="95">
        <f>SUM(T25:Z25)</f>
        <v>171</v>
      </c>
      <c r="AC25" s="95">
        <f>SUM(I25+R25+AA25)</f>
        <v>173</v>
      </c>
    </row>
    <row r="26" spans="1:29" ht="15.75" customHeight="1">
      <c r="A26" s="40" t="s">
        <v>24</v>
      </c>
      <c r="B26" s="37">
        <f t="shared" ref="B26:I26" si="6">SUM(B22:B25)</f>
        <v>0</v>
      </c>
      <c r="C26" s="38">
        <f t="shared" si="6"/>
        <v>0</v>
      </c>
      <c r="D26" s="38">
        <f t="shared" si="6"/>
        <v>0</v>
      </c>
      <c r="E26" s="38">
        <f t="shared" si="6"/>
        <v>0</v>
      </c>
      <c r="F26" s="38">
        <f t="shared" si="6"/>
        <v>0</v>
      </c>
      <c r="G26" s="38">
        <f t="shared" si="6"/>
        <v>0</v>
      </c>
      <c r="H26" s="39">
        <f t="shared" si="6"/>
        <v>0</v>
      </c>
      <c r="I26" s="40">
        <f t="shared" si="6"/>
        <v>0</v>
      </c>
      <c r="K26" s="37">
        <f t="shared" ref="K26:R26" si="7">SUM(K22:K25)</f>
        <v>10</v>
      </c>
      <c r="L26" s="38">
        <f t="shared" si="7"/>
        <v>1</v>
      </c>
      <c r="M26" s="38">
        <f t="shared" si="7"/>
        <v>0</v>
      </c>
      <c r="N26" s="38">
        <f t="shared" si="7"/>
        <v>0</v>
      </c>
      <c r="O26" s="38">
        <f t="shared" si="7"/>
        <v>0</v>
      </c>
      <c r="P26" s="38">
        <f t="shared" si="7"/>
        <v>0</v>
      </c>
      <c r="Q26" s="39">
        <f t="shared" si="7"/>
        <v>0</v>
      </c>
      <c r="R26" s="40">
        <f t="shared" si="7"/>
        <v>11</v>
      </c>
      <c r="T26" s="37">
        <f t="shared" ref="T26:AA26" si="8">SUM(T22:T25)</f>
        <v>557</v>
      </c>
      <c r="U26" s="38">
        <f t="shared" si="8"/>
        <v>97</v>
      </c>
      <c r="V26" s="38">
        <f t="shared" si="8"/>
        <v>5</v>
      </c>
      <c r="W26" s="38">
        <f t="shared" si="8"/>
        <v>8</v>
      </c>
      <c r="X26" s="38">
        <f t="shared" si="8"/>
        <v>25</v>
      </c>
      <c r="Y26" s="38">
        <f t="shared" si="8"/>
        <v>13</v>
      </c>
      <c r="Z26" s="39">
        <f t="shared" si="8"/>
        <v>15</v>
      </c>
      <c r="AA26" s="40">
        <f t="shared" si="8"/>
        <v>720</v>
      </c>
      <c r="AC26" s="40">
        <f>SUM(AC22:AC25)</f>
        <v>731</v>
      </c>
    </row>
    <row r="27" spans="1:29" ht="15.75" customHeight="1">
      <c r="A27" s="90">
        <v>0.41666666666666669</v>
      </c>
      <c r="B27" s="27">
        <v>0</v>
      </c>
      <c r="C27" s="28">
        <v>0</v>
      </c>
      <c r="D27" s="28">
        <v>0</v>
      </c>
      <c r="E27" s="28">
        <v>0</v>
      </c>
      <c r="F27" s="28">
        <v>0</v>
      </c>
      <c r="G27" s="28">
        <v>0</v>
      </c>
      <c r="H27" s="29">
        <v>0</v>
      </c>
      <c r="I27" s="91">
        <f>SUM(B27:H27)</f>
        <v>0</v>
      </c>
      <c r="K27" s="27">
        <v>3</v>
      </c>
      <c r="L27" s="28">
        <v>1</v>
      </c>
      <c r="M27" s="28">
        <v>0</v>
      </c>
      <c r="N27" s="28">
        <v>0</v>
      </c>
      <c r="O27" s="28">
        <v>0</v>
      </c>
      <c r="P27" s="28">
        <v>0</v>
      </c>
      <c r="Q27" s="29">
        <v>0</v>
      </c>
      <c r="R27" s="91">
        <f>SUM(K27:Q27)</f>
        <v>4</v>
      </c>
      <c r="T27" s="27">
        <v>128</v>
      </c>
      <c r="U27" s="28">
        <v>25</v>
      </c>
      <c r="V27" s="28">
        <v>6</v>
      </c>
      <c r="W27" s="28">
        <v>2</v>
      </c>
      <c r="X27" s="28">
        <v>2</v>
      </c>
      <c r="Y27" s="28">
        <v>1</v>
      </c>
      <c r="Z27" s="29">
        <v>2</v>
      </c>
      <c r="AA27" s="91">
        <f>SUM(T27:Z27)</f>
        <v>166</v>
      </c>
      <c r="AC27" s="91">
        <f>SUM(I27+R27+AA27)</f>
        <v>170</v>
      </c>
    </row>
    <row r="28" spans="1:29" ht="15.75" customHeight="1">
      <c r="A28" s="92">
        <v>0.42708333333333331</v>
      </c>
      <c r="B28" s="30">
        <v>0</v>
      </c>
      <c r="C28" s="31">
        <v>0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 s="93">
        <f>SUM(B28:H28)</f>
        <v>0</v>
      </c>
      <c r="K28" s="30">
        <v>3</v>
      </c>
      <c r="L28" s="31">
        <v>3</v>
      </c>
      <c r="M28" s="31">
        <v>0</v>
      </c>
      <c r="N28" s="31">
        <v>0</v>
      </c>
      <c r="O28" s="31">
        <v>0</v>
      </c>
      <c r="P28" s="31">
        <v>0</v>
      </c>
      <c r="Q28" s="32">
        <v>0</v>
      </c>
      <c r="R28" s="93">
        <f>SUM(K28:Q28)</f>
        <v>6</v>
      </c>
      <c r="T28" s="30">
        <v>116</v>
      </c>
      <c r="U28" s="31">
        <v>18</v>
      </c>
      <c r="V28" s="31">
        <v>4</v>
      </c>
      <c r="W28" s="31">
        <v>3</v>
      </c>
      <c r="X28" s="31">
        <v>11</v>
      </c>
      <c r="Y28" s="31">
        <v>3</v>
      </c>
      <c r="Z28" s="32">
        <v>3</v>
      </c>
      <c r="AA28" s="93">
        <f>SUM(T28:Z28)</f>
        <v>158</v>
      </c>
      <c r="AC28" s="93">
        <f>SUM(I28+R28+AA28)</f>
        <v>164</v>
      </c>
    </row>
    <row r="29" spans="1:29" ht="15.75" customHeight="1">
      <c r="A29" s="92">
        <v>0.4375</v>
      </c>
      <c r="B29" s="30">
        <v>0</v>
      </c>
      <c r="C29" s="31">
        <v>0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 s="93">
        <f>SUM(B29:H29)</f>
        <v>0</v>
      </c>
      <c r="K29" s="30">
        <v>1</v>
      </c>
      <c r="L29" s="31">
        <v>1</v>
      </c>
      <c r="M29" s="31">
        <v>0</v>
      </c>
      <c r="N29" s="31">
        <v>0</v>
      </c>
      <c r="O29" s="31">
        <v>0</v>
      </c>
      <c r="P29" s="31">
        <v>0</v>
      </c>
      <c r="Q29" s="32">
        <v>0</v>
      </c>
      <c r="R29" s="93">
        <f>SUM(K29:Q29)</f>
        <v>2</v>
      </c>
      <c r="T29" s="30">
        <v>106</v>
      </c>
      <c r="U29" s="31">
        <v>22</v>
      </c>
      <c r="V29" s="31">
        <v>3</v>
      </c>
      <c r="W29" s="31">
        <v>5</v>
      </c>
      <c r="X29" s="31">
        <v>5</v>
      </c>
      <c r="Y29" s="31">
        <v>2</v>
      </c>
      <c r="Z29" s="32">
        <v>1</v>
      </c>
      <c r="AA29" s="93">
        <f>SUM(T29:Z29)</f>
        <v>144</v>
      </c>
      <c r="AC29" s="93">
        <f>SUM(I29+R29+AA29)</f>
        <v>146</v>
      </c>
    </row>
    <row r="30" spans="1:29" ht="15.75" customHeight="1">
      <c r="A30" s="94">
        <v>0.44791666666666669</v>
      </c>
      <c r="B30" s="33">
        <v>0</v>
      </c>
      <c r="C30" s="34">
        <v>0</v>
      </c>
      <c r="D30" s="34">
        <v>0</v>
      </c>
      <c r="E30" s="34">
        <v>0</v>
      </c>
      <c r="F30" s="34">
        <v>0</v>
      </c>
      <c r="G30" s="34">
        <v>0</v>
      </c>
      <c r="H30" s="35">
        <v>0</v>
      </c>
      <c r="I30" s="95">
        <f>SUM(B30:H30)</f>
        <v>0</v>
      </c>
      <c r="K30" s="33">
        <v>1</v>
      </c>
      <c r="L30" s="34">
        <v>0</v>
      </c>
      <c r="M30" s="34">
        <v>1</v>
      </c>
      <c r="N30" s="34">
        <v>0</v>
      </c>
      <c r="O30" s="34">
        <v>0</v>
      </c>
      <c r="P30" s="34">
        <v>0</v>
      </c>
      <c r="Q30" s="35">
        <v>0</v>
      </c>
      <c r="R30" s="95">
        <f>SUM(K30:Q30)</f>
        <v>2</v>
      </c>
      <c r="T30" s="33">
        <v>116</v>
      </c>
      <c r="U30" s="34">
        <v>22</v>
      </c>
      <c r="V30" s="34">
        <v>7</v>
      </c>
      <c r="W30" s="34">
        <v>2</v>
      </c>
      <c r="X30" s="34">
        <v>5</v>
      </c>
      <c r="Y30" s="34">
        <v>2</v>
      </c>
      <c r="Z30" s="35">
        <v>2</v>
      </c>
      <c r="AA30" s="95">
        <f>SUM(T30:Z30)</f>
        <v>156</v>
      </c>
      <c r="AC30" s="95">
        <f>SUM(I30+R30+AA30)</f>
        <v>158</v>
      </c>
    </row>
    <row r="31" spans="1:29" ht="15.75" customHeight="1">
      <c r="A31" s="40" t="s">
        <v>24</v>
      </c>
      <c r="B31" s="37">
        <f t="shared" ref="B31:I31" si="9">SUM(B27:B30)</f>
        <v>0</v>
      </c>
      <c r="C31" s="38">
        <f t="shared" si="9"/>
        <v>0</v>
      </c>
      <c r="D31" s="38">
        <f t="shared" si="9"/>
        <v>0</v>
      </c>
      <c r="E31" s="38">
        <f t="shared" si="9"/>
        <v>0</v>
      </c>
      <c r="F31" s="38">
        <f t="shared" si="9"/>
        <v>0</v>
      </c>
      <c r="G31" s="38">
        <f t="shared" si="9"/>
        <v>0</v>
      </c>
      <c r="H31" s="39">
        <f t="shared" si="9"/>
        <v>0</v>
      </c>
      <c r="I31" s="40">
        <f t="shared" si="9"/>
        <v>0</v>
      </c>
      <c r="K31" s="37">
        <f t="shared" ref="K31:R31" si="10">SUM(K27:K30)</f>
        <v>8</v>
      </c>
      <c r="L31" s="38">
        <f t="shared" si="10"/>
        <v>5</v>
      </c>
      <c r="M31" s="38">
        <f t="shared" si="10"/>
        <v>1</v>
      </c>
      <c r="N31" s="38">
        <f t="shared" si="10"/>
        <v>0</v>
      </c>
      <c r="O31" s="38">
        <f t="shared" si="10"/>
        <v>0</v>
      </c>
      <c r="P31" s="38">
        <f t="shared" si="10"/>
        <v>0</v>
      </c>
      <c r="Q31" s="39">
        <f t="shared" si="10"/>
        <v>0</v>
      </c>
      <c r="R31" s="40">
        <f t="shared" si="10"/>
        <v>14</v>
      </c>
      <c r="T31" s="37">
        <f t="shared" ref="T31:AA31" si="11">SUM(T27:T30)</f>
        <v>466</v>
      </c>
      <c r="U31" s="38">
        <f t="shared" si="11"/>
        <v>87</v>
      </c>
      <c r="V31" s="38">
        <f t="shared" si="11"/>
        <v>20</v>
      </c>
      <c r="W31" s="38">
        <f t="shared" si="11"/>
        <v>12</v>
      </c>
      <c r="X31" s="38">
        <f t="shared" si="11"/>
        <v>23</v>
      </c>
      <c r="Y31" s="38">
        <f t="shared" si="11"/>
        <v>8</v>
      </c>
      <c r="Z31" s="39">
        <f t="shared" si="11"/>
        <v>8</v>
      </c>
      <c r="AA31" s="40">
        <f t="shared" si="11"/>
        <v>624</v>
      </c>
      <c r="AC31" s="40">
        <f>SUM(AC27:AC30)</f>
        <v>638</v>
      </c>
    </row>
    <row r="32" spans="1:29" ht="15.75" customHeight="1">
      <c r="A32" s="90">
        <v>0.45833333333333331</v>
      </c>
      <c r="B32" s="27">
        <v>1</v>
      </c>
      <c r="C32" s="28">
        <v>0</v>
      </c>
      <c r="D32" s="28">
        <v>0</v>
      </c>
      <c r="E32" s="28">
        <v>0</v>
      </c>
      <c r="F32" s="28">
        <v>0</v>
      </c>
      <c r="G32" s="28">
        <v>0</v>
      </c>
      <c r="H32" s="29">
        <v>0</v>
      </c>
      <c r="I32" s="91">
        <f>SUM(B32:H32)</f>
        <v>1</v>
      </c>
      <c r="K32" s="27">
        <v>0</v>
      </c>
      <c r="L32" s="28">
        <v>2</v>
      </c>
      <c r="M32" s="28">
        <v>1</v>
      </c>
      <c r="N32" s="28">
        <v>0</v>
      </c>
      <c r="O32" s="28">
        <v>0</v>
      </c>
      <c r="P32" s="28">
        <v>0</v>
      </c>
      <c r="Q32" s="29">
        <v>0</v>
      </c>
      <c r="R32" s="91">
        <f>SUM(K32:Q32)</f>
        <v>3</v>
      </c>
      <c r="T32" s="27">
        <v>136</v>
      </c>
      <c r="U32" s="28">
        <v>26</v>
      </c>
      <c r="V32" s="28">
        <v>3</v>
      </c>
      <c r="W32" s="28">
        <v>0</v>
      </c>
      <c r="X32" s="28">
        <v>7</v>
      </c>
      <c r="Y32" s="28">
        <v>0</v>
      </c>
      <c r="Z32" s="29">
        <v>3</v>
      </c>
      <c r="AA32" s="91">
        <f>SUM(T32:Z32)</f>
        <v>175</v>
      </c>
      <c r="AC32" s="91">
        <f>SUM(I32+R32+AA32)</f>
        <v>179</v>
      </c>
    </row>
    <row r="33" spans="1:29" ht="15.75" customHeight="1">
      <c r="A33" s="92">
        <v>0.46875</v>
      </c>
      <c r="B33" s="30">
        <v>0</v>
      </c>
      <c r="C33" s="31">
        <v>0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 s="93">
        <f>SUM(B33:H33)</f>
        <v>0</v>
      </c>
      <c r="K33" s="30">
        <v>3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2">
        <v>0</v>
      </c>
      <c r="R33" s="93">
        <f>SUM(K33:Q33)</f>
        <v>3</v>
      </c>
      <c r="T33" s="30">
        <v>105</v>
      </c>
      <c r="U33" s="31">
        <v>25</v>
      </c>
      <c r="V33" s="31">
        <v>4</v>
      </c>
      <c r="W33" s="31">
        <v>2</v>
      </c>
      <c r="X33" s="31">
        <v>3</v>
      </c>
      <c r="Y33" s="31">
        <v>0</v>
      </c>
      <c r="Z33" s="32">
        <v>1</v>
      </c>
      <c r="AA33" s="93">
        <f>SUM(T33:Z33)</f>
        <v>140</v>
      </c>
      <c r="AC33" s="93">
        <f>SUM(I33+R33+AA33)</f>
        <v>143</v>
      </c>
    </row>
    <row r="34" spans="1:29" ht="15.75" customHeight="1">
      <c r="A34" s="92">
        <v>0.47916666666666669</v>
      </c>
      <c r="B34" s="30">
        <v>0</v>
      </c>
      <c r="C34" s="31">
        <v>0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 s="93">
        <f>SUM(B34:H34)</f>
        <v>0</v>
      </c>
      <c r="K34" s="30">
        <v>3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2">
        <v>0</v>
      </c>
      <c r="R34" s="93">
        <f>SUM(K34:Q34)</f>
        <v>3</v>
      </c>
      <c r="T34" s="30">
        <v>147</v>
      </c>
      <c r="U34" s="31">
        <v>17</v>
      </c>
      <c r="V34" s="31">
        <v>5</v>
      </c>
      <c r="W34" s="31">
        <v>3</v>
      </c>
      <c r="X34" s="31">
        <v>9</v>
      </c>
      <c r="Y34" s="31">
        <v>0</v>
      </c>
      <c r="Z34" s="32">
        <v>0</v>
      </c>
      <c r="AA34" s="93">
        <f>SUM(T34:Z34)</f>
        <v>181</v>
      </c>
      <c r="AC34" s="93">
        <f>SUM(I34+R34+AA34)</f>
        <v>184</v>
      </c>
    </row>
    <row r="35" spans="1:29" ht="15.75" customHeight="1">
      <c r="A35" s="94">
        <v>0.48958333333333331</v>
      </c>
      <c r="B35" s="33">
        <v>0</v>
      </c>
      <c r="C35" s="34">
        <v>0</v>
      </c>
      <c r="D35" s="34">
        <v>0</v>
      </c>
      <c r="E35" s="34">
        <v>0</v>
      </c>
      <c r="F35" s="34">
        <v>0</v>
      </c>
      <c r="G35" s="34">
        <v>0</v>
      </c>
      <c r="H35" s="35">
        <v>0</v>
      </c>
      <c r="I35" s="95">
        <f>SUM(B35:H35)</f>
        <v>0</v>
      </c>
      <c r="K35" s="33">
        <v>3</v>
      </c>
      <c r="L35" s="34">
        <v>0</v>
      </c>
      <c r="M35" s="34">
        <v>0</v>
      </c>
      <c r="N35" s="34">
        <v>0</v>
      </c>
      <c r="O35" s="34">
        <v>0</v>
      </c>
      <c r="P35" s="34">
        <v>0</v>
      </c>
      <c r="Q35" s="35">
        <v>0</v>
      </c>
      <c r="R35" s="95">
        <f>SUM(K35:Q35)</f>
        <v>3</v>
      </c>
      <c r="T35" s="33">
        <v>128</v>
      </c>
      <c r="U35" s="34">
        <v>25</v>
      </c>
      <c r="V35" s="34">
        <v>4</v>
      </c>
      <c r="W35" s="34">
        <v>4</v>
      </c>
      <c r="X35" s="34">
        <v>5</v>
      </c>
      <c r="Y35" s="34">
        <v>1</v>
      </c>
      <c r="Z35" s="35">
        <v>0</v>
      </c>
      <c r="AA35" s="95">
        <f>SUM(T35:Z35)</f>
        <v>167</v>
      </c>
      <c r="AC35" s="95">
        <f>SUM(I35+R35+AA35)</f>
        <v>170</v>
      </c>
    </row>
    <row r="36" spans="1:29" ht="15.75" customHeight="1">
      <c r="A36" s="40" t="s">
        <v>24</v>
      </c>
      <c r="B36" s="37">
        <f t="shared" ref="B36:I36" si="12">SUM(B32:B35)</f>
        <v>1</v>
      </c>
      <c r="C36" s="38">
        <f t="shared" si="12"/>
        <v>0</v>
      </c>
      <c r="D36" s="38">
        <f t="shared" si="12"/>
        <v>0</v>
      </c>
      <c r="E36" s="38">
        <f t="shared" si="12"/>
        <v>0</v>
      </c>
      <c r="F36" s="38">
        <f t="shared" si="12"/>
        <v>0</v>
      </c>
      <c r="G36" s="38">
        <f t="shared" si="12"/>
        <v>0</v>
      </c>
      <c r="H36" s="39">
        <f t="shared" si="12"/>
        <v>0</v>
      </c>
      <c r="I36" s="40">
        <f t="shared" si="12"/>
        <v>1</v>
      </c>
      <c r="K36" s="37">
        <f t="shared" ref="K36:R36" si="13">SUM(K32:K35)</f>
        <v>9</v>
      </c>
      <c r="L36" s="38">
        <f t="shared" si="13"/>
        <v>2</v>
      </c>
      <c r="M36" s="38">
        <f t="shared" si="13"/>
        <v>1</v>
      </c>
      <c r="N36" s="38">
        <f t="shared" si="13"/>
        <v>0</v>
      </c>
      <c r="O36" s="38">
        <f t="shared" si="13"/>
        <v>0</v>
      </c>
      <c r="P36" s="38">
        <f t="shared" si="13"/>
        <v>0</v>
      </c>
      <c r="Q36" s="39">
        <f t="shared" si="13"/>
        <v>0</v>
      </c>
      <c r="R36" s="40">
        <f t="shared" si="13"/>
        <v>12</v>
      </c>
      <c r="T36" s="37">
        <f t="shared" ref="T36:AA36" si="14">SUM(T32:T35)</f>
        <v>516</v>
      </c>
      <c r="U36" s="38">
        <f t="shared" si="14"/>
        <v>93</v>
      </c>
      <c r="V36" s="38">
        <f t="shared" si="14"/>
        <v>16</v>
      </c>
      <c r="W36" s="38">
        <f t="shared" si="14"/>
        <v>9</v>
      </c>
      <c r="X36" s="38">
        <f t="shared" si="14"/>
        <v>24</v>
      </c>
      <c r="Y36" s="38">
        <f t="shared" si="14"/>
        <v>1</v>
      </c>
      <c r="Z36" s="39">
        <f t="shared" si="14"/>
        <v>4</v>
      </c>
      <c r="AA36" s="40">
        <f t="shared" si="14"/>
        <v>663</v>
      </c>
      <c r="AC36" s="40">
        <f>SUM(AC32:AC35)</f>
        <v>676</v>
      </c>
    </row>
    <row r="37" spans="1:29" ht="15.75" customHeight="1">
      <c r="A37" s="90">
        <v>0.5</v>
      </c>
      <c r="B37" s="27">
        <v>0</v>
      </c>
      <c r="C37" s="28">
        <v>0</v>
      </c>
      <c r="D37" s="28">
        <v>0</v>
      </c>
      <c r="E37" s="28">
        <v>0</v>
      </c>
      <c r="F37" s="28">
        <v>0</v>
      </c>
      <c r="G37" s="28">
        <v>0</v>
      </c>
      <c r="H37" s="29">
        <v>0</v>
      </c>
      <c r="I37" s="91">
        <f>SUM(B37:H37)</f>
        <v>0</v>
      </c>
      <c r="K37" s="27">
        <v>1</v>
      </c>
      <c r="L37" s="28">
        <v>0</v>
      </c>
      <c r="M37" s="28">
        <v>0</v>
      </c>
      <c r="N37" s="28">
        <v>0</v>
      </c>
      <c r="O37" s="28">
        <v>0</v>
      </c>
      <c r="P37" s="28">
        <v>0</v>
      </c>
      <c r="Q37" s="29">
        <v>0</v>
      </c>
      <c r="R37" s="91">
        <f>SUM(K37:Q37)</f>
        <v>1</v>
      </c>
      <c r="T37" s="27">
        <v>139</v>
      </c>
      <c r="U37" s="28">
        <v>24</v>
      </c>
      <c r="V37" s="28">
        <v>5</v>
      </c>
      <c r="W37" s="28">
        <v>3</v>
      </c>
      <c r="X37" s="28">
        <v>6</v>
      </c>
      <c r="Y37" s="28">
        <v>0</v>
      </c>
      <c r="Z37" s="29">
        <v>3</v>
      </c>
      <c r="AA37" s="91">
        <f>SUM(T37:Z37)</f>
        <v>180</v>
      </c>
      <c r="AC37" s="91">
        <f>SUM(I37+R37+AA37)</f>
        <v>181</v>
      </c>
    </row>
    <row r="38" spans="1:29" ht="15.75" customHeight="1">
      <c r="A38" s="92">
        <v>0.51041666666666663</v>
      </c>
      <c r="B38" s="30">
        <v>0</v>
      </c>
      <c r="C38" s="31">
        <v>0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 s="93">
        <f>SUM(B38:H38)</f>
        <v>0</v>
      </c>
      <c r="K38" s="30">
        <v>1</v>
      </c>
      <c r="L38" s="31">
        <v>1</v>
      </c>
      <c r="M38" s="31">
        <v>0</v>
      </c>
      <c r="N38" s="31">
        <v>0</v>
      </c>
      <c r="O38" s="31">
        <v>0</v>
      </c>
      <c r="P38" s="31">
        <v>0</v>
      </c>
      <c r="Q38" s="32">
        <v>0</v>
      </c>
      <c r="R38" s="93">
        <f>SUM(K38:Q38)</f>
        <v>2</v>
      </c>
      <c r="T38" s="30">
        <v>125</v>
      </c>
      <c r="U38" s="31">
        <v>19</v>
      </c>
      <c r="V38" s="31">
        <v>5</v>
      </c>
      <c r="W38" s="31">
        <v>3</v>
      </c>
      <c r="X38" s="31">
        <v>5</v>
      </c>
      <c r="Y38" s="31">
        <v>1</v>
      </c>
      <c r="Z38" s="32">
        <v>3</v>
      </c>
      <c r="AA38" s="93">
        <f>SUM(T38:Z38)</f>
        <v>161</v>
      </c>
      <c r="AC38" s="93">
        <f>SUM(I38+R38+AA38)</f>
        <v>163</v>
      </c>
    </row>
    <row r="39" spans="1:29" ht="15.75" customHeight="1">
      <c r="A39" s="92">
        <v>0.52083333333333337</v>
      </c>
      <c r="B39" s="30">
        <v>0</v>
      </c>
      <c r="C39" s="31">
        <v>0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 s="93">
        <f>SUM(B39:H39)</f>
        <v>0</v>
      </c>
      <c r="K39" s="30">
        <v>2</v>
      </c>
      <c r="L39" s="31">
        <v>0</v>
      </c>
      <c r="M39" s="31">
        <v>0</v>
      </c>
      <c r="N39" s="31">
        <v>0</v>
      </c>
      <c r="O39" s="31">
        <v>0</v>
      </c>
      <c r="P39" s="31">
        <v>0</v>
      </c>
      <c r="Q39" s="32">
        <v>0</v>
      </c>
      <c r="R39" s="93">
        <f>SUM(K39:Q39)</f>
        <v>2</v>
      </c>
      <c r="T39" s="30">
        <v>139</v>
      </c>
      <c r="U39" s="31">
        <v>40</v>
      </c>
      <c r="V39" s="31">
        <v>2</v>
      </c>
      <c r="W39" s="31">
        <v>1</v>
      </c>
      <c r="X39" s="31">
        <v>4</v>
      </c>
      <c r="Y39" s="31">
        <v>3</v>
      </c>
      <c r="Z39" s="32">
        <v>1</v>
      </c>
      <c r="AA39" s="93">
        <f>SUM(T39:Z39)</f>
        <v>190</v>
      </c>
      <c r="AC39" s="93">
        <f>SUM(I39+R39+AA39)</f>
        <v>192</v>
      </c>
    </row>
    <row r="40" spans="1:29" ht="15.75" customHeight="1">
      <c r="A40" s="94">
        <v>0.53125</v>
      </c>
      <c r="B40" s="33">
        <v>0</v>
      </c>
      <c r="C40" s="34">
        <v>0</v>
      </c>
      <c r="D40" s="34">
        <v>0</v>
      </c>
      <c r="E40" s="34">
        <v>0</v>
      </c>
      <c r="F40" s="34">
        <v>0</v>
      </c>
      <c r="G40" s="34">
        <v>0</v>
      </c>
      <c r="H40" s="35">
        <v>0</v>
      </c>
      <c r="I40" s="95">
        <f>SUM(B40:H40)</f>
        <v>0</v>
      </c>
      <c r="K40" s="33">
        <v>1</v>
      </c>
      <c r="L40" s="34">
        <v>1</v>
      </c>
      <c r="M40" s="34">
        <v>0</v>
      </c>
      <c r="N40" s="34">
        <v>0</v>
      </c>
      <c r="O40" s="34">
        <v>0</v>
      </c>
      <c r="P40" s="34">
        <v>0</v>
      </c>
      <c r="Q40" s="35">
        <v>0</v>
      </c>
      <c r="R40" s="95">
        <f>SUM(K40:Q40)</f>
        <v>2</v>
      </c>
      <c r="T40" s="33">
        <v>122</v>
      </c>
      <c r="U40" s="34">
        <v>14</v>
      </c>
      <c r="V40" s="34">
        <v>5</v>
      </c>
      <c r="W40" s="34">
        <v>3</v>
      </c>
      <c r="X40" s="34">
        <v>11</v>
      </c>
      <c r="Y40" s="34">
        <v>1</v>
      </c>
      <c r="Z40" s="35">
        <v>3</v>
      </c>
      <c r="AA40" s="95">
        <f>SUM(T40:Z40)</f>
        <v>159</v>
      </c>
      <c r="AC40" s="95">
        <f>SUM(I40+R40+AA40)</f>
        <v>161</v>
      </c>
    </row>
    <row r="41" spans="1:29" ht="15.75" customHeight="1">
      <c r="A41" s="40" t="s">
        <v>24</v>
      </c>
      <c r="B41" s="37">
        <f t="shared" ref="B41:I41" si="15">SUM(B37:B40)</f>
        <v>0</v>
      </c>
      <c r="C41" s="38">
        <f t="shared" si="15"/>
        <v>0</v>
      </c>
      <c r="D41" s="38">
        <f t="shared" si="15"/>
        <v>0</v>
      </c>
      <c r="E41" s="38">
        <f t="shared" si="15"/>
        <v>0</v>
      </c>
      <c r="F41" s="38">
        <f t="shared" si="15"/>
        <v>0</v>
      </c>
      <c r="G41" s="38">
        <f t="shared" si="15"/>
        <v>0</v>
      </c>
      <c r="H41" s="39">
        <f t="shared" si="15"/>
        <v>0</v>
      </c>
      <c r="I41" s="40">
        <f t="shared" si="15"/>
        <v>0</v>
      </c>
      <c r="K41" s="37">
        <f t="shared" ref="K41:R41" si="16">SUM(K37:K40)</f>
        <v>5</v>
      </c>
      <c r="L41" s="38">
        <f t="shared" si="16"/>
        <v>2</v>
      </c>
      <c r="M41" s="38">
        <f t="shared" si="16"/>
        <v>0</v>
      </c>
      <c r="N41" s="38">
        <f t="shared" si="16"/>
        <v>0</v>
      </c>
      <c r="O41" s="38">
        <f t="shared" si="16"/>
        <v>0</v>
      </c>
      <c r="P41" s="38">
        <f t="shared" si="16"/>
        <v>0</v>
      </c>
      <c r="Q41" s="39">
        <f t="shared" si="16"/>
        <v>0</v>
      </c>
      <c r="R41" s="40">
        <f t="shared" si="16"/>
        <v>7</v>
      </c>
      <c r="T41" s="37">
        <f t="shared" ref="T41:AA41" si="17">SUM(T37:T40)</f>
        <v>525</v>
      </c>
      <c r="U41" s="38">
        <f t="shared" si="17"/>
        <v>97</v>
      </c>
      <c r="V41" s="38">
        <f t="shared" si="17"/>
        <v>17</v>
      </c>
      <c r="W41" s="38">
        <f t="shared" si="17"/>
        <v>10</v>
      </c>
      <c r="X41" s="38">
        <f t="shared" si="17"/>
        <v>26</v>
      </c>
      <c r="Y41" s="38">
        <f t="shared" si="17"/>
        <v>5</v>
      </c>
      <c r="Z41" s="39">
        <f t="shared" si="17"/>
        <v>10</v>
      </c>
      <c r="AA41" s="40">
        <f t="shared" si="17"/>
        <v>690</v>
      </c>
      <c r="AC41" s="40">
        <f>SUM(AC37:AC40)</f>
        <v>697</v>
      </c>
    </row>
    <row r="42" spans="1:29" ht="15.75" customHeight="1">
      <c r="A42" s="90">
        <v>0.54166666666666663</v>
      </c>
      <c r="B42" s="27">
        <v>1</v>
      </c>
      <c r="C42" s="28">
        <v>0</v>
      </c>
      <c r="D42" s="28">
        <v>0</v>
      </c>
      <c r="E42" s="28">
        <v>0</v>
      </c>
      <c r="F42" s="28">
        <v>0</v>
      </c>
      <c r="G42" s="28">
        <v>0</v>
      </c>
      <c r="H42" s="29">
        <v>0</v>
      </c>
      <c r="I42" s="91">
        <f>SUM(B42:H42)</f>
        <v>1</v>
      </c>
      <c r="K42" s="27">
        <v>1</v>
      </c>
      <c r="L42" s="28">
        <v>0</v>
      </c>
      <c r="M42" s="28">
        <v>0</v>
      </c>
      <c r="N42" s="28">
        <v>0</v>
      </c>
      <c r="O42" s="28">
        <v>0</v>
      </c>
      <c r="P42" s="28">
        <v>0</v>
      </c>
      <c r="Q42" s="29">
        <v>0</v>
      </c>
      <c r="R42" s="91">
        <f>SUM(K42:Q42)</f>
        <v>1</v>
      </c>
      <c r="T42" s="27">
        <v>130</v>
      </c>
      <c r="U42" s="28">
        <v>16</v>
      </c>
      <c r="V42" s="28">
        <v>0</v>
      </c>
      <c r="W42" s="28">
        <v>1</v>
      </c>
      <c r="X42" s="28">
        <v>6</v>
      </c>
      <c r="Y42" s="28">
        <v>1</v>
      </c>
      <c r="Z42" s="29">
        <v>5</v>
      </c>
      <c r="AA42" s="91">
        <f>SUM(T42:Z42)</f>
        <v>159</v>
      </c>
      <c r="AC42" s="91">
        <f>SUM(I42+R42+AA42)</f>
        <v>161</v>
      </c>
    </row>
    <row r="43" spans="1:29" ht="15.75" customHeight="1">
      <c r="A43" s="92">
        <v>0.55208333333333337</v>
      </c>
      <c r="B43" s="30">
        <v>0</v>
      </c>
      <c r="C43" s="31">
        <v>1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 s="93">
        <f>SUM(B43:H43)</f>
        <v>1</v>
      </c>
      <c r="K43" s="30">
        <v>3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32">
        <v>0</v>
      </c>
      <c r="R43" s="93">
        <f>SUM(K43:Q43)</f>
        <v>3</v>
      </c>
      <c r="T43" s="30">
        <v>142</v>
      </c>
      <c r="U43" s="31">
        <v>27</v>
      </c>
      <c r="V43" s="31">
        <v>2</v>
      </c>
      <c r="W43" s="31">
        <v>2</v>
      </c>
      <c r="X43" s="31">
        <v>6</v>
      </c>
      <c r="Y43" s="31">
        <v>0</v>
      </c>
      <c r="Z43" s="32">
        <v>1</v>
      </c>
      <c r="AA43" s="93">
        <f>SUM(T43:Z43)</f>
        <v>180</v>
      </c>
      <c r="AC43" s="93">
        <f>SUM(I43+R43+AA43)</f>
        <v>184</v>
      </c>
    </row>
    <row r="44" spans="1:29" ht="15.75" customHeight="1">
      <c r="A44" s="92">
        <v>0.5625</v>
      </c>
      <c r="B44" s="30">
        <v>0</v>
      </c>
      <c r="C44" s="31">
        <v>0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 s="93">
        <f>SUM(B44:H44)</f>
        <v>0</v>
      </c>
      <c r="K44" s="30">
        <v>2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32">
        <v>0</v>
      </c>
      <c r="R44" s="93">
        <f>SUM(K44:Q44)</f>
        <v>2</v>
      </c>
      <c r="T44" s="30">
        <v>134</v>
      </c>
      <c r="U44" s="31">
        <v>21</v>
      </c>
      <c r="V44" s="31">
        <v>3</v>
      </c>
      <c r="W44" s="31">
        <v>3</v>
      </c>
      <c r="X44" s="31">
        <v>4</v>
      </c>
      <c r="Y44" s="31">
        <v>3</v>
      </c>
      <c r="Z44" s="32">
        <v>2</v>
      </c>
      <c r="AA44" s="93">
        <f>SUM(T44:Z44)</f>
        <v>170</v>
      </c>
      <c r="AC44" s="93">
        <f>SUM(I44+R44+AA44)</f>
        <v>172</v>
      </c>
    </row>
    <row r="45" spans="1:29" ht="15.75" customHeight="1">
      <c r="A45" s="94">
        <v>0.57291666666666663</v>
      </c>
      <c r="B45" s="33">
        <v>0</v>
      </c>
      <c r="C45" s="34">
        <v>0</v>
      </c>
      <c r="D45" s="34">
        <v>0</v>
      </c>
      <c r="E45" s="34">
        <v>0</v>
      </c>
      <c r="F45" s="34">
        <v>0</v>
      </c>
      <c r="G45" s="34">
        <v>0</v>
      </c>
      <c r="H45" s="35">
        <v>0</v>
      </c>
      <c r="I45" s="95">
        <f>SUM(B45:H45)</f>
        <v>0</v>
      </c>
      <c r="K45" s="33">
        <v>2</v>
      </c>
      <c r="L45" s="34">
        <v>0</v>
      </c>
      <c r="M45" s="34">
        <v>0</v>
      </c>
      <c r="N45" s="34">
        <v>0</v>
      </c>
      <c r="O45" s="34">
        <v>0</v>
      </c>
      <c r="P45" s="34">
        <v>0</v>
      </c>
      <c r="Q45" s="35">
        <v>0</v>
      </c>
      <c r="R45" s="95">
        <f>SUM(K45:Q45)</f>
        <v>2</v>
      </c>
      <c r="T45" s="33">
        <v>122</v>
      </c>
      <c r="U45" s="34">
        <v>19</v>
      </c>
      <c r="V45" s="34">
        <v>5</v>
      </c>
      <c r="W45" s="34">
        <v>0</v>
      </c>
      <c r="X45" s="34">
        <v>8</v>
      </c>
      <c r="Y45" s="34">
        <v>1</v>
      </c>
      <c r="Z45" s="35">
        <v>0</v>
      </c>
      <c r="AA45" s="95">
        <f>SUM(T45:Z45)</f>
        <v>155</v>
      </c>
      <c r="AC45" s="95">
        <f>SUM(I45+R45+AA45)</f>
        <v>157</v>
      </c>
    </row>
    <row r="46" spans="1:29" ht="15.75" customHeight="1">
      <c r="A46" s="40" t="s">
        <v>24</v>
      </c>
      <c r="B46" s="37">
        <f t="shared" ref="B46:I46" si="18">SUM(B42:B45)</f>
        <v>1</v>
      </c>
      <c r="C46" s="38">
        <f t="shared" si="18"/>
        <v>1</v>
      </c>
      <c r="D46" s="38">
        <f t="shared" si="18"/>
        <v>0</v>
      </c>
      <c r="E46" s="38">
        <f t="shared" si="18"/>
        <v>0</v>
      </c>
      <c r="F46" s="38">
        <f t="shared" si="18"/>
        <v>0</v>
      </c>
      <c r="G46" s="38">
        <f t="shared" si="18"/>
        <v>0</v>
      </c>
      <c r="H46" s="39">
        <f t="shared" si="18"/>
        <v>0</v>
      </c>
      <c r="I46" s="40">
        <f t="shared" si="18"/>
        <v>2</v>
      </c>
      <c r="K46" s="37">
        <f t="shared" ref="K46:R46" si="19">SUM(K42:K45)</f>
        <v>8</v>
      </c>
      <c r="L46" s="38">
        <f t="shared" si="19"/>
        <v>0</v>
      </c>
      <c r="M46" s="38">
        <f t="shared" si="19"/>
        <v>0</v>
      </c>
      <c r="N46" s="38">
        <f t="shared" si="19"/>
        <v>0</v>
      </c>
      <c r="O46" s="38">
        <f t="shared" si="19"/>
        <v>0</v>
      </c>
      <c r="P46" s="38">
        <f t="shared" si="19"/>
        <v>0</v>
      </c>
      <c r="Q46" s="39">
        <f t="shared" si="19"/>
        <v>0</v>
      </c>
      <c r="R46" s="40">
        <f t="shared" si="19"/>
        <v>8</v>
      </c>
      <c r="T46" s="37">
        <f t="shared" ref="T46:AA46" si="20">SUM(T42:T45)</f>
        <v>528</v>
      </c>
      <c r="U46" s="38">
        <f t="shared" si="20"/>
        <v>83</v>
      </c>
      <c r="V46" s="38">
        <f t="shared" si="20"/>
        <v>10</v>
      </c>
      <c r="W46" s="38">
        <f t="shared" si="20"/>
        <v>6</v>
      </c>
      <c r="X46" s="38">
        <f t="shared" si="20"/>
        <v>24</v>
      </c>
      <c r="Y46" s="38">
        <f t="shared" si="20"/>
        <v>5</v>
      </c>
      <c r="Z46" s="39">
        <f t="shared" si="20"/>
        <v>8</v>
      </c>
      <c r="AA46" s="40">
        <f t="shared" si="20"/>
        <v>664</v>
      </c>
      <c r="AC46" s="40">
        <f>SUM(AC42:AC45)</f>
        <v>674</v>
      </c>
    </row>
    <row r="47" spans="1:29" ht="15.75" customHeight="1">
      <c r="A47" s="90">
        <v>0.58333333333333337</v>
      </c>
      <c r="B47" s="27">
        <v>0</v>
      </c>
      <c r="C47" s="28">
        <v>0</v>
      </c>
      <c r="D47" s="28">
        <v>0</v>
      </c>
      <c r="E47" s="28">
        <v>0</v>
      </c>
      <c r="F47" s="28">
        <v>0</v>
      </c>
      <c r="G47" s="28">
        <v>0</v>
      </c>
      <c r="H47" s="29">
        <v>0</v>
      </c>
      <c r="I47" s="91">
        <f>SUM(B47:H47)</f>
        <v>0</v>
      </c>
      <c r="K47" s="27">
        <v>3</v>
      </c>
      <c r="L47" s="28">
        <v>1</v>
      </c>
      <c r="M47" s="28">
        <v>0</v>
      </c>
      <c r="N47" s="28">
        <v>0</v>
      </c>
      <c r="O47" s="28">
        <v>0</v>
      </c>
      <c r="P47" s="28">
        <v>0</v>
      </c>
      <c r="Q47" s="29">
        <v>0</v>
      </c>
      <c r="R47" s="91">
        <f>SUM(K47:Q47)</f>
        <v>4</v>
      </c>
      <c r="T47" s="27">
        <v>152</v>
      </c>
      <c r="U47" s="28">
        <v>8</v>
      </c>
      <c r="V47" s="28">
        <v>6</v>
      </c>
      <c r="W47" s="28">
        <v>2</v>
      </c>
      <c r="X47" s="28">
        <v>7</v>
      </c>
      <c r="Y47" s="28">
        <v>3</v>
      </c>
      <c r="Z47" s="29">
        <v>4</v>
      </c>
      <c r="AA47" s="91">
        <f>SUM(T47:Z47)</f>
        <v>182</v>
      </c>
      <c r="AC47" s="91">
        <f>SUM(I47+R47+AA47)</f>
        <v>186</v>
      </c>
    </row>
    <row r="48" spans="1:29" ht="15.75" customHeight="1">
      <c r="A48" s="92">
        <v>0.59375</v>
      </c>
      <c r="B48" s="30">
        <v>0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 s="93">
        <f>SUM(B48:H48)</f>
        <v>0</v>
      </c>
      <c r="K48" s="30">
        <v>2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32">
        <v>0</v>
      </c>
      <c r="R48" s="93">
        <f>SUM(K48:Q48)</f>
        <v>2</v>
      </c>
      <c r="T48" s="30">
        <v>130</v>
      </c>
      <c r="U48" s="31">
        <v>20</v>
      </c>
      <c r="V48" s="31">
        <v>1</v>
      </c>
      <c r="W48" s="31">
        <v>1</v>
      </c>
      <c r="X48" s="31">
        <v>2</v>
      </c>
      <c r="Y48" s="31">
        <v>2</v>
      </c>
      <c r="Z48" s="32">
        <v>1</v>
      </c>
      <c r="AA48" s="93">
        <f>SUM(T48:Z48)</f>
        <v>157</v>
      </c>
      <c r="AC48" s="93">
        <f>SUM(I48+R48+AA48)</f>
        <v>159</v>
      </c>
    </row>
    <row r="49" spans="1:29" ht="15.75" customHeight="1">
      <c r="A49" s="92">
        <v>0.60416666666666663</v>
      </c>
      <c r="B49" s="30">
        <v>0</v>
      </c>
      <c r="C49" s="31">
        <v>0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 s="93">
        <f>SUM(B49:H49)</f>
        <v>0</v>
      </c>
      <c r="K49" s="30">
        <v>1</v>
      </c>
      <c r="L49" s="31">
        <v>2</v>
      </c>
      <c r="M49" s="31">
        <v>0</v>
      </c>
      <c r="N49" s="31">
        <v>0</v>
      </c>
      <c r="O49" s="31">
        <v>0</v>
      </c>
      <c r="P49" s="31">
        <v>0</v>
      </c>
      <c r="Q49" s="32">
        <v>0</v>
      </c>
      <c r="R49" s="93">
        <f>SUM(K49:Q49)</f>
        <v>3</v>
      </c>
      <c r="T49" s="30">
        <v>127</v>
      </c>
      <c r="U49" s="31">
        <v>12</v>
      </c>
      <c r="V49" s="31">
        <v>4</v>
      </c>
      <c r="W49" s="31">
        <v>0</v>
      </c>
      <c r="X49" s="31">
        <v>8</v>
      </c>
      <c r="Y49" s="31">
        <v>1</v>
      </c>
      <c r="Z49" s="32">
        <v>4</v>
      </c>
      <c r="AA49" s="93">
        <f>SUM(T49:Z49)</f>
        <v>156</v>
      </c>
      <c r="AC49" s="93">
        <f>SUM(I49+R49+AA49)</f>
        <v>159</v>
      </c>
    </row>
    <row r="50" spans="1:29" ht="15.75" customHeight="1">
      <c r="A50" s="94">
        <v>0.61458333333333337</v>
      </c>
      <c r="B50" s="33">
        <v>0</v>
      </c>
      <c r="C50" s="34">
        <v>0</v>
      </c>
      <c r="D50" s="34">
        <v>0</v>
      </c>
      <c r="E50" s="34">
        <v>0</v>
      </c>
      <c r="F50" s="34">
        <v>0</v>
      </c>
      <c r="G50" s="34">
        <v>0</v>
      </c>
      <c r="H50" s="35">
        <v>0</v>
      </c>
      <c r="I50" s="95">
        <f>SUM(B50:H50)</f>
        <v>0</v>
      </c>
      <c r="K50" s="33">
        <v>0</v>
      </c>
      <c r="L50" s="34">
        <v>0</v>
      </c>
      <c r="M50" s="34">
        <v>0</v>
      </c>
      <c r="N50" s="34">
        <v>0</v>
      </c>
      <c r="O50" s="34">
        <v>0</v>
      </c>
      <c r="P50" s="34">
        <v>0</v>
      </c>
      <c r="Q50" s="35">
        <v>0</v>
      </c>
      <c r="R50" s="95">
        <f>SUM(K50:Q50)</f>
        <v>0</v>
      </c>
      <c r="T50" s="33">
        <v>131</v>
      </c>
      <c r="U50" s="34">
        <v>22</v>
      </c>
      <c r="V50" s="34">
        <v>1</v>
      </c>
      <c r="W50" s="34">
        <v>3</v>
      </c>
      <c r="X50" s="34">
        <v>4</v>
      </c>
      <c r="Y50" s="34">
        <v>1</v>
      </c>
      <c r="Z50" s="35">
        <v>3</v>
      </c>
      <c r="AA50" s="95">
        <f>SUM(T50:Z50)</f>
        <v>165</v>
      </c>
      <c r="AC50" s="95">
        <f>SUM(I50+R50+AA50)</f>
        <v>165</v>
      </c>
    </row>
    <row r="51" spans="1:29" ht="15.75" customHeight="1">
      <c r="A51" s="40" t="s">
        <v>24</v>
      </c>
      <c r="B51" s="37">
        <f t="shared" ref="B51:I51" si="21">SUM(B47:B50)</f>
        <v>0</v>
      </c>
      <c r="C51" s="38">
        <f t="shared" si="21"/>
        <v>0</v>
      </c>
      <c r="D51" s="38">
        <f t="shared" si="21"/>
        <v>0</v>
      </c>
      <c r="E51" s="38">
        <f t="shared" si="21"/>
        <v>0</v>
      </c>
      <c r="F51" s="38">
        <f t="shared" si="21"/>
        <v>0</v>
      </c>
      <c r="G51" s="38">
        <f t="shared" si="21"/>
        <v>0</v>
      </c>
      <c r="H51" s="39">
        <f t="shared" si="21"/>
        <v>0</v>
      </c>
      <c r="I51" s="40">
        <f t="shared" si="21"/>
        <v>0</v>
      </c>
      <c r="K51" s="37">
        <f t="shared" ref="K51:R51" si="22">SUM(K47:K50)</f>
        <v>6</v>
      </c>
      <c r="L51" s="38">
        <f t="shared" si="22"/>
        <v>3</v>
      </c>
      <c r="M51" s="38">
        <f t="shared" si="22"/>
        <v>0</v>
      </c>
      <c r="N51" s="38">
        <f t="shared" si="22"/>
        <v>0</v>
      </c>
      <c r="O51" s="38">
        <f t="shared" si="22"/>
        <v>0</v>
      </c>
      <c r="P51" s="38">
        <f t="shared" si="22"/>
        <v>0</v>
      </c>
      <c r="Q51" s="39">
        <f t="shared" si="22"/>
        <v>0</v>
      </c>
      <c r="R51" s="40">
        <f t="shared" si="22"/>
        <v>9</v>
      </c>
      <c r="T51" s="37">
        <f t="shared" ref="T51:AA51" si="23">SUM(T47:T50)</f>
        <v>540</v>
      </c>
      <c r="U51" s="38">
        <f t="shared" si="23"/>
        <v>62</v>
      </c>
      <c r="V51" s="38">
        <f t="shared" si="23"/>
        <v>12</v>
      </c>
      <c r="W51" s="38">
        <f t="shared" si="23"/>
        <v>6</v>
      </c>
      <c r="X51" s="38">
        <f t="shared" si="23"/>
        <v>21</v>
      </c>
      <c r="Y51" s="38">
        <f t="shared" si="23"/>
        <v>7</v>
      </c>
      <c r="Z51" s="39">
        <f t="shared" si="23"/>
        <v>12</v>
      </c>
      <c r="AA51" s="40">
        <f t="shared" si="23"/>
        <v>660</v>
      </c>
      <c r="AC51" s="40">
        <f>SUM(AC47:AC50)</f>
        <v>669</v>
      </c>
    </row>
    <row r="52" spans="1:29" ht="15.75" customHeight="1">
      <c r="A52" s="90">
        <v>0.625</v>
      </c>
      <c r="B52" s="27">
        <v>0</v>
      </c>
      <c r="C52" s="28">
        <v>0</v>
      </c>
      <c r="D52" s="28">
        <v>0</v>
      </c>
      <c r="E52" s="28">
        <v>0</v>
      </c>
      <c r="F52" s="28">
        <v>0</v>
      </c>
      <c r="G52" s="28">
        <v>0</v>
      </c>
      <c r="H52" s="29">
        <v>0</v>
      </c>
      <c r="I52" s="91">
        <f>SUM(B52:H52)</f>
        <v>0</v>
      </c>
      <c r="K52" s="27">
        <v>1</v>
      </c>
      <c r="L52" s="28">
        <v>1</v>
      </c>
      <c r="M52" s="28">
        <v>0</v>
      </c>
      <c r="N52" s="28">
        <v>0</v>
      </c>
      <c r="O52" s="28">
        <v>0</v>
      </c>
      <c r="P52" s="28">
        <v>0</v>
      </c>
      <c r="Q52" s="29">
        <v>0</v>
      </c>
      <c r="R52" s="91">
        <f>SUM(K52:Q52)</f>
        <v>2</v>
      </c>
      <c r="T52" s="27">
        <v>142</v>
      </c>
      <c r="U52" s="28">
        <v>19</v>
      </c>
      <c r="V52" s="28">
        <v>3</v>
      </c>
      <c r="W52" s="28">
        <v>1</v>
      </c>
      <c r="X52" s="28">
        <v>3</v>
      </c>
      <c r="Y52" s="28">
        <v>0</v>
      </c>
      <c r="Z52" s="29">
        <v>1</v>
      </c>
      <c r="AA52" s="91">
        <f>SUM(T52:Z52)</f>
        <v>169</v>
      </c>
      <c r="AC52" s="91">
        <f>SUM(I52+R52+AA52)</f>
        <v>171</v>
      </c>
    </row>
    <row r="53" spans="1:29" ht="15.75" customHeight="1">
      <c r="A53" s="92">
        <v>0.63541666666666663</v>
      </c>
      <c r="B53" s="30">
        <v>0</v>
      </c>
      <c r="C53" s="31">
        <v>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 s="93">
        <f>SUM(B53:H53)</f>
        <v>0</v>
      </c>
      <c r="K53" s="30">
        <v>2</v>
      </c>
      <c r="L53" s="31">
        <v>4</v>
      </c>
      <c r="M53" s="31">
        <v>0</v>
      </c>
      <c r="N53" s="31">
        <v>0</v>
      </c>
      <c r="O53" s="31">
        <v>0</v>
      </c>
      <c r="P53" s="31">
        <v>0</v>
      </c>
      <c r="Q53" s="32">
        <v>0</v>
      </c>
      <c r="R53" s="93">
        <f>SUM(K53:Q53)</f>
        <v>6</v>
      </c>
      <c r="T53" s="30">
        <v>149</v>
      </c>
      <c r="U53" s="31">
        <v>12</v>
      </c>
      <c r="V53" s="31">
        <v>4</v>
      </c>
      <c r="W53" s="31">
        <v>0</v>
      </c>
      <c r="X53" s="31">
        <v>7</v>
      </c>
      <c r="Y53" s="31">
        <v>3</v>
      </c>
      <c r="Z53" s="32">
        <v>5</v>
      </c>
      <c r="AA53" s="93">
        <f>SUM(T53:Z53)</f>
        <v>180</v>
      </c>
      <c r="AC53" s="93">
        <f>SUM(I53+R53+AA53)</f>
        <v>186</v>
      </c>
    </row>
    <row r="54" spans="1:29" ht="15.75" customHeight="1">
      <c r="A54" s="92">
        <v>0.64583333333333337</v>
      </c>
      <c r="B54" s="30">
        <v>0</v>
      </c>
      <c r="C54" s="31">
        <v>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 s="93">
        <f>SUM(B54:H54)</f>
        <v>0</v>
      </c>
      <c r="K54" s="30">
        <v>4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2">
        <v>0</v>
      </c>
      <c r="R54" s="93">
        <f>SUM(K54:Q54)</f>
        <v>4</v>
      </c>
      <c r="T54" s="30">
        <v>176</v>
      </c>
      <c r="U54" s="31">
        <v>24</v>
      </c>
      <c r="V54" s="31">
        <v>3</v>
      </c>
      <c r="W54" s="31">
        <v>0</v>
      </c>
      <c r="X54" s="31">
        <v>4</v>
      </c>
      <c r="Y54" s="31">
        <v>1</v>
      </c>
      <c r="Z54" s="32">
        <v>2</v>
      </c>
      <c r="AA54" s="93">
        <f>SUM(T54:Z54)</f>
        <v>210</v>
      </c>
      <c r="AC54" s="93">
        <f>SUM(I54+R54+AA54)</f>
        <v>214</v>
      </c>
    </row>
    <row r="55" spans="1:29" ht="15.75" customHeight="1">
      <c r="A55" s="94">
        <v>0.65625</v>
      </c>
      <c r="B55" s="33">
        <v>0</v>
      </c>
      <c r="C55" s="34">
        <v>0</v>
      </c>
      <c r="D55" s="34">
        <v>0</v>
      </c>
      <c r="E55" s="34">
        <v>0</v>
      </c>
      <c r="F55" s="34">
        <v>0</v>
      </c>
      <c r="G55" s="34">
        <v>0</v>
      </c>
      <c r="H55" s="35">
        <v>0</v>
      </c>
      <c r="I55" s="95">
        <f>SUM(B55:H55)</f>
        <v>0</v>
      </c>
      <c r="K55" s="33">
        <v>4</v>
      </c>
      <c r="L55" s="34">
        <v>0</v>
      </c>
      <c r="M55" s="34">
        <v>0</v>
      </c>
      <c r="N55" s="34">
        <v>0</v>
      </c>
      <c r="O55" s="34">
        <v>0</v>
      </c>
      <c r="P55" s="34">
        <v>0</v>
      </c>
      <c r="Q55" s="35">
        <v>1</v>
      </c>
      <c r="R55" s="95">
        <f>SUM(K55:Q55)</f>
        <v>5</v>
      </c>
      <c r="T55" s="33">
        <v>167</v>
      </c>
      <c r="U55" s="34">
        <v>22</v>
      </c>
      <c r="V55" s="34">
        <v>0</v>
      </c>
      <c r="W55" s="34">
        <v>1</v>
      </c>
      <c r="X55" s="34">
        <v>7</v>
      </c>
      <c r="Y55" s="34">
        <v>2</v>
      </c>
      <c r="Z55" s="35">
        <v>3</v>
      </c>
      <c r="AA55" s="95">
        <f>SUM(T55:Z55)</f>
        <v>202</v>
      </c>
      <c r="AC55" s="95">
        <f>SUM(I55+R55+AA55)</f>
        <v>207</v>
      </c>
    </row>
    <row r="56" spans="1:29" ht="15.75" customHeight="1">
      <c r="A56" s="40" t="s">
        <v>24</v>
      </c>
      <c r="B56" s="37">
        <f t="shared" ref="B56:I56" si="24">SUM(B52:B55)</f>
        <v>0</v>
      </c>
      <c r="C56" s="38">
        <f t="shared" si="24"/>
        <v>0</v>
      </c>
      <c r="D56" s="38">
        <f t="shared" si="24"/>
        <v>0</v>
      </c>
      <c r="E56" s="38">
        <f t="shared" si="24"/>
        <v>0</v>
      </c>
      <c r="F56" s="38">
        <f t="shared" si="24"/>
        <v>0</v>
      </c>
      <c r="G56" s="38">
        <f t="shared" si="24"/>
        <v>0</v>
      </c>
      <c r="H56" s="39">
        <f t="shared" si="24"/>
        <v>0</v>
      </c>
      <c r="I56" s="40">
        <f t="shared" si="24"/>
        <v>0</v>
      </c>
      <c r="K56" s="37">
        <f t="shared" ref="K56:R56" si="25">SUM(K52:K55)</f>
        <v>11</v>
      </c>
      <c r="L56" s="38">
        <f t="shared" si="25"/>
        <v>5</v>
      </c>
      <c r="M56" s="38">
        <f t="shared" si="25"/>
        <v>0</v>
      </c>
      <c r="N56" s="38">
        <f t="shared" si="25"/>
        <v>0</v>
      </c>
      <c r="O56" s="38">
        <f t="shared" si="25"/>
        <v>0</v>
      </c>
      <c r="P56" s="38">
        <f t="shared" si="25"/>
        <v>0</v>
      </c>
      <c r="Q56" s="39">
        <f t="shared" si="25"/>
        <v>1</v>
      </c>
      <c r="R56" s="40">
        <f t="shared" si="25"/>
        <v>17</v>
      </c>
      <c r="T56" s="37">
        <f t="shared" ref="T56:AA56" si="26">SUM(T52:T55)</f>
        <v>634</v>
      </c>
      <c r="U56" s="38">
        <f t="shared" si="26"/>
        <v>77</v>
      </c>
      <c r="V56" s="38">
        <f t="shared" si="26"/>
        <v>10</v>
      </c>
      <c r="W56" s="38">
        <f t="shared" si="26"/>
        <v>2</v>
      </c>
      <c r="X56" s="38">
        <f t="shared" si="26"/>
        <v>21</v>
      </c>
      <c r="Y56" s="38">
        <f t="shared" si="26"/>
        <v>6</v>
      </c>
      <c r="Z56" s="39">
        <f t="shared" si="26"/>
        <v>11</v>
      </c>
      <c r="AA56" s="40">
        <f t="shared" si="26"/>
        <v>761</v>
      </c>
      <c r="AC56" s="40">
        <f>SUM(AC52:AC55)</f>
        <v>778</v>
      </c>
    </row>
    <row r="57" spans="1:29" ht="15.75" customHeight="1">
      <c r="A57" s="90">
        <v>0.66666666666666663</v>
      </c>
      <c r="B57" s="27">
        <v>0</v>
      </c>
      <c r="C57" s="28">
        <v>0</v>
      </c>
      <c r="D57" s="28">
        <v>0</v>
      </c>
      <c r="E57" s="28">
        <v>0</v>
      </c>
      <c r="F57" s="28">
        <v>0</v>
      </c>
      <c r="G57" s="28">
        <v>0</v>
      </c>
      <c r="H57" s="29">
        <v>0</v>
      </c>
      <c r="I57" s="91">
        <f>SUM(B57:H57)</f>
        <v>0</v>
      </c>
      <c r="K57" s="27">
        <v>5</v>
      </c>
      <c r="L57" s="28">
        <v>0</v>
      </c>
      <c r="M57" s="28">
        <v>0</v>
      </c>
      <c r="N57" s="28">
        <v>0</v>
      </c>
      <c r="O57" s="28">
        <v>0</v>
      </c>
      <c r="P57" s="28">
        <v>0</v>
      </c>
      <c r="Q57" s="29">
        <v>0</v>
      </c>
      <c r="R57" s="91">
        <f>SUM(K57:Q57)</f>
        <v>5</v>
      </c>
      <c r="T57" s="27">
        <v>144</v>
      </c>
      <c r="U57" s="28">
        <v>25</v>
      </c>
      <c r="V57" s="28">
        <v>1</v>
      </c>
      <c r="W57" s="28">
        <v>1</v>
      </c>
      <c r="X57" s="28">
        <v>8</v>
      </c>
      <c r="Y57" s="28">
        <v>3</v>
      </c>
      <c r="Z57" s="29">
        <v>2</v>
      </c>
      <c r="AA57" s="91">
        <f>SUM(T57:Z57)</f>
        <v>184</v>
      </c>
      <c r="AC57" s="91">
        <f>SUM(I57+R57+AA57)</f>
        <v>189</v>
      </c>
    </row>
    <row r="58" spans="1:29" ht="15.75" customHeight="1">
      <c r="A58" s="92">
        <v>0.67708333333333337</v>
      </c>
      <c r="B58" s="30">
        <v>0</v>
      </c>
      <c r="C58" s="31">
        <v>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 s="93">
        <f>SUM(B58:H58)</f>
        <v>0</v>
      </c>
      <c r="K58" s="30">
        <v>2</v>
      </c>
      <c r="L58" s="31">
        <v>0</v>
      </c>
      <c r="M58" s="31">
        <v>0</v>
      </c>
      <c r="N58" s="31">
        <v>0</v>
      </c>
      <c r="O58" s="31">
        <v>0</v>
      </c>
      <c r="P58" s="31">
        <v>0</v>
      </c>
      <c r="Q58" s="32">
        <v>0</v>
      </c>
      <c r="R58" s="93">
        <f>SUM(K58:Q58)</f>
        <v>2</v>
      </c>
      <c r="T58" s="30">
        <v>143</v>
      </c>
      <c r="U58" s="31">
        <v>26</v>
      </c>
      <c r="V58" s="31">
        <v>1</v>
      </c>
      <c r="W58" s="31">
        <v>1</v>
      </c>
      <c r="X58" s="31">
        <v>7</v>
      </c>
      <c r="Y58" s="31">
        <v>7</v>
      </c>
      <c r="Z58" s="32">
        <v>6</v>
      </c>
      <c r="AA58" s="93">
        <f>SUM(T58:Z58)</f>
        <v>191</v>
      </c>
      <c r="AC58" s="93">
        <f>SUM(I58+R58+AA58)</f>
        <v>193</v>
      </c>
    </row>
    <row r="59" spans="1:29" ht="15.75" customHeight="1">
      <c r="A59" s="92">
        <v>0.6875</v>
      </c>
      <c r="B59" s="30">
        <v>0</v>
      </c>
      <c r="C59" s="31">
        <v>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 s="93">
        <f>SUM(B59:H59)</f>
        <v>0</v>
      </c>
      <c r="K59" s="30">
        <v>5</v>
      </c>
      <c r="L59" s="31">
        <v>1</v>
      </c>
      <c r="M59" s="31">
        <v>0</v>
      </c>
      <c r="N59" s="31">
        <v>0</v>
      </c>
      <c r="O59" s="31">
        <v>0</v>
      </c>
      <c r="P59" s="31">
        <v>0</v>
      </c>
      <c r="Q59" s="32">
        <v>0</v>
      </c>
      <c r="R59" s="93">
        <f>SUM(K59:Q59)</f>
        <v>6</v>
      </c>
      <c r="T59" s="30">
        <v>158</v>
      </c>
      <c r="U59" s="31">
        <v>24</v>
      </c>
      <c r="V59" s="31">
        <v>1</v>
      </c>
      <c r="W59" s="31">
        <v>2</v>
      </c>
      <c r="X59" s="31">
        <v>5</v>
      </c>
      <c r="Y59" s="31">
        <v>3</v>
      </c>
      <c r="Z59" s="32">
        <v>4</v>
      </c>
      <c r="AA59" s="93">
        <f>SUM(T59:Z59)</f>
        <v>197</v>
      </c>
      <c r="AC59" s="93">
        <f>SUM(I59+R59+AA59)</f>
        <v>203</v>
      </c>
    </row>
    <row r="60" spans="1:29" ht="15.75" customHeight="1">
      <c r="A60" s="94">
        <v>0.69791666666666663</v>
      </c>
      <c r="B60" s="33">
        <v>0</v>
      </c>
      <c r="C60" s="34">
        <v>0</v>
      </c>
      <c r="D60" s="34">
        <v>0</v>
      </c>
      <c r="E60" s="34">
        <v>0</v>
      </c>
      <c r="F60" s="34">
        <v>0</v>
      </c>
      <c r="G60" s="34">
        <v>0</v>
      </c>
      <c r="H60" s="35">
        <v>0</v>
      </c>
      <c r="I60" s="95">
        <f>SUM(B60:H60)</f>
        <v>0</v>
      </c>
      <c r="K60" s="33">
        <v>3</v>
      </c>
      <c r="L60" s="34">
        <v>0</v>
      </c>
      <c r="M60" s="34">
        <v>0</v>
      </c>
      <c r="N60" s="34">
        <v>0</v>
      </c>
      <c r="O60" s="34">
        <v>0</v>
      </c>
      <c r="P60" s="34">
        <v>0</v>
      </c>
      <c r="Q60" s="35">
        <v>0</v>
      </c>
      <c r="R60" s="95">
        <f>SUM(K60:Q60)</f>
        <v>3</v>
      </c>
      <c r="T60" s="33">
        <v>167</v>
      </c>
      <c r="U60" s="34">
        <v>19</v>
      </c>
      <c r="V60" s="34">
        <v>1</v>
      </c>
      <c r="W60" s="34">
        <v>0</v>
      </c>
      <c r="X60" s="34">
        <v>6</v>
      </c>
      <c r="Y60" s="34">
        <v>1</v>
      </c>
      <c r="Z60" s="35">
        <v>1</v>
      </c>
      <c r="AA60" s="95">
        <f>SUM(T60:Z60)</f>
        <v>195</v>
      </c>
      <c r="AC60" s="95">
        <f>SUM(I60+R60+AA60)</f>
        <v>198</v>
      </c>
    </row>
    <row r="61" spans="1:29" ht="15.75" customHeight="1">
      <c r="A61" s="40" t="s">
        <v>24</v>
      </c>
      <c r="B61" s="37">
        <f t="shared" ref="B61:I61" si="27">SUM(B57:B60)</f>
        <v>0</v>
      </c>
      <c r="C61" s="38">
        <f t="shared" si="27"/>
        <v>0</v>
      </c>
      <c r="D61" s="38">
        <f t="shared" si="27"/>
        <v>0</v>
      </c>
      <c r="E61" s="38">
        <f t="shared" si="27"/>
        <v>0</v>
      </c>
      <c r="F61" s="38">
        <f t="shared" si="27"/>
        <v>0</v>
      </c>
      <c r="G61" s="38">
        <f t="shared" si="27"/>
        <v>0</v>
      </c>
      <c r="H61" s="39">
        <f t="shared" si="27"/>
        <v>0</v>
      </c>
      <c r="I61" s="40">
        <f t="shared" si="27"/>
        <v>0</v>
      </c>
      <c r="K61" s="37">
        <f t="shared" ref="K61:R61" si="28">SUM(K57:K60)</f>
        <v>15</v>
      </c>
      <c r="L61" s="38">
        <f t="shared" si="28"/>
        <v>1</v>
      </c>
      <c r="M61" s="38">
        <f t="shared" si="28"/>
        <v>0</v>
      </c>
      <c r="N61" s="38">
        <f t="shared" si="28"/>
        <v>0</v>
      </c>
      <c r="O61" s="38">
        <f t="shared" si="28"/>
        <v>0</v>
      </c>
      <c r="P61" s="38">
        <f t="shared" si="28"/>
        <v>0</v>
      </c>
      <c r="Q61" s="39">
        <f t="shared" si="28"/>
        <v>0</v>
      </c>
      <c r="R61" s="40">
        <f t="shared" si="28"/>
        <v>16</v>
      </c>
      <c r="T61" s="37">
        <f t="shared" ref="T61:AA61" si="29">SUM(T57:T60)</f>
        <v>612</v>
      </c>
      <c r="U61" s="38">
        <f t="shared" si="29"/>
        <v>94</v>
      </c>
      <c r="V61" s="38">
        <f t="shared" si="29"/>
        <v>4</v>
      </c>
      <c r="W61" s="38">
        <f t="shared" si="29"/>
        <v>4</v>
      </c>
      <c r="X61" s="38">
        <f t="shared" si="29"/>
        <v>26</v>
      </c>
      <c r="Y61" s="38">
        <f t="shared" si="29"/>
        <v>14</v>
      </c>
      <c r="Z61" s="39">
        <f t="shared" si="29"/>
        <v>13</v>
      </c>
      <c r="AA61" s="40">
        <f t="shared" si="29"/>
        <v>767</v>
      </c>
      <c r="AC61" s="40">
        <f>SUM(AC57:AC60)</f>
        <v>783</v>
      </c>
    </row>
    <row r="62" spans="1:29" ht="15.75" customHeight="1">
      <c r="A62" s="90">
        <v>0.70833333333333337</v>
      </c>
      <c r="B62" s="27">
        <v>0</v>
      </c>
      <c r="C62" s="28">
        <v>0</v>
      </c>
      <c r="D62" s="28">
        <v>0</v>
      </c>
      <c r="E62" s="28">
        <v>0</v>
      </c>
      <c r="F62" s="28">
        <v>0</v>
      </c>
      <c r="G62" s="28">
        <v>0</v>
      </c>
      <c r="H62" s="29">
        <v>0</v>
      </c>
      <c r="I62" s="91">
        <f>SUM(B62:H62)</f>
        <v>0</v>
      </c>
      <c r="K62" s="27">
        <v>5</v>
      </c>
      <c r="L62" s="28">
        <v>0</v>
      </c>
      <c r="M62" s="28">
        <v>0</v>
      </c>
      <c r="N62" s="28">
        <v>0</v>
      </c>
      <c r="O62" s="28">
        <v>0</v>
      </c>
      <c r="P62" s="28">
        <v>0</v>
      </c>
      <c r="Q62" s="29">
        <v>0</v>
      </c>
      <c r="R62" s="91">
        <f>SUM(K62:Q62)</f>
        <v>5</v>
      </c>
      <c r="T62" s="27">
        <v>184</v>
      </c>
      <c r="U62" s="28">
        <v>18</v>
      </c>
      <c r="V62" s="28">
        <v>2</v>
      </c>
      <c r="W62" s="28">
        <v>0</v>
      </c>
      <c r="X62" s="28">
        <v>5</v>
      </c>
      <c r="Y62" s="28">
        <v>4</v>
      </c>
      <c r="Z62" s="29">
        <v>7</v>
      </c>
      <c r="AA62" s="91">
        <f>SUM(T62:Z62)</f>
        <v>220</v>
      </c>
      <c r="AC62" s="91">
        <f>SUM(I62+R62+AA62)</f>
        <v>225</v>
      </c>
    </row>
    <row r="63" spans="1:29" ht="15.75" customHeight="1">
      <c r="A63" s="92">
        <v>0.71875</v>
      </c>
      <c r="B63" s="30">
        <v>0</v>
      </c>
      <c r="C63" s="31">
        <v>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 s="93">
        <f>SUM(B63:H63)</f>
        <v>0</v>
      </c>
      <c r="K63" s="30">
        <v>5</v>
      </c>
      <c r="L63" s="31">
        <v>0</v>
      </c>
      <c r="M63" s="31">
        <v>0</v>
      </c>
      <c r="N63" s="31">
        <v>0</v>
      </c>
      <c r="O63" s="31">
        <v>0</v>
      </c>
      <c r="P63" s="31">
        <v>0</v>
      </c>
      <c r="Q63" s="32">
        <v>0</v>
      </c>
      <c r="R63" s="93">
        <f>SUM(K63:Q63)</f>
        <v>5</v>
      </c>
      <c r="T63" s="30">
        <v>160</v>
      </c>
      <c r="U63" s="31">
        <v>16</v>
      </c>
      <c r="V63" s="31">
        <v>2</v>
      </c>
      <c r="W63" s="31">
        <v>0</v>
      </c>
      <c r="X63" s="31">
        <v>5</v>
      </c>
      <c r="Y63" s="31">
        <v>3</v>
      </c>
      <c r="Z63" s="32">
        <v>7</v>
      </c>
      <c r="AA63" s="93">
        <f>SUM(T63:Z63)</f>
        <v>193</v>
      </c>
      <c r="AC63" s="93">
        <f>SUM(I63+R63+AA63)</f>
        <v>198</v>
      </c>
    </row>
    <row r="64" spans="1:29" ht="15.75" customHeight="1">
      <c r="A64" s="92">
        <v>0.72916666666666663</v>
      </c>
      <c r="B64" s="30">
        <v>0</v>
      </c>
      <c r="C64" s="31">
        <v>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 s="93">
        <f>SUM(B64:H64)</f>
        <v>0</v>
      </c>
      <c r="K64" s="30">
        <v>8</v>
      </c>
      <c r="L64" s="31">
        <v>2</v>
      </c>
      <c r="M64" s="31">
        <v>0</v>
      </c>
      <c r="N64" s="31">
        <v>0</v>
      </c>
      <c r="O64" s="31">
        <v>0</v>
      </c>
      <c r="P64" s="31">
        <v>0</v>
      </c>
      <c r="Q64" s="32">
        <v>0</v>
      </c>
      <c r="R64" s="93">
        <f>SUM(K64:Q64)</f>
        <v>10</v>
      </c>
      <c r="T64" s="30">
        <v>151</v>
      </c>
      <c r="U64" s="31">
        <v>7</v>
      </c>
      <c r="V64" s="31">
        <v>0</v>
      </c>
      <c r="W64" s="31">
        <v>0</v>
      </c>
      <c r="X64" s="31">
        <v>4</v>
      </c>
      <c r="Y64" s="31">
        <v>0</v>
      </c>
      <c r="Z64" s="32">
        <v>7</v>
      </c>
      <c r="AA64" s="93">
        <f>SUM(T64:Z64)</f>
        <v>169</v>
      </c>
      <c r="AC64" s="93">
        <f>SUM(I64+R64+AA64)</f>
        <v>179</v>
      </c>
    </row>
    <row r="65" spans="1:29" ht="15.75" customHeight="1">
      <c r="A65" s="94">
        <v>0.73958333333333337</v>
      </c>
      <c r="B65" s="33">
        <v>0</v>
      </c>
      <c r="C65" s="34">
        <v>0</v>
      </c>
      <c r="D65" s="34">
        <v>0</v>
      </c>
      <c r="E65" s="34">
        <v>0</v>
      </c>
      <c r="F65" s="34">
        <v>0</v>
      </c>
      <c r="G65" s="34">
        <v>0</v>
      </c>
      <c r="H65" s="35">
        <v>0</v>
      </c>
      <c r="I65" s="95">
        <f>SUM(B65:H65)</f>
        <v>0</v>
      </c>
      <c r="K65" s="33">
        <v>6</v>
      </c>
      <c r="L65" s="34">
        <v>0</v>
      </c>
      <c r="M65" s="34">
        <v>0</v>
      </c>
      <c r="N65" s="34">
        <v>0</v>
      </c>
      <c r="O65" s="34">
        <v>0</v>
      </c>
      <c r="P65" s="34">
        <v>0</v>
      </c>
      <c r="Q65" s="35">
        <v>0</v>
      </c>
      <c r="R65" s="95">
        <f>SUM(K65:Q65)</f>
        <v>6</v>
      </c>
      <c r="T65" s="33">
        <v>141</v>
      </c>
      <c r="U65" s="34">
        <v>12</v>
      </c>
      <c r="V65" s="34">
        <v>0</v>
      </c>
      <c r="W65" s="34">
        <v>1</v>
      </c>
      <c r="X65" s="34">
        <v>5</v>
      </c>
      <c r="Y65" s="34">
        <v>2</v>
      </c>
      <c r="Z65" s="35">
        <v>7</v>
      </c>
      <c r="AA65" s="95">
        <f>SUM(T65:Z65)</f>
        <v>168</v>
      </c>
      <c r="AC65" s="95">
        <f>SUM(I65+R65+AA65)</f>
        <v>174</v>
      </c>
    </row>
    <row r="66" spans="1:29" ht="15.75" customHeight="1">
      <c r="A66" s="40" t="s">
        <v>24</v>
      </c>
      <c r="B66" s="37">
        <f t="shared" ref="B66:I66" si="30">SUM(B62:B65)</f>
        <v>0</v>
      </c>
      <c r="C66" s="38">
        <f t="shared" si="30"/>
        <v>0</v>
      </c>
      <c r="D66" s="38">
        <f t="shared" si="30"/>
        <v>0</v>
      </c>
      <c r="E66" s="38">
        <f t="shared" si="30"/>
        <v>0</v>
      </c>
      <c r="F66" s="38">
        <f t="shared" si="30"/>
        <v>0</v>
      </c>
      <c r="G66" s="38">
        <f t="shared" si="30"/>
        <v>0</v>
      </c>
      <c r="H66" s="39">
        <f t="shared" si="30"/>
        <v>0</v>
      </c>
      <c r="I66" s="40">
        <f t="shared" si="30"/>
        <v>0</v>
      </c>
      <c r="K66" s="37">
        <f t="shared" ref="K66:R66" si="31">SUM(K62:K65)</f>
        <v>24</v>
      </c>
      <c r="L66" s="38">
        <f t="shared" si="31"/>
        <v>2</v>
      </c>
      <c r="M66" s="38">
        <f t="shared" si="31"/>
        <v>0</v>
      </c>
      <c r="N66" s="38">
        <f t="shared" si="31"/>
        <v>0</v>
      </c>
      <c r="O66" s="38">
        <f t="shared" si="31"/>
        <v>0</v>
      </c>
      <c r="P66" s="38">
        <f t="shared" si="31"/>
        <v>0</v>
      </c>
      <c r="Q66" s="39">
        <f t="shared" si="31"/>
        <v>0</v>
      </c>
      <c r="R66" s="40">
        <f t="shared" si="31"/>
        <v>26</v>
      </c>
      <c r="T66" s="37">
        <f t="shared" ref="T66:AA66" si="32">SUM(T62:T65)</f>
        <v>636</v>
      </c>
      <c r="U66" s="38">
        <f t="shared" si="32"/>
        <v>53</v>
      </c>
      <c r="V66" s="38">
        <f t="shared" si="32"/>
        <v>4</v>
      </c>
      <c r="W66" s="38">
        <f t="shared" si="32"/>
        <v>1</v>
      </c>
      <c r="X66" s="38">
        <f t="shared" si="32"/>
        <v>19</v>
      </c>
      <c r="Y66" s="38">
        <f t="shared" si="32"/>
        <v>9</v>
      </c>
      <c r="Z66" s="39">
        <f t="shared" si="32"/>
        <v>28</v>
      </c>
      <c r="AA66" s="40">
        <f t="shared" si="32"/>
        <v>750</v>
      </c>
      <c r="AC66" s="40">
        <f>SUM(AC62:AC65)</f>
        <v>776</v>
      </c>
    </row>
    <row r="67" spans="1:29" ht="15.75" customHeight="1">
      <c r="A67" s="90">
        <v>0.75</v>
      </c>
      <c r="B67" s="27">
        <v>0</v>
      </c>
      <c r="C67" s="28">
        <v>0</v>
      </c>
      <c r="D67" s="28">
        <v>0</v>
      </c>
      <c r="E67" s="28">
        <v>0</v>
      </c>
      <c r="F67" s="28">
        <v>0</v>
      </c>
      <c r="G67" s="28">
        <v>0</v>
      </c>
      <c r="H67" s="29">
        <v>0</v>
      </c>
      <c r="I67" s="91">
        <f>SUM(B67:H67)</f>
        <v>0</v>
      </c>
      <c r="K67" s="27">
        <v>4</v>
      </c>
      <c r="L67" s="28">
        <v>1</v>
      </c>
      <c r="M67" s="28">
        <v>0</v>
      </c>
      <c r="N67" s="28">
        <v>0</v>
      </c>
      <c r="O67" s="28">
        <v>0</v>
      </c>
      <c r="P67" s="28">
        <v>0</v>
      </c>
      <c r="Q67" s="29">
        <v>0</v>
      </c>
      <c r="R67" s="91">
        <f>SUM(K67:Q67)</f>
        <v>5</v>
      </c>
      <c r="T67" s="27">
        <v>139</v>
      </c>
      <c r="U67" s="28">
        <v>12</v>
      </c>
      <c r="V67" s="28">
        <v>1</v>
      </c>
      <c r="W67" s="28">
        <v>0</v>
      </c>
      <c r="X67" s="28">
        <v>5</v>
      </c>
      <c r="Y67" s="28">
        <v>5</v>
      </c>
      <c r="Z67" s="29">
        <v>7</v>
      </c>
      <c r="AA67" s="91">
        <f>SUM(T67:Z67)</f>
        <v>169</v>
      </c>
      <c r="AC67" s="91">
        <f>SUM(I67+R67+AA67)</f>
        <v>174</v>
      </c>
    </row>
    <row r="68" spans="1:29" ht="15.75" customHeight="1">
      <c r="A68" s="92">
        <v>0.76041666666666663</v>
      </c>
      <c r="B68" s="30">
        <v>0</v>
      </c>
      <c r="C68" s="31">
        <v>0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 s="93">
        <f>SUM(B68:H68)</f>
        <v>0</v>
      </c>
      <c r="K68" s="30">
        <v>3</v>
      </c>
      <c r="L68" s="31">
        <v>1</v>
      </c>
      <c r="M68" s="31">
        <v>0</v>
      </c>
      <c r="N68" s="31">
        <v>0</v>
      </c>
      <c r="O68" s="31">
        <v>0</v>
      </c>
      <c r="P68" s="31">
        <v>0</v>
      </c>
      <c r="Q68" s="32">
        <v>0</v>
      </c>
      <c r="R68" s="93">
        <f>SUM(K68:Q68)</f>
        <v>4</v>
      </c>
      <c r="T68" s="30">
        <v>138</v>
      </c>
      <c r="U68" s="31">
        <v>8</v>
      </c>
      <c r="V68" s="31">
        <v>1</v>
      </c>
      <c r="W68" s="31">
        <v>0</v>
      </c>
      <c r="X68" s="31">
        <v>7</v>
      </c>
      <c r="Y68" s="31">
        <v>2</v>
      </c>
      <c r="Z68" s="32">
        <v>6</v>
      </c>
      <c r="AA68" s="93">
        <f>SUM(T68:Z68)</f>
        <v>162</v>
      </c>
      <c r="AC68" s="93">
        <f>SUM(I68+R68+AA68)</f>
        <v>166</v>
      </c>
    </row>
    <row r="69" spans="1:29" ht="15.75" customHeight="1">
      <c r="A69" s="92">
        <v>0.77083333333333337</v>
      </c>
      <c r="B69" s="30">
        <v>0</v>
      </c>
      <c r="C69" s="31">
        <v>0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 s="93">
        <f>SUM(B69:H69)</f>
        <v>0</v>
      </c>
      <c r="K69" s="30">
        <v>1</v>
      </c>
      <c r="L69" s="31">
        <v>0</v>
      </c>
      <c r="M69" s="31">
        <v>0</v>
      </c>
      <c r="N69" s="31">
        <v>0</v>
      </c>
      <c r="O69" s="31">
        <v>0</v>
      </c>
      <c r="P69" s="31">
        <v>0</v>
      </c>
      <c r="Q69" s="32">
        <v>0</v>
      </c>
      <c r="R69" s="93">
        <f>SUM(K69:Q69)</f>
        <v>1</v>
      </c>
      <c r="T69" s="30">
        <v>169</v>
      </c>
      <c r="U69" s="31">
        <v>8</v>
      </c>
      <c r="V69" s="31">
        <v>2</v>
      </c>
      <c r="W69" s="31">
        <v>0</v>
      </c>
      <c r="X69" s="31">
        <v>5</v>
      </c>
      <c r="Y69" s="31">
        <v>3</v>
      </c>
      <c r="Z69" s="32">
        <v>4</v>
      </c>
      <c r="AA69" s="93">
        <f>SUM(T69:Z69)</f>
        <v>191</v>
      </c>
      <c r="AC69" s="93">
        <f>SUM(I69+R69+AA69)</f>
        <v>192</v>
      </c>
    </row>
    <row r="70" spans="1:29" ht="15.75" customHeight="1">
      <c r="A70" s="94">
        <v>0.78125</v>
      </c>
      <c r="B70" s="33">
        <v>0</v>
      </c>
      <c r="C70" s="34">
        <v>0</v>
      </c>
      <c r="D70" s="34">
        <v>0</v>
      </c>
      <c r="E70" s="34">
        <v>0</v>
      </c>
      <c r="F70" s="34">
        <v>0</v>
      </c>
      <c r="G70" s="34">
        <v>0</v>
      </c>
      <c r="H70" s="35">
        <v>0</v>
      </c>
      <c r="I70" s="95">
        <f>SUM(B70:H70)</f>
        <v>0</v>
      </c>
      <c r="K70" s="33">
        <v>5</v>
      </c>
      <c r="L70" s="34">
        <v>0</v>
      </c>
      <c r="M70" s="34">
        <v>0</v>
      </c>
      <c r="N70" s="34">
        <v>0</v>
      </c>
      <c r="O70" s="34">
        <v>0</v>
      </c>
      <c r="P70" s="34">
        <v>0</v>
      </c>
      <c r="Q70" s="35">
        <v>0</v>
      </c>
      <c r="R70" s="95">
        <f>SUM(K70:Q70)</f>
        <v>5</v>
      </c>
      <c r="T70" s="33">
        <v>135</v>
      </c>
      <c r="U70" s="34">
        <v>7</v>
      </c>
      <c r="V70" s="34">
        <v>0</v>
      </c>
      <c r="W70" s="34">
        <v>0</v>
      </c>
      <c r="X70" s="34">
        <v>6</v>
      </c>
      <c r="Y70" s="34">
        <v>0</v>
      </c>
      <c r="Z70" s="35">
        <v>1</v>
      </c>
      <c r="AA70" s="95">
        <f>SUM(T70:Z70)</f>
        <v>149</v>
      </c>
      <c r="AC70" s="95">
        <f>SUM(I70+R70+AA70)</f>
        <v>154</v>
      </c>
    </row>
    <row r="71" spans="1:29" ht="15.75" customHeight="1">
      <c r="A71" s="40" t="s">
        <v>24</v>
      </c>
      <c r="B71" s="37">
        <f t="shared" ref="B71:I71" si="33">SUM(B67:B70)</f>
        <v>0</v>
      </c>
      <c r="C71" s="38">
        <f t="shared" si="33"/>
        <v>0</v>
      </c>
      <c r="D71" s="38">
        <f t="shared" si="33"/>
        <v>0</v>
      </c>
      <c r="E71" s="38">
        <f t="shared" si="33"/>
        <v>0</v>
      </c>
      <c r="F71" s="38">
        <f t="shared" si="33"/>
        <v>0</v>
      </c>
      <c r="G71" s="38">
        <f t="shared" si="33"/>
        <v>0</v>
      </c>
      <c r="H71" s="39">
        <f t="shared" si="33"/>
        <v>0</v>
      </c>
      <c r="I71" s="40">
        <f t="shared" si="33"/>
        <v>0</v>
      </c>
      <c r="K71" s="37">
        <f t="shared" ref="K71:R71" si="34">SUM(K67:K70)</f>
        <v>13</v>
      </c>
      <c r="L71" s="38">
        <f t="shared" si="34"/>
        <v>2</v>
      </c>
      <c r="M71" s="38">
        <f t="shared" si="34"/>
        <v>0</v>
      </c>
      <c r="N71" s="38">
        <f t="shared" si="34"/>
        <v>0</v>
      </c>
      <c r="O71" s="38">
        <f t="shared" si="34"/>
        <v>0</v>
      </c>
      <c r="P71" s="38">
        <f t="shared" si="34"/>
        <v>0</v>
      </c>
      <c r="Q71" s="39">
        <f t="shared" si="34"/>
        <v>0</v>
      </c>
      <c r="R71" s="40">
        <f t="shared" si="34"/>
        <v>15</v>
      </c>
      <c r="T71" s="37">
        <f t="shared" ref="T71:AA71" si="35">SUM(T67:T70)</f>
        <v>581</v>
      </c>
      <c r="U71" s="38">
        <f t="shared" si="35"/>
        <v>35</v>
      </c>
      <c r="V71" s="38">
        <f t="shared" si="35"/>
        <v>4</v>
      </c>
      <c r="W71" s="38">
        <f t="shared" si="35"/>
        <v>0</v>
      </c>
      <c r="X71" s="38">
        <f t="shared" si="35"/>
        <v>23</v>
      </c>
      <c r="Y71" s="38">
        <f t="shared" si="35"/>
        <v>10</v>
      </c>
      <c r="Z71" s="39">
        <f t="shared" si="35"/>
        <v>18</v>
      </c>
      <c r="AA71" s="40">
        <f t="shared" si="35"/>
        <v>671</v>
      </c>
      <c r="AC71" s="40">
        <f>SUM(AC67:AC70)</f>
        <v>686</v>
      </c>
    </row>
    <row r="73" spans="1:29" ht="15.75" customHeight="1">
      <c r="A73" s="40" t="s">
        <v>31</v>
      </c>
      <c r="B73" s="37">
        <f t="shared" ref="B73:I73" si="36">SUM(B71+B66+B61+B56+B51+B46+B41+B36+B31+B26+B21+B16)</f>
        <v>2</v>
      </c>
      <c r="C73" s="38">
        <f t="shared" si="36"/>
        <v>1</v>
      </c>
      <c r="D73" s="38">
        <f t="shared" si="36"/>
        <v>0</v>
      </c>
      <c r="E73" s="38">
        <f t="shared" si="36"/>
        <v>0</v>
      </c>
      <c r="F73" s="38">
        <f t="shared" si="36"/>
        <v>0</v>
      </c>
      <c r="G73" s="38">
        <f t="shared" si="36"/>
        <v>0</v>
      </c>
      <c r="H73" s="39">
        <f t="shared" si="36"/>
        <v>0</v>
      </c>
      <c r="I73" s="40">
        <f t="shared" si="36"/>
        <v>3</v>
      </c>
      <c r="K73" s="37">
        <f t="shared" ref="K73:R73" si="37">SUM(K71+K66+K61+K56+K51+K46+K41+K36+K31+K26+K21+K16)</f>
        <v>135</v>
      </c>
      <c r="L73" s="38">
        <f t="shared" si="37"/>
        <v>26</v>
      </c>
      <c r="M73" s="38">
        <f t="shared" si="37"/>
        <v>2</v>
      </c>
      <c r="N73" s="38">
        <f t="shared" si="37"/>
        <v>0</v>
      </c>
      <c r="O73" s="38">
        <f t="shared" si="37"/>
        <v>0</v>
      </c>
      <c r="P73" s="38">
        <f t="shared" si="37"/>
        <v>0</v>
      </c>
      <c r="Q73" s="39">
        <f t="shared" si="37"/>
        <v>1</v>
      </c>
      <c r="R73" s="40">
        <f t="shared" si="37"/>
        <v>164</v>
      </c>
      <c r="T73" s="37">
        <f t="shared" ref="T73:AA73" si="38">SUM(T71+T66+T61+T56+T51+T46+T41+T36+T31+T26+T21+T16)</f>
        <v>6446</v>
      </c>
      <c r="U73" s="38">
        <f t="shared" si="38"/>
        <v>943</v>
      </c>
      <c r="V73" s="38">
        <f t="shared" si="38"/>
        <v>119</v>
      </c>
      <c r="W73" s="38">
        <f t="shared" si="38"/>
        <v>68</v>
      </c>
      <c r="X73" s="38">
        <f t="shared" si="38"/>
        <v>270</v>
      </c>
      <c r="Y73" s="38">
        <f t="shared" si="38"/>
        <v>155</v>
      </c>
      <c r="Z73" s="39">
        <f t="shared" si="38"/>
        <v>183</v>
      </c>
      <c r="AA73" s="40">
        <f t="shared" si="38"/>
        <v>8184</v>
      </c>
      <c r="AC73" s="40">
        <f>SUM(AC71+AC66+AC61+AC56+AC51+AC46+AC41+AC36+AC31+AC26+AC21+AC16)</f>
        <v>8351</v>
      </c>
    </row>
    <row r="74" spans="1:29" s="88" customFormat="1" ht="15.75" customHeight="1">
      <c r="A74" s="88" t="s">
        <v>51</v>
      </c>
      <c r="I74" s="88">
        <f>SUM(B12:H15,B17:H20,B22:H25,B27:H30,B32:H35,B37:H40,B42:H45,B47:H50,B52:H55,B57:H60,B62:H65,B67:H70)</f>
        <v>3</v>
      </c>
      <c r="R74" s="88">
        <f>SUM(K12:Q15,K17:Q20,K22:Q25,K27:Q30,K32:Q35,K37:Q40,K42:Q45,K47:Q50,K52:Q55,K57:Q60,K62:Q65,K67:Q70)</f>
        <v>164</v>
      </c>
      <c r="AA74" s="88">
        <f>SUM(T12:Z15,T17:Z20,T22:Z25,T27:Z30,T32:Z35,T37:Z40,T42:Z45,T47:Z50,T52:Z55,T57:Z60,T62:Z65,T67:Z70)</f>
        <v>8184</v>
      </c>
      <c r="AC74" s="88">
        <f>SUM(B74:AA74)</f>
        <v>8351</v>
      </c>
    </row>
    <row r="76" spans="1:29" ht="15.75" customHeight="1">
      <c r="A76" s="36" t="s">
        <v>13</v>
      </c>
      <c r="B76" s="36" t="str">
        <f>$M$9</f>
        <v xml:space="preserve">B - Drummond Road </v>
      </c>
    </row>
    <row r="77" spans="1:29" ht="15.75" customHeight="1">
      <c r="B77" s="37" t="s">
        <v>14</v>
      </c>
      <c r="C77" s="38"/>
      <c r="D77" s="38" t="str">
        <f>$D$9</f>
        <v>A - Fishponds Road (E)</v>
      </c>
      <c r="E77" s="38"/>
      <c r="F77" s="38"/>
      <c r="G77" s="38"/>
      <c r="H77" s="39"/>
      <c r="I77" s="40"/>
      <c r="K77" s="37" t="s">
        <v>14</v>
      </c>
      <c r="L77" s="38"/>
      <c r="M77" s="38" t="str">
        <f>$M$9</f>
        <v xml:space="preserve">B - Drummond Road </v>
      </c>
      <c r="N77" s="38"/>
      <c r="O77" s="38"/>
      <c r="P77" s="38"/>
      <c r="Q77" s="39"/>
      <c r="R77" s="40"/>
      <c r="T77" s="37" t="s">
        <v>14</v>
      </c>
      <c r="U77" s="38"/>
      <c r="V77" s="38" t="str">
        <f>$V$9</f>
        <v>C - Fishponds Road (W)</v>
      </c>
      <c r="W77" s="38"/>
      <c r="X77" s="38"/>
      <c r="Y77" s="38"/>
      <c r="Z77" s="39"/>
      <c r="AA77" s="40"/>
      <c r="AC77" s="105" t="s">
        <v>23</v>
      </c>
    </row>
    <row r="78" spans="1:29" s="41" customFormat="1" ht="15.75" customHeight="1">
      <c r="B78" s="42" t="str">
        <f>$B$10</f>
        <v>CAR</v>
      </c>
      <c r="C78" s="43" t="str">
        <f>$C$10</f>
        <v>LGV</v>
      </c>
      <c r="D78" s="43" t="str">
        <f>$D$10</f>
        <v>OGV1</v>
      </c>
      <c r="E78" s="43" t="str">
        <f>$E$10</f>
        <v>OGV2</v>
      </c>
      <c r="F78" s="43" t="str">
        <f>$F$10</f>
        <v>PSV</v>
      </c>
      <c r="G78" s="43" t="str">
        <f>$G$10</f>
        <v>MC</v>
      </c>
      <c r="H78" s="44" t="str">
        <f>$H$10</f>
        <v>PC</v>
      </c>
      <c r="I78" s="89" t="s">
        <v>22</v>
      </c>
      <c r="K78" s="42" t="str">
        <f>$B$10</f>
        <v>CAR</v>
      </c>
      <c r="L78" s="43" t="str">
        <f>$C$10</f>
        <v>LGV</v>
      </c>
      <c r="M78" s="43" t="str">
        <f>$D$10</f>
        <v>OGV1</v>
      </c>
      <c r="N78" s="43" t="str">
        <f>$E$10</f>
        <v>OGV2</v>
      </c>
      <c r="O78" s="43" t="str">
        <f>$F$10</f>
        <v>PSV</v>
      </c>
      <c r="P78" s="43" t="str">
        <f>$G$10</f>
        <v>MC</v>
      </c>
      <c r="Q78" s="44" t="str">
        <f>$H$10</f>
        <v>PC</v>
      </c>
      <c r="R78" s="89" t="s">
        <v>22</v>
      </c>
      <c r="T78" s="42" t="str">
        <f>$B$10</f>
        <v>CAR</v>
      </c>
      <c r="U78" s="43" t="str">
        <f>$C$10</f>
        <v>LGV</v>
      </c>
      <c r="V78" s="43" t="str">
        <f>$D$10</f>
        <v>OGV1</v>
      </c>
      <c r="W78" s="43" t="str">
        <f>$E$10</f>
        <v>OGV2</v>
      </c>
      <c r="X78" s="43" t="str">
        <f>$F$10</f>
        <v>PSV</v>
      </c>
      <c r="Y78" s="43" t="str">
        <f>$G$10</f>
        <v>MC</v>
      </c>
      <c r="Z78" s="44" t="str">
        <f>$H$10</f>
        <v>PC</v>
      </c>
      <c r="AA78" s="89" t="s">
        <v>22</v>
      </c>
      <c r="AC78" s="106"/>
    </row>
    <row r="80" spans="1:29" ht="15.75" customHeight="1">
      <c r="A80" s="90">
        <v>0.29166666666666669</v>
      </c>
      <c r="B80" s="27">
        <v>3</v>
      </c>
      <c r="C80" s="28">
        <v>0</v>
      </c>
      <c r="D80" s="28">
        <v>0</v>
      </c>
      <c r="E80" s="28">
        <v>0</v>
      </c>
      <c r="F80" s="28">
        <v>0</v>
      </c>
      <c r="G80" s="28">
        <v>0</v>
      </c>
      <c r="H80" s="29">
        <v>0</v>
      </c>
      <c r="I80" s="91">
        <f>SUM(B80:H80)</f>
        <v>3</v>
      </c>
      <c r="K80" s="27">
        <v>0</v>
      </c>
      <c r="L80" s="28">
        <v>0</v>
      </c>
      <c r="M80" s="28">
        <v>0</v>
      </c>
      <c r="N80" s="28">
        <v>0</v>
      </c>
      <c r="O80" s="28">
        <v>0</v>
      </c>
      <c r="P80" s="28">
        <v>0</v>
      </c>
      <c r="Q80" s="29">
        <v>0</v>
      </c>
      <c r="R80" s="91">
        <f>SUM(K80:Q80)</f>
        <v>0</v>
      </c>
      <c r="T80" s="27">
        <v>1</v>
      </c>
      <c r="U80" s="28">
        <v>1</v>
      </c>
      <c r="V80" s="28">
        <v>0</v>
      </c>
      <c r="W80" s="28">
        <v>0</v>
      </c>
      <c r="X80" s="28">
        <v>0</v>
      </c>
      <c r="Y80" s="28">
        <v>0</v>
      </c>
      <c r="Z80" s="29">
        <v>0</v>
      </c>
      <c r="AA80" s="91">
        <f>SUM(T80:Z80)</f>
        <v>2</v>
      </c>
      <c r="AC80" s="91">
        <f>SUM(I80+R80+AA80)</f>
        <v>5</v>
      </c>
    </row>
    <row r="81" spans="1:29" ht="15.75" customHeight="1">
      <c r="A81" s="92">
        <v>0.30208333333333331</v>
      </c>
      <c r="B81" s="30">
        <v>2</v>
      </c>
      <c r="C81" s="31">
        <v>1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 s="93">
        <f>SUM(B81:H81)</f>
        <v>3</v>
      </c>
      <c r="K81" s="30">
        <v>0</v>
      </c>
      <c r="L81" s="31">
        <v>0</v>
      </c>
      <c r="M81" s="31">
        <v>0</v>
      </c>
      <c r="N81" s="31">
        <v>0</v>
      </c>
      <c r="O81" s="31">
        <v>0</v>
      </c>
      <c r="P81" s="31">
        <v>0</v>
      </c>
      <c r="Q81" s="32">
        <v>0</v>
      </c>
      <c r="R81" s="93">
        <f>SUM(K81:Q81)</f>
        <v>0</v>
      </c>
      <c r="T81" s="30">
        <v>3</v>
      </c>
      <c r="U81" s="31">
        <v>0</v>
      </c>
      <c r="V81" s="31">
        <v>0</v>
      </c>
      <c r="W81" s="31">
        <v>0</v>
      </c>
      <c r="X81" s="31">
        <v>0</v>
      </c>
      <c r="Y81" s="31">
        <v>0</v>
      </c>
      <c r="Z81" s="32">
        <v>0</v>
      </c>
      <c r="AA81" s="93">
        <f>SUM(T81:Z81)</f>
        <v>3</v>
      </c>
      <c r="AC81" s="93">
        <f>SUM(I81+R81+AA81)</f>
        <v>6</v>
      </c>
    </row>
    <row r="82" spans="1:29" ht="15.75" customHeight="1">
      <c r="A82" s="92">
        <v>0.3125</v>
      </c>
      <c r="B82" s="30">
        <v>3</v>
      </c>
      <c r="C82" s="31">
        <v>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 s="93">
        <f>SUM(B82:H82)</f>
        <v>3</v>
      </c>
      <c r="K82" s="30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2">
        <v>0</v>
      </c>
      <c r="R82" s="93">
        <f>SUM(K82:Q82)</f>
        <v>0</v>
      </c>
      <c r="T82" s="30">
        <v>1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2">
        <v>1</v>
      </c>
      <c r="AA82" s="93">
        <f>SUM(T82:Z82)</f>
        <v>2</v>
      </c>
      <c r="AC82" s="93">
        <f>SUM(I82+R82+AA82)</f>
        <v>5</v>
      </c>
    </row>
    <row r="83" spans="1:29" ht="15.75" customHeight="1">
      <c r="A83" s="94">
        <v>0.32291666666666669</v>
      </c>
      <c r="B83" s="33">
        <v>2</v>
      </c>
      <c r="C83" s="34">
        <v>0</v>
      </c>
      <c r="D83" s="34">
        <v>0</v>
      </c>
      <c r="E83" s="34">
        <v>0</v>
      </c>
      <c r="F83" s="34">
        <v>0</v>
      </c>
      <c r="G83" s="34">
        <v>0</v>
      </c>
      <c r="H83" s="35">
        <v>0</v>
      </c>
      <c r="I83" s="95">
        <f>SUM(B83:H83)</f>
        <v>2</v>
      </c>
      <c r="K83" s="33">
        <v>0</v>
      </c>
      <c r="L83" s="34">
        <v>0</v>
      </c>
      <c r="M83" s="34">
        <v>0</v>
      </c>
      <c r="N83" s="34">
        <v>0</v>
      </c>
      <c r="O83" s="34">
        <v>0</v>
      </c>
      <c r="P83" s="34">
        <v>0</v>
      </c>
      <c r="Q83" s="35">
        <v>0</v>
      </c>
      <c r="R83" s="95">
        <f>SUM(K83:Q83)</f>
        <v>0</v>
      </c>
      <c r="T83" s="33">
        <v>1</v>
      </c>
      <c r="U83" s="34">
        <v>0</v>
      </c>
      <c r="V83" s="34">
        <v>0</v>
      </c>
      <c r="W83" s="34">
        <v>0</v>
      </c>
      <c r="X83" s="34">
        <v>0</v>
      </c>
      <c r="Y83" s="34">
        <v>0</v>
      </c>
      <c r="Z83" s="35">
        <v>0</v>
      </c>
      <c r="AA83" s="95">
        <f>SUM(T83:Z83)</f>
        <v>1</v>
      </c>
      <c r="AC83" s="95">
        <f>SUM(I83+R83+AA83)</f>
        <v>3</v>
      </c>
    </row>
    <row r="84" spans="1:29" ht="15.75" customHeight="1">
      <c r="A84" s="40" t="s">
        <v>24</v>
      </c>
      <c r="B84" s="37">
        <f t="shared" ref="B84:I84" si="39">SUM(B80:B83)</f>
        <v>10</v>
      </c>
      <c r="C84" s="38">
        <f t="shared" si="39"/>
        <v>1</v>
      </c>
      <c r="D84" s="38">
        <f t="shared" si="39"/>
        <v>0</v>
      </c>
      <c r="E84" s="38">
        <f t="shared" si="39"/>
        <v>0</v>
      </c>
      <c r="F84" s="38">
        <f t="shared" si="39"/>
        <v>0</v>
      </c>
      <c r="G84" s="38">
        <f t="shared" si="39"/>
        <v>0</v>
      </c>
      <c r="H84" s="39">
        <f t="shared" si="39"/>
        <v>0</v>
      </c>
      <c r="I84" s="40">
        <f t="shared" si="39"/>
        <v>11</v>
      </c>
      <c r="K84" s="37">
        <f t="shared" ref="K84:R84" si="40">SUM(K80:K83)</f>
        <v>0</v>
      </c>
      <c r="L84" s="38">
        <f t="shared" si="40"/>
        <v>0</v>
      </c>
      <c r="M84" s="38">
        <f t="shared" si="40"/>
        <v>0</v>
      </c>
      <c r="N84" s="38">
        <f t="shared" si="40"/>
        <v>0</v>
      </c>
      <c r="O84" s="38">
        <f t="shared" si="40"/>
        <v>0</v>
      </c>
      <c r="P84" s="38">
        <f t="shared" si="40"/>
        <v>0</v>
      </c>
      <c r="Q84" s="39">
        <f t="shared" si="40"/>
        <v>0</v>
      </c>
      <c r="R84" s="40">
        <f t="shared" si="40"/>
        <v>0</v>
      </c>
      <c r="T84" s="37">
        <f t="shared" ref="T84:AA84" si="41">SUM(T80:T83)</f>
        <v>6</v>
      </c>
      <c r="U84" s="38">
        <f t="shared" si="41"/>
        <v>1</v>
      </c>
      <c r="V84" s="38">
        <f t="shared" si="41"/>
        <v>0</v>
      </c>
      <c r="W84" s="38">
        <f t="shared" si="41"/>
        <v>0</v>
      </c>
      <c r="X84" s="38">
        <f t="shared" si="41"/>
        <v>0</v>
      </c>
      <c r="Y84" s="38">
        <f t="shared" si="41"/>
        <v>0</v>
      </c>
      <c r="Z84" s="39">
        <f t="shared" si="41"/>
        <v>1</v>
      </c>
      <c r="AA84" s="40">
        <f t="shared" si="41"/>
        <v>8</v>
      </c>
      <c r="AC84" s="40">
        <f>SUM(AC80:AC83)</f>
        <v>19</v>
      </c>
    </row>
    <row r="85" spans="1:29" ht="15.75" customHeight="1">
      <c r="A85" s="90">
        <v>0.33333333333333331</v>
      </c>
      <c r="B85" s="27">
        <v>3</v>
      </c>
      <c r="C85" s="28">
        <v>0</v>
      </c>
      <c r="D85" s="28">
        <v>0</v>
      </c>
      <c r="E85" s="28">
        <v>0</v>
      </c>
      <c r="F85" s="28">
        <v>0</v>
      </c>
      <c r="G85" s="28">
        <v>0</v>
      </c>
      <c r="H85" s="29">
        <v>0</v>
      </c>
      <c r="I85" s="91">
        <f>SUM(B85:H85)</f>
        <v>3</v>
      </c>
      <c r="K85" s="27">
        <v>0</v>
      </c>
      <c r="L85" s="28">
        <v>0</v>
      </c>
      <c r="M85" s="28">
        <v>0</v>
      </c>
      <c r="N85" s="28">
        <v>0</v>
      </c>
      <c r="O85" s="28">
        <v>0</v>
      </c>
      <c r="P85" s="28">
        <v>0</v>
      </c>
      <c r="Q85" s="29">
        <v>0</v>
      </c>
      <c r="R85" s="91">
        <f>SUM(K85:Q85)</f>
        <v>0</v>
      </c>
      <c r="T85" s="27">
        <v>2</v>
      </c>
      <c r="U85" s="28">
        <v>1</v>
      </c>
      <c r="V85" s="28">
        <v>0</v>
      </c>
      <c r="W85" s="28">
        <v>0</v>
      </c>
      <c r="X85" s="28">
        <v>0</v>
      </c>
      <c r="Y85" s="28">
        <v>0</v>
      </c>
      <c r="Z85" s="29">
        <v>1</v>
      </c>
      <c r="AA85" s="91">
        <f>SUM(T85:Z85)</f>
        <v>4</v>
      </c>
      <c r="AC85" s="91">
        <f>SUM(I85+R85+AA85)</f>
        <v>7</v>
      </c>
    </row>
    <row r="86" spans="1:29" ht="15.75" customHeight="1">
      <c r="A86" s="92">
        <v>0.34375</v>
      </c>
      <c r="B86" s="30">
        <v>5</v>
      </c>
      <c r="C86" s="31">
        <v>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 s="93">
        <f>SUM(B86:H86)</f>
        <v>5</v>
      </c>
      <c r="K86" s="30">
        <v>0</v>
      </c>
      <c r="L86" s="31">
        <v>0</v>
      </c>
      <c r="M86" s="31">
        <v>0</v>
      </c>
      <c r="N86" s="31">
        <v>0</v>
      </c>
      <c r="O86" s="31">
        <v>0</v>
      </c>
      <c r="P86" s="31">
        <v>0</v>
      </c>
      <c r="Q86" s="32">
        <v>0</v>
      </c>
      <c r="R86" s="93">
        <f>SUM(K86:Q86)</f>
        <v>0</v>
      </c>
      <c r="T86" s="30">
        <v>1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2">
        <v>0</v>
      </c>
      <c r="AA86" s="93">
        <f>SUM(T86:Z86)</f>
        <v>1</v>
      </c>
      <c r="AC86" s="93">
        <f>SUM(I86+R86+AA86)</f>
        <v>6</v>
      </c>
    </row>
    <row r="87" spans="1:29" ht="15.75" customHeight="1">
      <c r="A87" s="92">
        <v>0.35416666666666669</v>
      </c>
      <c r="B87" s="30">
        <v>7</v>
      </c>
      <c r="C87" s="31">
        <v>1</v>
      </c>
      <c r="D87" s="31">
        <v>0</v>
      </c>
      <c r="E87" s="31">
        <v>0</v>
      </c>
      <c r="F87" s="31">
        <v>0</v>
      </c>
      <c r="G87" s="31">
        <v>0</v>
      </c>
      <c r="H87" s="32">
        <v>2</v>
      </c>
      <c r="I87" s="93">
        <f>SUM(B87:H87)</f>
        <v>10</v>
      </c>
      <c r="K87" s="30">
        <v>0</v>
      </c>
      <c r="L87" s="31">
        <v>0</v>
      </c>
      <c r="M87" s="31">
        <v>0</v>
      </c>
      <c r="N87" s="31">
        <v>0</v>
      </c>
      <c r="O87" s="31">
        <v>0</v>
      </c>
      <c r="P87" s="31">
        <v>0</v>
      </c>
      <c r="Q87" s="32">
        <v>0</v>
      </c>
      <c r="R87" s="93">
        <f>SUM(K87:Q87)</f>
        <v>0</v>
      </c>
      <c r="T87" s="30">
        <v>0</v>
      </c>
      <c r="U87" s="31">
        <v>1</v>
      </c>
      <c r="V87" s="31">
        <v>0</v>
      </c>
      <c r="W87" s="31">
        <v>0</v>
      </c>
      <c r="X87" s="31">
        <v>0</v>
      </c>
      <c r="Y87" s="31">
        <v>0</v>
      </c>
      <c r="Z87" s="32">
        <v>0</v>
      </c>
      <c r="AA87" s="93">
        <f>SUM(T87:Z87)</f>
        <v>1</v>
      </c>
      <c r="AC87" s="93">
        <f>SUM(I87+R87+AA87)</f>
        <v>11</v>
      </c>
    </row>
    <row r="88" spans="1:29" ht="15.75" customHeight="1">
      <c r="A88" s="94">
        <v>0.36458333333333331</v>
      </c>
      <c r="B88" s="33">
        <v>2</v>
      </c>
      <c r="C88" s="34">
        <v>0</v>
      </c>
      <c r="D88" s="34">
        <v>0</v>
      </c>
      <c r="E88" s="34">
        <v>0</v>
      </c>
      <c r="F88" s="34">
        <v>0</v>
      </c>
      <c r="G88" s="34">
        <v>0</v>
      </c>
      <c r="H88" s="35">
        <v>1</v>
      </c>
      <c r="I88" s="95">
        <f>SUM(B88:H88)</f>
        <v>3</v>
      </c>
      <c r="K88" s="33">
        <v>0</v>
      </c>
      <c r="L88" s="34">
        <v>0</v>
      </c>
      <c r="M88" s="34">
        <v>0</v>
      </c>
      <c r="N88" s="34">
        <v>0</v>
      </c>
      <c r="O88" s="34">
        <v>0</v>
      </c>
      <c r="P88" s="34">
        <v>0</v>
      </c>
      <c r="Q88" s="35">
        <v>0</v>
      </c>
      <c r="R88" s="95">
        <f>SUM(K88:Q88)</f>
        <v>0</v>
      </c>
      <c r="T88" s="33">
        <v>0</v>
      </c>
      <c r="U88" s="34">
        <v>0</v>
      </c>
      <c r="V88" s="34">
        <v>0</v>
      </c>
      <c r="W88" s="34">
        <v>0</v>
      </c>
      <c r="X88" s="34">
        <v>0</v>
      </c>
      <c r="Y88" s="34">
        <v>0</v>
      </c>
      <c r="Z88" s="35">
        <v>0</v>
      </c>
      <c r="AA88" s="95">
        <f>SUM(T88:Z88)</f>
        <v>0</v>
      </c>
      <c r="AC88" s="95">
        <f>SUM(I88+R88+AA88)</f>
        <v>3</v>
      </c>
    </row>
    <row r="89" spans="1:29" ht="15.75" customHeight="1">
      <c r="A89" s="40" t="s">
        <v>24</v>
      </c>
      <c r="B89" s="37">
        <f t="shared" ref="B89:I89" si="42">SUM(B85:B88)</f>
        <v>17</v>
      </c>
      <c r="C89" s="38">
        <f t="shared" si="42"/>
        <v>1</v>
      </c>
      <c r="D89" s="38">
        <f t="shared" si="42"/>
        <v>0</v>
      </c>
      <c r="E89" s="38">
        <f t="shared" si="42"/>
        <v>0</v>
      </c>
      <c r="F89" s="38">
        <f t="shared" si="42"/>
        <v>0</v>
      </c>
      <c r="G89" s="38">
        <f t="shared" si="42"/>
        <v>0</v>
      </c>
      <c r="H89" s="39">
        <f t="shared" si="42"/>
        <v>3</v>
      </c>
      <c r="I89" s="40">
        <f t="shared" si="42"/>
        <v>21</v>
      </c>
      <c r="K89" s="37">
        <f t="shared" ref="K89:R89" si="43">SUM(K85:K88)</f>
        <v>0</v>
      </c>
      <c r="L89" s="38">
        <f t="shared" si="43"/>
        <v>0</v>
      </c>
      <c r="M89" s="38">
        <f t="shared" si="43"/>
        <v>0</v>
      </c>
      <c r="N89" s="38">
        <f t="shared" si="43"/>
        <v>0</v>
      </c>
      <c r="O89" s="38">
        <f t="shared" si="43"/>
        <v>0</v>
      </c>
      <c r="P89" s="38">
        <f t="shared" si="43"/>
        <v>0</v>
      </c>
      <c r="Q89" s="39">
        <f t="shared" si="43"/>
        <v>0</v>
      </c>
      <c r="R89" s="40">
        <f t="shared" si="43"/>
        <v>0</v>
      </c>
      <c r="T89" s="37">
        <f t="shared" ref="T89:AA89" si="44">SUM(T85:T88)</f>
        <v>3</v>
      </c>
      <c r="U89" s="38">
        <f t="shared" si="44"/>
        <v>2</v>
      </c>
      <c r="V89" s="38">
        <f t="shared" si="44"/>
        <v>0</v>
      </c>
      <c r="W89" s="38">
        <f t="shared" si="44"/>
        <v>0</v>
      </c>
      <c r="X89" s="38">
        <f t="shared" si="44"/>
        <v>0</v>
      </c>
      <c r="Y89" s="38">
        <f t="shared" si="44"/>
        <v>0</v>
      </c>
      <c r="Z89" s="39">
        <f t="shared" si="44"/>
        <v>1</v>
      </c>
      <c r="AA89" s="40">
        <f t="shared" si="44"/>
        <v>6</v>
      </c>
      <c r="AC89" s="40">
        <f>SUM(AC85:AC88)</f>
        <v>27</v>
      </c>
    </row>
    <row r="90" spans="1:29" ht="15.75" customHeight="1">
      <c r="A90" s="90">
        <v>0.375</v>
      </c>
      <c r="B90" s="27">
        <v>1</v>
      </c>
      <c r="C90" s="28">
        <v>1</v>
      </c>
      <c r="D90" s="28">
        <v>0</v>
      </c>
      <c r="E90" s="28">
        <v>0</v>
      </c>
      <c r="F90" s="28">
        <v>0</v>
      </c>
      <c r="G90" s="28">
        <v>0</v>
      </c>
      <c r="H90" s="29">
        <v>0</v>
      </c>
      <c r="I90" s="91">
        <f>SUM(B90:H90)</f>
        <v>2</v>
      </c>
      <c r="K90" s="27">
        <v>0</v>
      </c>
      <c r="L90" s="28">
        <v>0</v>
      </c>
      <c r="M90" s="28">
        <v>0</v>
      </c>
      <c r="N90" s="28">
        <v>0</v>
      </c>
      <c r="O90" s="28">
        <v>0</v>
      </c>
      <c r="P90" s="28">
        <v>0</v>
      </c>
      <c r="Q90" s="29">
        <v>0</v>
      </c>
      <c r="R90" s="91">
        <f>SUM(K90:Q90)</f>
        <v>0</v>
      </c>
      <c r="T90" s="27">
        <v>4</v>
      </c>
      <c r="U90" s="28">
        <v>1</v>
      </c>
      <c r="V90" s="28">
        <v>0</v>
      </c>
      <c r="W90" s="28">
        <v>0</v>
      </c>
      <c r="X90" s="28">
        <v>0</v>
      </c>
      <c r="Y90" s="28">
        <v>0</v>
      </c>
      <c r="Z90" s="29">
        <v>0</v>
      </c>
      <c r="AA90" s="91">
        <f>SUM(T90:Z90)</f>
        <v>5</v>
      </c>
      <c r="AC90" s="91">
        <f>SUM(I90+R90+AA90)</f>
        <v>7</v>
      </c>
    </row>
    <row r="91" spans="1:29" ht="15.75" customHeight="1">
      <c r="A91" s="92">
        <v>0.38541666666666669</v>
      </c>
      <c r="B91" s="30">
        <v>0</v>
      </c>
      <c r="C91" s="31">
        <v>0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 s="93">
        <f>SUM(B91:H91)</f>
        <v>0</v>
      </c>
      <c r="K91" s="30">
        <v>0</v>
      </c>
      <c r="L91" s="31">
        <v>0</v>
      </c>
      <c r="M91" s="31">
        <v>0</v>
      </c>
      <c r="N91" s="31">
        <v>0</v>
      </c>
      <c r="O91" s="31">
        <v>0</v>
      </c>
      <c r="P91" s="31">
        <v>0</v>
      </c>
      <c r="Q91" s="32">
        <v>0</v>
      </c>
      <c r="R91" s="93">
        <f>SUM(K91:Q91)</f>
        <v>0</v>
      </c>
      <c r="T91" s="30">
        <v>1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2">
        <v>0</v>
      </c>
      <c r="AA91" s="93">
        <f>SUM(T91:Z91)</f>
        <v>1</v>
      </c>
      <c r="AC91" s="93">
        <f>SUM(I91+R91+AA91)</f>
        <v>1</v>
      </c>
    </row>
    <row r="92" spans="1:29" ht="15.75" customHeight="1">
      <c r="A92" s="92">
        <v>0.39583333333333331</v>
      </c>
      <c r="B92" s="30">
        <v>1</v>
      </c>
      <c r="C92" s="31">
        <v>0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 s="93">
        <f>SUM(B92:H92)</f>
        <v>1</v>
      </c>
      <c r="K92" s="30">
        <v>0</v>
      </c>
      <c r="L92" s="31">
        <v>0</v>
      </c>
      <c r="M92" s="31">
        <v>0</v>
      </c>
      <c r="N92" s="31">
        <v>0</v>
      </c>
      <c r="O92" s="31">
        <v>0</v>
      </c>
      <c r="P92" s="31">
        <v>0</v>
      </c>
      <c r="Q92" s="32">
        <v>0</v>
      </c>
      <c r="R92" s="93">
        <f>SUM(K92:Q92)</f>
        <v>0</v>
      </c>
      <c r="T92" s="30">
        <v>1</v>
      </c>
      <c r="U92" s="31">
        <v>2</v>
      </c>
      <c r="V92" s="31">
        <v>0</v>
      </c>
      <c r="W92" s="31">
        <v>0</v>
      </c>
      <c r="X92" s="31">
        <v>0</v>
      </c>
      <c r="Y92" s="31">
        <v>0</v>
      </c>
      <c r="Z92" s="32">
        <v>0</v>
      </c>
      <c r="AA92" s="93">
        <f>SUM(T92:Z92)</f>
        <v>3</v>
      </c>
      <c r="AC92" s="93">
        <f>SUM(I92+R92+AA92)</f>
        <v>4</v>
      </c>
    </row>
    <row r="93" spans="1:29" ht="15.75" customHeight="1">
      <c r="A93" s="94">
        <v>0.40625</v>
      </c>
      <c r="B93" s="33">
        <v>1</v>
      </c>
      <c r="C93" s="34">
        <v>1</v>
      </c>
      <c r="D93" s="34">
        <v>0</v>
      </c>
      <c r="E93" s="34">
        <v>0</v>
      </c>
      <c r="F93" s="34">
        <v>0</v>
      </c>
      <c r="G93" s="34">
        <v>0</v>
      </c>
      <c r="H93" s="35">
        <v>0</v>
      </c>
      <c r="I93" s="95">
        <f>SUM(B93:H93)</f>
        <v>2</v>
      </c>
      <c r="K93" s="33">
        <v>0</v>
      </c>
      <c r="L93" s="34">
        <v>0</v>
      </c>
      <c r="M93" s="34">
        <v>0</v>
      </c>
      <c r="N93" s="34">
        <v>0</v>
      </c>
      <c r="O93" s="34">
        <v>0</v>
      </c>
      <c r="P93" s="34">
        <v>0</v>
      </c>
      <c r="Q93" s="35">
        <v>0</v>
      </c>
      <c r="R93" s="95">
        <f>SUM(K93:Q93)</f>
        <v>0</v>
      </c>
      <c r="T93" s="33">
        <v>1</v>
      </c>
      <c r="U93" s="34">
        <v>0</v>
      </c>
      <c r="V93" s="34">
        <v>0</v>
      </c>
      <c r="W93" s="34">
        <v>0</v>
      </c>
      <c r="X93" s="34">
        <v>0</v>
      </c>
      <c r="Y93" s="34">
        <v>0</v>
      </c>
      <c r="Z93" s="35">
        <v>0</v>
      </c>
      <c r="AA93" s="95">
        <f>SUM(T93:Z93)</f>
        <v>1</v>
      </c>
      <c r="AC93" s="95">
        <f>SUM(I93+R93+AA93)</f>
        <v>3</v>
      </c>
    </row>
    <row r="94" spans="1:29" ht="15.75" customHeight="1">
      <c r="A94" s="40" t="s">
        <v>24</v>
      </c>
      <c r="B94" s="37">
        <f t="shared" ref="B94:I94" si="45">SUM(B90:B93)</f>
        <v>3</v>
      </c>
      <c r="C94" s="38">
        <f t="shared" si="45"/>
        <v>2</v>
      </c>
      <c r="D94" s="38">
        <f t="shared" si="45"/>
        <v>0</v>
      </c>
      <c r="E94" s="38">
        <f t="shared" si="45"/>
        <v>0</v>
      </c>
      <c r="F94" s="38">
        <f t="shared" si="45"/>
        <v>0</v>
      </c>
      <c r="G94" s="38">
        <f t="shared" si="45"/>
        <v>0</v>
      </c>
      <c r="H94" s="39">
        <f t="shared" si="45"/>
        <v>0</v>
      </c>
      <c r="I94" s="40">
        <f t="shared" si="45"/>
        <v>5</v>
      </c>
      <c r="K94" s="37">
        <f t="shared" ref="K94:R94" si="46">SUM(K90:K93)</f>
        <v>0</v>
      </c>
      <c r="L94" s="38">
        <f t="shared" si="46"/>
        <v>0</v>
      </c>
      <c r="M94" s="38">
        <f t="shared" si="46"/>
        <v>0</v>
      </c>
      <c r="N94" s="38">
        <f t="shared" si="46"/>
        <v>0</v>
      </c>
      <c r="O94" s="38">
        <f t="shared" si="46"/>
        <v>0</v>
      </c>
      <c r="P94" s="38">
        <f t="shared" si="46"/>
        <v>0</v>
      </c>
      <c r="Q94" s="39">
        <f t="shared" si="46"/>
        <v>0</v>
      </c>
      <c r="R94" s="40">
        <f t="shared" si="46"/>
        <v>0</v>
      </c>
      <c r="T94" s="37">
        <f t="shared" ref="T94:AA94" si="47">SUM(T90:T93)</f>
        <v>7</v>
      </c>
      <c r="U94" s="38">
        <f t="shared" si="47"/>
        <v>3</v>
      </c>
      <c r="V94" s="38">
        <f t="shared" si="47"/>
        <v>0</v>
      </c>
      <c r="W94" s="38">
        <f t="shared" si="47"/>
        <v>0</v>
      </c>
      <c r="X94" s="38">
        <f t="shared" si="47"/>
        <v>0</v>
      </c>
      <c r="Y94" s="38">
        <f t="shared" si="47"/>
        <v>0</v>
      </c>
      <c r="Z94" s="39">
        <f t="shared" si="47"/>
        <v>0</v>
      </c>
      <c r="AA94" s="40">
        <f t="shared" si="47"/>
        <v>10</v>
      </c>
      <c r="AC94" s="40">
        <f>SUM(AC90:AC93)</f>
        <v>15</v>
      </c>
    </row>
    <row r="95" spans="1:29" ht="15.75" customHeight="1">
      <c r="A95" s="90">
        <v>0.41666666666666669</v>
      </c>
      <c r="B95" s="27">
        <v>1</v>
      </c>
      <c r="C95" s="28">
        <v>0</v>
      </c>
      <c r="D95" s="28">
        <v>0</v>
      </c>
      <c r="E95" s="28">
        <v>0</v>
      </c>
      <c r="F95" s="28">
        <v>0</v>
      </c>
      <c r="G95" s="28">
        <v>0</v>
      </c>
      <c r="H95" s="29">
        <v>0</v>
      </c>
      <c r="I95" s="91">
        <f>SUM(B95:H95)</f>
        <v>1</v>
      </c>
      <c r="K95" s="27">
        <v>0</v>
      </c>
      <c r="L95" s="28">
        <v>0</v>
      </c>
      <c r="M95" s="28">
        <v>0</v>
      </c>
      <c r="N95" s="28">
        <v>0</v>
      </c>
      <c r="O95" s="28">
        <v>0</v>
      </c>
      <c r="P95" s="28">
        <v>0</v>
      </c>
      <c r="Q95" s="29">
        <v>0</v>
      </c>
      <c r="R95" s="91">
        <f>SUM(K95:Q95)</f>
        <v>0</v>
      </c>
      <c r="T95" s="27">
        <v>0</v>
      </c>
      <c r="U95" s="28">
        <v>0</v>
      </c>
      <c r="V95" s="28">
        <v>0</v>
      </c>
      <c r="W95" s="28">
        <v>0</v>
      </c>
      <c r="X95" s="28">
        <v>0</v>
      </c>
      <c r="Y95" s="28">
        <v>0</v>
      </c>
      <c r="Z95" s="29">
        <v>0</v>
      </c>
      <c r="AA95" s="91">
        <f>SUM(T95:Z95)</f>
        <v>0</v>
      </c>
      <c r="AC95" s="91">
        <f>SUM(I95+R95+AA95)</f>
        <v>1</v>
      </c>
    </row>
    <row r="96" spans="1:29" ht="15.75" customHeight="1">
      <c r="A96" s="92">
        <v>0.42708333333333331</v>
      </c>
      <c r="B96" s="30">
        <v>1</v>
      </c>
      <c r="C96" s="31">
        <v>0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 s="93">
        <f>SUM(B96:H96)</f>
        <v>1</v>
      </c>
      <c r="K96" s="30">
        <v>0</v>
      </c>
      <c r="L96" s="31">
        <v>0</v>
      </c>
      <c r="M96" s="31">
        <v>0</v>
      </c>
      <c r="N96" s="31">
        <v>0</v>
      </c>
      <c r="O96" s="31">
        <v>0</v>
      </c>
      <c r="P96" s="31">
        <v>0</v>
      </c>
      <c r="Q96" s="32">
        <v>0</v>
      </c>
      <c r="R96" s="93">
        <f>SUM(K96:Q96)</f>
        <v>0</v>
      </c>
      <c r="T96" s="30">
        <v>2</v>
      </c>
      <c r="U96" s="31">
        <v>3</v>
      </c>
      <c r="V96" s="31">
        <v>0</v>
      </c>
      <c r="W96" s="31">
        <v>0</v>
      </c>
      <c r="X96" s="31">
        <v>0</v>
      </c>
      <c r="Y96" s="31">
        <v>0</v>
      </c>
      <c r="Z96" s="32">
        <v>0</v>
      </c>
      <c r="AA96" s="93">
        <f>SUM(T96:Z96)</f>
        <v>5</v>
      </c>
      <c r="AC96" s="93">
        <f>SUM(I96+R96+AA96)</f>
        <v>6</v>
      </c>
    </row>
    <row r="97" spans="1:29" ht="15.75" customHeight="1">
      <c r="A97" s="92">
        <v>0.4375</v>
      </c>
      <c r="B97" s="30">
        <v>1</v>
      </c>
      <c r="C97" s="31">
        <v>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 s="93">
        <f>SUM(B97:H97)</f>
        <v>2</v>
      </c>
      <c r="K97" s="30">
        <v>0</v>
      </c>
      <c r="L97" s="31">
        <v>0</v>
      </c>
      <c r="M97" s="31">
        <v>0</v>
      </c>
      <c r="N97" s="31">
        <v>0</v>
      </c>
      <c r="O97" s="31">
        <v>0</v>
      </c>
      <c r="P97" s="31">
        <v>0</v>
      </c>
      <c r="Q97" s="32">
        <v>0</v>
      </c>
      <c r="R97" s="93">
        <f>SUM(K97:Q97)</f>
        <v>0</v>
      </c>
      <c r="T97" s="30">
        <v>3</v>
      </c>
      <c r="U97" s="31">
        <v>1</v>
      </c>
      <c r="V97" s="31">
        <v>0</v>
      </c>
      <c r="W97" s="31">
        <v>0</v>
      </c>
      <c r="X97" s="31">
        <v>0</v>
      </c>
      <c r="Y97" s="31">
        <v>0</v>
      </c>
      <c r="Z97" s="32">
        <v>0</v>
      </c>
      <c r="AA97" s="93">
        <f>SUM(T97:Z97)</f>
        <v>4</v>
      </c>
      <c r="AC97" s="93">
        <f>SUM(I97+R97+AA97)</f>
        <v>6</v>
      </c>
    </row>
    <row r="98" spans="1:29" ht="15.75" customHeight="1">
      <c r="A98" s="94">
        <v>0.44791666666666669</v>
      </c>
      <c r="B98" s="33">
        <v>0</v>
      </c>
      <c r="C98" s="34">
        <v>0</v>
      </c>
      <c r="D98" s="34">
        <v>0</v>
      </c>
      <c r="E98" s="34">
        <v>0</v>
      </c>
      <c r="F98" s="34">
        <v>0</v>
      </c>
      <c r="G98" s="34">
        <v>0</v>
      </c>
      <c r="H98" s="35">
        <v>0</v>
      </c>
      <c r="I98" s="95">
        <f>SUM(B98:H98)</f>
        <v>0</v>
      </c>
      <c r="K98" s="33">
        <v>0</v>
      </c>
      <c r="L98" s="34">
        <v>0</v>
      </c>
      <c r="M98" s="34">
        <v>0</v>
      </c>
      <c r="N98" s="34">
        <v>0</v>
      </c>
      <c r="O98" s="34">
        <v>0</v>
      </c>
      <c r="P98" s="34">
        <v>0</v>
      </c>
      <c r="Q98" s="35">
        <v>0</v>
      </c>
      <c r="R98" s="95">
        <f>SUM(K98:Q98)</f>
        <v>0</v>
      </c>
      <c r="T98" s="33">
        <v>2</v>
      </c>
      <c r="U98" s="34">
        <v>1</v>
      </c>
      <c r="V98" s="34">
        <v>0</v>
      </c>
      <c r="W98" s="34">
        <v>0</v>
      </c>
      <c r="X98" s="34">
        <v>0</v>
      </c>
      <c r="Y98" s="34">
        <v>0</v>
      </c>
      <c r="Z98" s="35">
        <v>0</v>
      </c>
      <c r="AA98" s="95">
        <f>SUM(T98:Z98)</f>
        <v>3</v>
      </c>
      <c r="AC98" s="95">
        <f>SUM(I98+R98+AA98)</f>
        <v>3</v>
      </c>
    </row>
    <row r="99" spans="1:29" ht="15.75" customHeight="1">
      <c r="A99" s="40" t="s">
        <v>24</v>
      </c>
      <c r="B99" s="37">
        <f t="shared" ref="B99:I99" si="48">SUM(B95:B98)</f>
        <v>3</v>
      </c>
      <c r="C99" s="38">
        <f t="shared" si="48"/>
        <v>1</v>
      </c>
      <c r="D99" s="38">
        <f t="shared" si="48"/>
        <v>0</v>
      </c>
      <c r="E99" s="38">
        <f t="shared" si="48"/>
        <v>0</v>
      </c>
      <c r="F99" s="38">
        <f t="shared" si="48"/>
        <v>0</v>
      </c>
      <c r="G99" s="38">
        <f t="shared" si="48"/>
        <v>0</v>
      </c>
      <c r="H99" s="39">
        <f t="shared" si="48"/>
        <v>0</v>
      </c>
      <c r="I99" s="40">
        <f t="shared" si="48"/>
        <v>4</v>
      </c>
      <c r="K99" s="37">
        <f t="shared" ref="K99:R99" si="49">SUM(K95:K98)</f>
        <v>0</v>
      </c>
      <c r="L99" s="38">
        <f t="shared" si="49"/>
        <v>0</v>
      </c>
      <c r="M99" s="38">
        <f t="shared" si="49"/>
        <v>0</v>
      </c>
      <c r="N99" s="38">
        <f t="shared" si="49"/>
        <v>0</v>
      </c>
      <c r="O99" s="38">
        <f t="shared" si="49"/>
        <v>0</v>
      </c>
      <c r="P99" s="38">
        <f t="shared" si="49"/>
        <v>0</v>
      </c>
      <c r="Q99" s="39">
        <f t="shared" si="49"/>
        <v>0</v>
      </c>
      <c r="R99" s="40">
        <f t="shared" si="49"/>
        <v>0</v>
      </c>
      <c r="T99" s="37">
        <f t="shared" ref="T99:AA99" si="50">SUM(T95:T98)</f>
        <v>7</v>
      </c>
      <c r="U99" s="38">
        <f t="shared" si="50"/>
        <v>5</v>
      </c>
      <c r="V99" s="38">
        <f t="shared" si="50"/>
        <v>0</v>
      </c>
      <c r="W99" s="38">
        <f t="shared" si="50"/>
        <v>0</v>
      </c>
      <c r="X99" s="38">
        <f t="shared" si="50"/>
        <v>0</v>
      </c>
      <c r="Y99" s="38">
        <f t="shared" si="50"/>
        <v>0</v>
      </c>
      <c r="Z99" s="39">
        <f t="shared" si="50"/>
        <v>0</v>
      </c>
      <c r="AA99" s="40">
        <f t="shared" si="50"/>
        <v>12</v>
      </c>
      <c r="AC99" s="40">
        <f>SUM(AC95:AC98)</f>
        <v>16</v>
      </c>
    </row>
    <row r="100" spans="1:29" ht="15.75" customHeight="1">
      <c r="A100" s="90">
        <v>0.45833333333333331</v>
      </c>
      <c r="B100" s="27">
        <v>2</v>
      </c>
      <c r="C100" s="28">
        <v>0</v>
      </c>
      <c r="D100" s="28">
        <v>1</v>
      </c>
      <c r="E100" s="28">
        <v>0</v>
      </c>
      <c r="F100" s="28">
        <v>0</v>
      </c>
      <c r="G100" s="28">
        <v>0</v>
      </c>
      <c r="H100" s="29">
        <v>0</v>
      </c>
      <c r="I100" s="91">
        <f>SUM(B100:H100)</f>
        <v>3</v>
      </c>
      <c r="K100" s="27">
        <v>0</v>
      </c>
      <c r="L100" s="28">
        <v>0</v>
      </c>
      <c r="M100" s="28">
        <v>0</v>
      </c>
      <c r="N100" s="28">
        <v>0</v>
      </c>
      <c r="O100" s="28">
        <v>0</v>
      </c>
      <c r="P100" s="28">
        <v>0</v>
      </c>
      <c r="Q100" s="29">
        <v>0</v>
      </c>
      <c r="R100" s="91">
        <f>SUM(K100:Q100)</f>
        <v>0</v>
      </c>
      <c r="T100" s="27">
        <v>2</v>
      </c>
      <c r="U100" s="28">
        <v>0</v>
      </c>
      <c r="V100" s="28">
        <v>1</v>
      </c>
      <c r="W100" s="28">
        <v>0</v>
      </c>
      <c r="X100" s="28">
        <v>0</v>
      </c>
      <c r="Y100" s="28">
        <v>0</v>
      </c>
      <c r="Z100" s="29">
        <v>0</v>
      </c>
      <c r="AA100" s="91">
        <f>SUM(T100:Z100)</f>
        <v>3</v>
      </c>
      <c r="AC100" s="91">
        <f>SUM(I100+R100+AA100)</f>
        <v>6</v>
      </c>
    </row>
    <row r="101" spans="1:29" ht="15.75" customHeight="1">
      <c r="A101" s="92">
        <v>0.46875</v>
      </c>
      <c r="B101" s="30">
        <v>0</v>
      </c>
      <c r="C101" s="31">
        <v>0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 s="93">
        <f>SUM(B101:H101)</f>
        <v>0</v>
      </c>
      <c r="K101" s="30">
        <v>0</v>
      </c>
      <c r="L101" s="31">
        <v>0</v>
      </c>
      <c r="M101" s="31">
        <v>0</v>
      </c>
      <c r="N101" s="31">
        <v>0</v>
      </c>
      <c r="O101" s="31">
        <v>0</v>
      </c>
      <c r="P101" s="31">
        <v>0</v>
      </c>
      <c r="Q101" s="32">
        <v>0</v>
      </c>
      <c r="R101" s="93">
        <f>SUM(K101:Q101)</f>
        <v>0</v>
      </c>
      <c r="T101" s="30">
        <v>4</v>
      </c>
      <c r="U101" s="31">
        <v>1</v>
      </c>
      <c r="V101" s="31">
        <v>0</v>
      </c>
      <c r="W101" s="31">
        <v>0</v>
      </c>
      <c r="X101" s="31">
        <v>0</v>
      </c>
      <c r="Y101" s="31">
        <v>0</v>
      </c>
      <c r="Z101" s="32">
        <v>0</v>
      </c>
      <c r="AA101" s="93">
        <f>SUM(T101:Z101)</f>
        <v>5</v>
      </c>
      <c r="AC101" s="93">
        <f>SUM(I101+R101+AA101)</f>
        <v>5</v>
      </c>
    </row>
    <row r="102" spans="1:29" ht="15.75" customHeight="1">
      <c r="A102" s="92">
        <v>0.47916666666666669</v>
      </c>
      <c r="B102" s="30">
        <v>4</v>
      </c>
      <c r="C102" s="31">
        <v>1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 s="93">
        <f>SUM(B102:H102)</f>
        <v>5</v>
      </c>
      <c r="K102" s="30">
        <v>0</v>
      </c>
      <c r="L102" s="31">
        <v>0</v>
      </c>
      <c r="M102" s="31">
        <v>0</v>
      </c>
      <c r="N102" s="31">
        <v>0</v>
      </c>
      <c r="O102" s="31">
        <v>0</v>
      </c>
      <c r="P102" s="31">
        <v>0</v>
      </c>
      <c r="Q102" s="32">
        <v>0</v>
      </c>
      <c r="R102" s="93">
        <f>SUM(K102:Q102)</f>
        <v>0</v>
      </c>
      <c r="T102" s="30">
        <v>3</v>
      </c>
      <c r="U102" s="31">
        <v>0</v>
      </c>
      <c r="V102" s="31">
        <v>0</v>
      </c>
      <c r="W102" s="31">
        <v>0</v>
      </c>
      <c r="X102" s="31">
        <v>0</v>
      </c>
      <c r="Y102" s="31">
        <v>0</v>
      </c>
      <c r="Z102" s="32">
        <v>1</v>
      </c>
      <c r="AA102" s="93">
        <f>SUM(T102:Z102)</f>
        <v>4</v>
      </c>
      <c r="AC102" s="93">
        <f>SUM(I102+R102+AA102)</f>
        <v>9</v>
      </c>
    </row>
    <row r="103" spans="1:29" ht="15.75" customHeight="1">
      <c r="A103" s="94">
        <v>0.48958333333333331</v>
      </c>
      <c r="B103" s="33">
        <v>1</v>
      </c>
      <c r="C103" s="34">
        <v>0</v>
      </c>
      <c r="D103" s="34">
        <v>0</v>
      </c>
      <c r="E103" s="34">
        <v>0</v>
      </c>
      <c r="F103" s="34">
        <v>0</v>
      </c>
      <c r="G103" s="34">
        <v>0</v>
      </c>
      <c r="H103" s="35">
        <v>0</v>
      </c>
      <c r="I103" s="95">
        <f>SUM(B103:H103)</f>
        <v>1</v>
      </c>
      <c r="K103" s="33">
        <v>0</v>
      </c>
      <c r="L103" s="34">
        <v>0</v>
      </c>
      <c r="M103" s="34">
        <v>0</v>
      </c>
      <c r="N103" s="34">
        <v>0</v>
      </c>
      <c r="O103" s="34">
        <v>0</v>
      </c>
      <c r="P103" s="34">
        <v>0</v>
      </c>
      <c r="Q103" s="35">
        <v>0</v>
      </c>
      <c r="R103" s="95">
        <f>SUM(K103:Q103)</f>
        <v>0</v>
      </c>
      <c r="T103" s="33">
        <v>3</v>
      </c>
      <c r="U103" s="34">
        <v>1</v>
      </c>
      <c r="V103" s="34">
        <v>0</v>
      </c>
      <c r="W103" s="34">
        <v>0</v>
      </c>
      <c r="X103" s="34">
        <v>0</v>
      </c>
      <c r="Y103" s="34">
        <v>0</v>
      </c>
      <c r="Z103" s="35">
        <v>0</v>
      </c>
      <c r="AA103" s="95">
        <f>SUM(T103:Z103)</f>
        <v>4</v>
      </c>
      <c r="AC103" s="95">
        <f>SUM(I103+R103+AA103)</f>
        <v>5</v>
      </c>
    </row>
    <row r="104" spans="1:29" ht="15.75" customHeight="1">
      <c r="A104" s="40" t="s">
        <v>24</v>
      </c>
      <c r="B104" s="37">
        <f t="shared" ref="B104:I104" si="51">SUM(B100:B103)</f>
        <v>7</v>
      </c>
      <c r="C104" s="38">
        <f t="shared" si="51"/>
        <v>1</v>
      </c>
      <c r="D104" s="38">
        <f t="shared" si="51"/>
        <v>1</v>
      </c>
      <c r="E104" s="38">
        <f t="shared" si="51"/>
        <v>0</v>
      </c>
      <c r="F104" s="38">
        <f t="shared" si="51"/>
        <v>0</v>
      </c>
      <c r="G104" s="38">
        <f t="shared" si="51"/>
        <v>0</v>
      </c>
      <c r="H104" s="39">
        <f t="shared" si="51"/>
        <v>0</v>
      </c>
      <c r="I104" s="40">
        <f t="shared" si="51"/>
        <v>9</v>
      </c>
      <c r="K104" s="37">
        <f t="shared" ref="K104:R104" si="52">SUM(K100:K103)</f>
        <v>0</v>
      </c>
      <c r="L104" s="38">
        <f t="shared" si="52"/>
        <v>0</v>
      </c>
      <c r="M104" s="38">
        <f t="shared" si="52"/>
        <v>0</v>
      </c>
      <c r="N104" s="38">
        <f t="shared" si="52"/>
        <v>0</v>
      </c>
      <c r="O104" s="38">
        <f t="shared" si="52"/>
        <v>0</v>
      </c>
      <c r="P104" s="38">
        <f t="shared" si="52"/>
        <v>0</v>
      </c>
      <c r="Q104" s="39">
        <f t="shared" si="52"/>
        <v>0</v>
      </c>
      <c r="R104" s="40">
        <f t="shared" si="52"/>
        <v>0</v>
      </c>
      <c r="T104" s="37">
        <f t="shared" ref="T104:AA104" si="53">SUM(T100:T103)</f>
        <v>12</v>
      </c>
      <c r="U104" s="38">
        <f t="shared" si="53"/>
        <v>2</v>
      </c>
      <c r="V104" s="38">
        <f t="shared" si="53"/>
        <v>1</v>
      </c>
      <c r="W104" s="38">
        <f t="shared" si="53"/>
        <v>0</v>
      </c>
      <c r="X104" s="38">
        <f t="shared" si="53"/>
        <v>0</v>
      </c>
      <c r="Y104" s="38">
        <f t="shared" si="53"/>
        <v>0</v>
      </c>
      <c r="Z104" s="39">
        <f t="shared" si="53"/>
        <v>1</v>
      </c>
      <c r="AA104" s="40">
        <f t="shared" si="53"/>
        <v>16</v>
      </c>
      <c r="AC104" s="40">
        <f>SUM(AC100:AC103)</f>
        <v>25</v>
      </c>
    </row>
    <row r="105" spans="1:29" ht="15.75" customHeight="1">
      <c r="A105" s="90">
        <v>0.5</v>
      </c>
      <c r="B105" s="27">
        <v>1</v>
      </c>
      <c r="C105" s="28">
        <v>0</v>
      </c>
      <c r="D105" s="28">
        <v>0</v>
      </c>
      <c r="E105" s="28">
        <v>0</v>
      </c>
      <c r="F105" s="28">
        <v>0</v>
      </c>
      <c r="G105" s="28">
        <v>0</v>
      </c>
      <c r="H105" s="29">
        <v>0</v>
      </c>
      <c r="I105" s="91">
        <f>SUM(B105:H105)</f>
        <v>1</v>
      </c>
      <c r="K105" s="27">
        <v>0</v>
      </c>
      <c r="L105" s="28">
        <v>0</v>
      </c>
      <c r="M105" s="28">
        <v>0</v>
      </c>
      <c r="N105" s="28">
        <v>0</v>
      </c>
      <c r="O105" s="28">
        <v>0</v>
      </c>
      <c r="P105" s="28">
        <v>0</v>
      </c>
      <c r="Q105" s="29">
        <v>0</v>
      </c>
      <c r="R105" s="91">
        <f>SUM(K105:Q105)</f>
        <v>0</v>
      </c>
      <c r="T105" s="27">
        <v>3</v>
      </c>
      <c r="U105" s="28">
        <v>0</v>
      </c>
      <c r="V105" s="28">
        <v>0</v>
      </c>
      <c r="W105" s="28">
        <v>0</v>
      </c>
      <c r="X105" s="28">
        <v>0</v>
      </c>
      <c r="Y105" s="28">
        <v>0</v>
      </c>
      <c r="Z105" s="29">
        <v>1</v>
      </c>
      <c r="AA105" s="91">
        <f>SUM(T105:Z105)</f>
        <v>4</v>
      </c>
      <c r="AC105" s="91">
        <f>SUM(I105+R105+AA105)</f>
        <v>5</v>
      </c>
    </row>
    <row r="106" spans="1:29" ht="15.75" customHeight="1">
      <c r="A106" s="92">
        <v>0.51041666666666663</v>
      </c>
      <c r="B106" s="30">
        <v>1</v>
      </c>
      <c r="C106" s="31">
        <v>0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 s="93">
        <f>SUM(B106:H106)</f>
        <v>1</v>
      </c>
      <c r="K106" s="30">
        <v>0</v>
      </c>
      <c r="L106" s="31">
        <v>0</v>
      </c>
      <c r="M106" s="31">
        <v>0</v>
      </c>
      <c r="N106" s="31">
        <v>0</v>
      </c>
      <c r="O106" s="31">
        <v>0</v>
      </c>
      <c r="P106" s="31">
        <v>0</v>
      </c>
      <c r="Q106" s="32">
        <v>0</v>
      </c>
      <c r="R106" s="93">
        <f>SUM(K106:Q106)</f>
        <v>0</v>
      </c>
      <c r="T106" s="30">
        <v>2</v>
      </c>
      <c r="U106" s="31">
        <v>1</v>
      </c>
      <c r="V106" s="31">
        <v>0</v>
      </c>
      <c r="W106" s="31">
        <v>0</v>
      </c>
      <c r="X106" s="31">
        <v>0</v>
      </c>
      <c r="Y106" s="31">
        <v>1</v>
      </c>
      <c r="Z106" s="32">
        <v>0</v>
      </c>
      <c r="AA106" s="93">
        <f>SUM(T106:Z106)</f>
        <v>4</v>
      </c>
      <c r="AC106" s="93">
        <f>SUM(I106+R106+AA106)</f>
        <v>5</v>
      </c>
    </row>
    <row r="107" spans="1:29" ht="15.75" customHeight="1">
      <c r="A107" s="92">
        <v>0.52083333333333337</v>
      </c>
      <c r="B107" s="30">
        <v>2</v>
      </c>
      <c r="C107" s="31">
        <v>1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 s="93">
        <f>SUM(B107:H107)</f>
        <v>3</v>
      </c>
      <c r="K107" s="30">
        <v>0</v>
      </c>
      <c r="L107" s="31">
        <v>0</v>
      </c>
      <c r="M107" s="31">
        <v>0</v>
      </c>
      <c r="N107" s="31">
        <v>0</v>
      </c>
      <c r="O107" s="31">
        <v>0</v>
      </c>
      <c r="P107" s="31">
        <v>0</v>
      </c>
      <c r="Q107" s="32">
        <v>0</v>
      </c>
      <c r="R107" s="93">
        <f>SUM(K107:Q107)</f>
        <v>0</v>
      </c>
      <c r="T107" s="30">
        <v>0</v>
      </c>
      <c r="U107" s="31">
        <v>0</v>
      </c>
      <c r="V107" s="31">
        <v>0</v>
      </c>
      <c r="W107" s="31">
        <v>0</v>
      </c>
      <c r="X107" s="31">
        <v>0</v>
      </c>
      <c r="Y107" s="31">
        <v>0</v>
      </c>
      <c r="Z107" s="32">
        <v>0</v>
      </c>
      <c r="AA107" s="93">
        <f>SUM(T107:Z107)</f>
        <v>0</v>
      </c>
      <c r="AC107" s="93">
        <f>SUM(I107+R107+AA107)</f>
        <v>3</v>
      </c>
    </row>
    <row r="108" spans="1:29" ht="15.75" customHeight="1">
      <c r="A108" s="94">
        <v>0.53125</v>
      </c>
      <c r="B108" s="33">
        <v>1</v>
      </c>
      <c r="C108" s="34">
        <v>1</v>
      </c>
      <c r="D108" s="34">
        <v>0</v>
      </c>
      <c r="E108" s="34">
        <v>0</v>
      </c>
      <c r="F108" s="34">
        <v>0</v>
      </c>
      <c r="G108" s="34">
        <v>0</v>
      </c>
      <c r="H108" s="35">
        <v>0</v>
      </c>
      <c r="I108" s="95">
        <f>SUM(B108:H108)</f>
        <v>2</v>
      </c>
      <c r="K108" s="33">
        <v>0</v>
      </c>
      <c r="L108" s="34">
        <v>0</v>
      </c>
      <c r="M108" s="34">
        <v>0</v>
      </c>
      <c r="N108" s="34">
        <v>0</v>
      </c>
      <c r="O108" s="34">
        <v>0</v>
      </c>
      <c r="P108" s="34">
        <v>0</v>
      </c>
      <c r="Q108" s="35">
        <v>0</v>
      </c>
      <c r="R108" s="95">
        <f>SUM(K108:Q108)</f>
        <v>0</v>
      </c>
      <c r="T108" s="33">
        <v>0</v>
      </c>
      <c r="U108" s="34">
        <v>0</v>
      </c>
      <c r="V108" s="34">
        <v>0</v>
      </c>
      <c r="W108" s="34">
        <v>0</v>
      </c>
      <c r="X108" s="34">
        <v>0</v>
      </c>
      <c r="Y108" s="34">
        <v>0</v>
      </c>
      <c r="Z108" s="35">
        <v>0</v>
      </c>
      <c r="AA108" s="95">
        <f>SUM(T108:Z108)</f>
        <v>0</v>
      </c>
      <c r="AC108" s="95">
        <f>SUM(I108+R108+AA108)</f>
        <v>2</v>
      </c>
    </row>
    <row r="109" spans="1:29" ht="15.75" customHeight="1">
      <c r="A109" s="40" t="s">
        <v>24</v>
      </c>
      <c r="B109" s="37">
        <f t="shared" ref="B109:I109" si="54">SUM(B105:B108)</f>
        <v>5</v>
      </c>
      <c r="C109" s="38">
        <f t="shared" si="54"/>
        <v>2</v>
      </c>
      <c r="D109" s="38">
        <f t="shared" si="54"/>
        <v>0</v>
      </c>
      <c r="E109" s="38">
        <f t="shared" si="54"/>
        <v>0</v>
      </c>
      <c r="F109" s="38">
        <f t="shared" si="54"/>
        <v>0</v>
      </c>
      <c r="G109" s="38">
        <f t="shared" si="54"/>
        <v>0</v>
      </c>
      <c r="H109" s="39">
        <f t="shared" si="54"/>
        <v>0</v>
      </c>
      <c r="I109" s="40">
        <f t="shared" si="54"/>
        <v>7</v>
      </c>
      <c r="K109" s="37">
        <f t="shared" ref="K109:R109" si="55">SUM(K105:K108)</f>
        <v>0</v>
      </c>
      <c r="L109" s="38">
        <f t="shared" si="55"/>
        <v>0</v>
      </c>
      <c r="M109" s="38">
        <f t="shared" si="55"/>
        <v>0</v>
      </c>
      <c r="N109" s="38">
        <f t="shared" si="55"/>
        <v>0</v>
      </c>
      <c r="O109" s="38">
        <f t="shared" si="55"/>
        <v>0</v>
      </c>
      <c r="P109" s="38">
        <f t="shared" si="55"/>
        <v>0</v>
      </c>
      <c r="Q109" s="39">
        <f t="shared" si="55"/>
        <v>0</v>
      </c>
      <c r="R109" s="40">
        <f t="shared" si="55"/>
        <v>0</v>
      </c>
      <c r="T109" s="37">
        <f t="shared" ref="T109:AA109" si="56">SUM(T105:T108)</f>
        <v>5</v>
      </c>
      <c r="U109" s="38">
        <f t="shared" si="56"/>
        <v>1</v>
      </c>
      <c r="V109" s="38">
        <f t="shared" si="56"/>
        <v>0</v>
      </c>
      <c r="W109" s="38">
        <f t="shared" si="56"/>
        <v>0</v>
      </c>
      <c r="X109" s="38">
        <f t="shared" si="56"/>
        <v>0</v>
      </c>
      <c r="Y109" s="38">
        <f t="shared" si="56"/>
        <v>1</v>
      </c>
      <c r="Z109" s="39">
        <f t="shared" si="56"/>
        <v>1</v>
      </c>
      <c r="AA109" s="40">
        <f t="shared" si="56"/>
        <v>8</v>
      </c>
      <c r="AC109" s="40">
        <f>SUM(AC105:AC108)</f>
        <v>15</v>
      </c>
    </row>
    <row r="110" spans="1:29" ht="15.75" customHeight="1">
      <c r="A110" s="90">
        <v>0.54166666666666663</v>
      </c>
      <c r="B110" s="27">
        <v>1</v>
      </c>
      <c r="C110" s="28">
        <v>1</v>
      </c>
      <c r="D110" s="28">
        <v>0</v>
      </c>
      <c r="E110" s="28">
        <v>0</v>
      </c>
      <c r="F110" s="28">
        <v>0</v>
      </c>
      <c r="G110" s="28">
        <v>0</v>
      </c>
      <c r="H110" s="29">
        <v>0</v>
      </c>
      <c r="I110" s="91">
        <f>SUM(B110:H110)</f>
        <v>2</v>
      </c>
      <c r="K110" s="27">
        <v>0</v>
      </c>
      <c r="L110" s="28">
        <v>0</v>
      </c>
      <c r="M110" s="28">
        <v>0</v>
      </c>
      <c r="N110" s="28">
        <v>0</v>
      </c>
      <c r="O110" s="28">
        <v>0</v>
      </c>
      <c r="P110" s="28">
        <v>0</v>
      </c>
      <c r="Q110" s="29">
        <v>0</v>
      </c>
      <c r="R110" s="91">
        <f>SUM(K110:Q110)</f>
        <v>0</v>
      </c>
      <c r="T110" s="27">
        <v>1</v>
      </c>
      <c r="U110" s="28">
        <v>0</v>
      </c>
      <c r="V110" s="28">
        <v>0</v>
      </c>
      <c r="W110" s="28">
        <v>0</v>
      </c>
      <c r="X110" s="28">
        <v>0</v>
      </c>
      <c r="Y110" s="28">
        <v>0</v>
      </c>
      <c r="Z110" s="29">
        <v>0</v>
      </c>
      <c r="AA110" s="91">
        <f>SUM(T110:Z110)</f>
        <v>1</v>
      </c>
      <c r="AC110" s="91">
        <f>SUM(I110+R110+AA110)</f>
        <v>3</v>
      </c>
    </row>
    <row r="111" spans="1:29" ht="15.75" customHeight="1">
      <c r="A111" s="92">
        <v>0.55208333333333337</v>
      </c>
      <c r="B111" s="30">
        <v>4</v>
      </c>
      <c r="C111" s="31">
        <v>0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 s="93">
        <f>SUM(B111:H111)</f>
        <v>4</v>
      </c>
      <c r="K111" s="30">
        <v>0</v>
      </c>
      <c r="L111" s="31">
        <v>0</v>
      </c>
      <c r="M111" s="31">
        <v>0</v>
      </c>
      <c r="N111" s="31">
        <v>0</v>
      </c>
      <c r="O111" s="31">
        <v>0</v>
      </c>
      <c r="P111" s="31">
        <v>0</v>
      </c>
      <c r="Q111" s="32">
        <v>0</v>
      </c>
      <c r="R111" s="93">
        <f>SUM(K111:Q111)</f>
        <v>0</v>
      </c>
      <c r="T111" s="30">
        <v>1</v>
      </c>
      <c r="U111" s="31">
        <v>1</v>
      </c>
      <c r="V111" s="31">
        <v>0</v>
      </c>
      <c r="W111" s="31">
        <v>0</v>
      </c>
      <c r="X111" s="31">
        <v>0</v>
      </c>
      <c r="Y111" s="31">
        <v>0</v>
      </c>
      <c r="Z111" s="32">
        <v>0</v>
      </c>
      <c r="AA111" s="93">
        <f>SUM(T111:Z111)</f>
        <v>2</v>
      </c>
      <c r="AC111" s="93">
        <f>SUM(I111+R111+AA111)</f>
        <v>6</v>
      </c>
    </row>
    <row r="112" spans="1:29" ht="15.75" customHeight="1">
      <c r="A112" s="92">
        <v>0.5625</v>
      </c>
      <c r="B112" s="30">
        <v>2</v>
      </c>
      <c r="C112" s="31">
        <v>0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 s="93">
        <f>SUM(B112:H112)</f>
        <v>2</v>
      </c>
      <c r="K112" s="30">
        <v>0</v>
      </c>
      <c r="L112" s="31">
        <v>0</v>
      </c>
      <c r="M112" s="31">
        <v>0</v>
      </c>
      <c r="N112" s="31">
        <v>0</v>
      </c>
      <c r="O112" s="31">
        <v>0</v>
      </c>
      <c r="P112" s="31">
        <v>0</v>
      </c>
      <c r="Q112" s="32">
        <v>0</v>
      </c>
      <c r="R112" s="93">
        <f>SUM(K112:Q112)</f>
        <v>0</v>
      </c>
      <c r="T112" s="30">
        <v>2</v>
      </c>
      <c r="U112" s="31">
        <v>0</v>
      </c>
      <c r="V112" s="31">
        <v>0</v>
      </c>
      <c r="W112" s="31">
        <v>0</v>
      </c>
      <c r="X112" s="31">
        <v>0</v>
      </c>
      <c r="Y112" s="31">
        <v>0</v>
      </c>
      <c r="Z112" s="32">
        <v>0</v>
      </c>
      <c r="AA112" s="93">
        <f>SUM(T112:Z112)</f>
        <v>2</v>
      </c>
      <c r="AC112" s="93">
        <f>SUM(I112+R112+AA112)</f>
        <v>4</v>
      </c>
    </row>
    <row r="113" spans="1:29" ht="15.75" customHeight="1">
      <c r="A113" s="94">
        <v>0.57291666666666663</v>
      </c>
      <c r="B113" s="33">
        <v>2</v>
      </c>
      <c r="C113" s="34">
        <v>1</v>
      </c>
      <c r="D113" s="34">
        <v>0</v>
      </c>
      <c r="E113" s="34">
        <v>0</v>
      </c>
      <c r="F113" s="34">
        <v>0</v>
      </c>
      <c r="G113" s="34">
        <v>0</v>
      </c>
      <c r="H113" s="35">
        <v>0</v>
      </c>
      <c r="I113" s="95">
        <f>SUM(B113:H113)</f>
        <v>3</v>
      </c>
      <c r="K113" s="33">
        <v>0</v>
      </c>
      <c r="L113" s="34">
        <v>0</v>
      </c>
      <c r="M113" s="34">
        <v>0</v>
      </c>
      <c r="N113" s="34">
        <v>0</v>
      </c>
      <c r="O113" s="34">
        <v>0</v>
      </c>
      <c r="P113" s="34">
        <v>0</v>
      </c>
      <c r="Q113" s="35">
        <v>0</v>
      </c>
      <c r="R113" s="95">
        <f>SUM(K113:Q113)</f>
        <v>0</v>
      </c>
      <c r="T113" s="33">
        <v>1</v>
      </c>
      <c r="U113" s="34">
        <v>2</v>
      </c>
      <c r="V113" s="34">
        <v>0</v>
      </c>
      <c r="W113" s="34">
        <v>0</v>
      </c>
      <c r="X113" s="34">
        <v>0</v>
      </c>
      <c r="Y113" s="34">
        <v>0</v>
      </c>
      <c r="Z113" s="35">
        <v>0</v>
      </c>
      <c r="AA113" s="95">
        <f>SUM(T113:Z113)</f>
        <v>3</v>
      </c>
      <c r="AC113" s="95">
        <f>SUM(I113+R113+AA113)</f>
        <v>6</v>
      </c>
    </row>
    <row r="114" spans="1:29" ht="15.75" customHeight="1">
      <c r="A114" s="40" t="s">
        <v>24</v>
      </c>
      <c r="B114" s="37">
        <f t="shared" ref="B114:I114" si="57">SUM(B110:B113)</f>
        <v>9</v>
      </c>
      <c r="C114" s="38">
        <f t="shared" si="57"/>
        <v>2</v>
      </c>
      <c r="D114" s="38">
        <f t="shared" si="57"/>
        <v>0</v>
      </c>
      <c r="E114" s="38">
        <f t="shared" si="57"/>
        <v>0</v>
      </c>
      <c r="F114" s="38">
        <f t="shared" si="57"/>
        <v>0</v>
      </c>
      <c r="G114" s="38">
        <f t="shared" si="57"/>
        <v>0</v>
      </c>
      <c r="H114" s="39">
        <f t="shared" si="57"/>
        <v>0</v>
      </c>
      <c r="I114" s="40">
        <f t="shared" si="57"/>
        <v>11</v>
      </c>
      <c r="K114" s="37">
        <f t="shared" ref="K114:R114" si="58">SUM(K110:K113)</f>
        <v>0</v>
      </c>
      <c r="L114" s="38">
        <f t="shared" si="58"/>
        <v>0</v>
      </c>
      <c r="M114" s="38">
        <f t="shared" si="58"/>
        <v>0</v>
      </c>
      <c r="N114" s="38">
        <f t="shared" si="58"/>
        <v>0</v>
      </c>
      <c r="O114" s="38">
        <f t="shared" si="58"/>
        <v>0</v>
      </c>
      <c r="P114" s="38">
        <f t="shared" si="58"/>
        <v>0</v>
      </c>
      <c r="Q114" s="39">
        <f t="shared" si="58"/>
        <v>0</v>
      </c>
      <c r="R114" s="40">
        <f t="shared" si="58"/>
        <v>0</v>
      </c>
      <c r="T114" s="37">
        <f t="shared" ref="T114:AA114" si="59">SUM(T110:T113)</f>
        <v>5</v>
      </c>
      <c r="U114" s="38">
        <f t="shared" si="59"/>
        <v>3</v>
      </c>
      <c r="V114" s="38">
        <f t="shared" si="59"/>
        <v>0</v>
      </c>
      <c r="W114" s="38">
        <f t="shared" si="59"/>
        <v>0</v>
      </c>
      <c r="X114" s="38">
        <f t="shared" si="59"/>
        <v>0</v>
      </c>
      <c r="Y114" s="38">
        <f t="shared" si="59"/>
        <v>0</v>
      </c>
      <c r="Z114" s="39">
        <f t="shared" si="59"/>
        <v>0</v>
      </c>
      <c r="AA114" s="40">
        <f t="shared" si="59"/>
        <v>8</v>
      </c>
      <c r="AC114" s="40">
        <f>SUM(AC110:AC113)</f>
        <v>19</v>
      </c>
    </row>
    <row r="115" spans="1:29" ht="15.75" customHeight="1">
      <c r="A115" s="90">
        <v>0.58333333333333337</v>
      </c>
      <c r="B115" s="27">
        <v>2</v>
      </c>
      <c r="C115" s="28">
        <v>0</v>
      </c>
      <c r="D115" s="28">
        <v>0</v>
      </c>
      <c r="E115" s="28">
        <v>0</v>
      </c>
      <c r="F115" s="28">
        <v>0</v>
      </c>
      <c r="G115" s="28">
        <v>0</v>
      </c>
      <c r="H115" s="29">
        <v>0</v>
      </c>
      <c r="I115" s="91">
        <f>SUM(B115:H115)</f>
        <v>2</v>
      </c>
      <c r="K115" s="27">
        <v>0</v>
      </c>
      <c r="L115" s="28">
        <v>0</v>
      </c>
      <c r="M115" s="28">
        <v>0</v>
      </c>
      <c r="N115" s="28">
        <v>0</v>
      </c>
      <c r="O115" s="28">
        <v>0</v>
      </c>
      <c r="P115" s="28">
        <v>0</v>
      </c>
      <c r="Q115" s="29">
        <v>0</v>
      </c>
      <c r="R115" s="91">
        <f>SUM(K115:Q115)</f>
        <v>0</v>
      </c>
      <c r="T115" s="27">
        <v>0</v>
      </c>
      <c r="U115" s="28">
        <v>0</v>
      </c>
      <c r="V115" s="28">
        <v>0</v>
      </c>
      <c r="W115" s="28">
        <v>0</v>
      </c>
      <c r="X115" s="28">
        <v>0</v>
      </c>
      <c r="Y115" s="28">
        <v>0</v>
      </c>
      <c r="Z115" s="29">
        <v>0</v>
      </c>
      <c r="AA115" s="91">
        <f>SUM(T115:Z115)</f>
        <v>0</v>
      </c>
      <c r="AC115" s="91">
        <f>SUM(I115+R115+AA115)</f>
        <v>2</v>
      </c>
    </row>
    <row r="116" spans="1:29" ht="15.75" customHeight="1">
      <c r="A116" s="92">
        <v>0.59375</v>
      </c>
      <c r="B116" s="30">
        <v>0</v>
      </c>
      <c r="C116" s="31">
        <v>1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 s="93">
        <f>SUM(B116:H116)</f>
        <v>1</v>
      </c>
      <c r="K116" s="30">
        <v>0</v>
      </c>
      <c r="L116" s="31">
        <v>0</v>
      </c>
      <c r="M116" s="31">
        <v>0</v>
      </c>
      <c r="N116" s="31">
        <v>0</v>
      </c>
      <c r="O116" s="31">
        <v>0</v>
      </c>
      <c r="P116" s="31">
        <v>0</v>
      </c>
      <c r="Q116" s="32">
        <v>0</v>
      </c>
      <c r="R116" s="93">
        <f>SUM(K116:Q116)</f>
        <v>0</v>
      </c>
      <c r="T116" s="30">
        <v>1</v>
      </c>
      <c r="U116" s="31">
        <v>0</v>
      </c>
      <c r="V116" s="31">
        <v>0</v>
      </c>
      <c r="W116" s="31">
        <v>0</v>
      </c>
      <c r="X116" s="31">
        <v>0</v>
      </c>
      <c r="Y116" s="31">
        <v>0</v>
      </c>
      <c r="Z116" s="32">
        <v>0</v>
      </c>
      <c r="AA116" s="93">
        <f>SUM(T116:Z116)</f>
        <v>1</v>
      </c>
      <c r="AC116" s="93">
        <f>SUM(I116+R116+AA116)</f>
        <v>2</v>
      </c>
    </row>
    <row r="117" spans="1:29" ht="15.75" customHeight="1">
      <c r="A117" s="92">
        <v>0.60416666666666663</v>
      </c>
      <c r="B117" s="30">
        <v>3</v>
      </c>
      <c r="C117" s="31">
        <v>0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 s="93">
        <f>SUM(B117:H117)</f>
        <v>3</v>
      </c>
      <c r="K117" s="30">
        <v>0</v>
      </c>
      <c r="L117" s="31">
        <v>0</v>
      </c>
      <c r="M117" s="31">
        <v>0</v>
      </c>
      <c r="N117" s="31">
        <v>0</v>
      </c>
      <c r="O117" s="31">
        <v>0</v>
      </c>
      <c r="P117" s="31">
        <v>0</v>
      </c>
      <c r="Q117" s="32">
        <v>0</v>
      </c>
      <c r="R117" s="93">
        <f>SUM(K117:Q117)</f>
        <v>0</v>
      </c>
      <c r="T117" s="30">
        <v>2</v>
      </c>
      <c r="U117" s="31">
        <v>2</v>
      </c>
      <c r="V117" s="31">
        <v>0</v>
      </c>
      <c r="W117" s="31">
        <v>0</v>
      </c>
      <c r="X117" s="31">
        <v>0</v>
      </c>
      <c r="Y117" s="31">
        <v>0</v>
      </c>
      <c r="Z117" s="32">
        <v>0</v>
      </c>
      <c r="AA117" s="93">
        <f>SUM(T117:Z117)</f>
        <v>4</v>
      </c>
      <c r="AC117" s="93">
        <f>SUM(I117+R117+AA117)</f>
        <v>7</v>
      </c>
    </row>
    <row r="118" spans="1:29" ht="15.75" customHeight="1">
      <c r="A118" s="94">
        <v>0.61458333333333337</v>
      </c>
      <c r="B118" s="33">
        <v>2</v>
      </c>
      <c r="C118" s="34">
        <v>0</v>
      </c>
      <c r="D118" s="34">
        <v>0</v>
      </c>
      <c r="E118" s="34">
        <v>0</v>
      </c>
      <c r="F118" s="34">
        <v>0</v>
      </c>
      <c r="G118" s="34">
        <v>0</v>
      </c>
      <c r="H118" s="35">
        <v>0</v>
      </c>
      <c r="I118" s="95">
        <f>SUM(B118:H118)</f>
        <v>2</v>
      </c>
      <c r="K118" s="33">
        <v>0</v>
      </c>
      <c r="L118" s="34">
        <v>0</v>
      </c>
      <c r="M118" s="34">
        <v>0</v>
      </c>
      <c r="N118" s="34">
        <v>0</v>
      </c>
      <c r="O118" s="34">
        <v>0</v>
      </c>
      <c r="P118" s="34">
        <v>0</v>
      </c>
      <c r="Q118" s="35">
        <v>0</v>
      </c>
      <c r="R118" s="95">
        <f>SUM(K118:Q118)</f>
        <v>0</v>
      </c>
      <c r="T118" s="33">
        <v>0</v>
      </c>
      <c r="U118" s="34">
        <v>0</v>
      </c>
      <c r="V118" s="34">
        <v>0</v>
      </c>
      <c r="W118" s="34">
        <v>0</v>
      </c>
      <c r="X118" s="34">
        <v>0</v>
      </c>
      <c r="Y118" s="34">
        <v>0</v>
      </c>
      <c r="Z118" s="35">
        <v>0</v>
      </c>
      <c r="AA118" s="95">
        <f>SUM(T118:Z118)</f>
        <v>0</v>
      </c>
      <c r="AC118" s="95">
        <f>SUM(I118+R118+AA118)</f>
        <v>2</v>
      </c>
    </row>
    <row r="119" spans="1:29" ht="15.75" customHeight="1">
      <c r="A119" s="40" t="s">
        <v>24</v>
      </c>
      <c r="B119" s="37">
        <f t="shared" ref="B119:I119" si="60">SUM(B115:B118)</f>
        <v>7</v>
      </c>
      <c r="C119" s="38">
        <f t="shared" si="60"/>
        <v>1</v>
      </c>
      <c r="D119" s="38">
        <f t="shared" si="60"/>
        <v>0</v>
      </c>
      <c r="E119" s="38">
        <f t="shared" si="60"/>
        <v>0</v>
      </c>
      <c r="F119" s="38">
        <f t="shared" si="60"/>
        <v>0</v>
      </c>
      <c r="G119" s="38">
        <f t="shared" si="60"/>
        <v>0</v>
      </c>
      <c r="H119" s="39">
        <f t="shared" si="60"/>
        <v>0</v>
      </c>
      <c r="I119" s="40">
        <f t="shared" si="60"/>
        <v>8</v>
      </c>
      <c r="K119" s="37">
        <f t="shared" ref="K119:R119" si="61">SUM(K115:K118)</f>
        <v>0</v>
      </c>
      <c r="L119" s="38">
        <f t="shared" si="61"/>
        <v>0</v>
      </c>
      <c r="M119" s="38">
        <f t="shared" si="61"/>
        <v>0</v>
      </c>
      <c r="N119" s="38">
        <f t="shared" si="61"/>
        <v>0</v>
      </c>
      <c r="O119" s="38">
        <f t="shared" si="61"/>
        <v>0</v>
      </c>
      <c r="P119" s="38">
        <f t="shared" si="61"/>
        <v>0</v>
      </c>
      <c r="Q119" s="39">
        <f t="shared" si="61"/>
        <v>0</v>
      </c>
      <c r="R119" s="40">
        <f t="shared" si="61"/>
        <v>0</v>
      </c>
      <c r="T119" s="37">
        <f t="shared" ref="T119:AA119" si="62">SUM(T115:T118)</f>
        <v>3</v>
      </c>
      <c r="U119" s="38">
        <f t="shared" si="62"/>
        <v>2</v>
      </c>
      <c r="V119" s="38">
        <f t="shared" si="62"/>
        <v>0</v>
      </c>
      <c r="W119" s="38">
        <f t="shared" si="62"/>
        <v>0</v>
      </c>
      <c r="X119" s="38">
        <f t="shared" si="62"/>
        <v>0</v>
      </c>
      <c r="Y119" s="38">
        <f t="shared" si="62"/>
        <v>0</v>
      </c>
      <c r="Z119" s="39">
        <f t="shared" si="62"/>
        <v>0</v>
      </c>
      <c r="AA119" s="40">
        <f t="shared" si="62"/>
        <v>5</v>
      </c>
      <c r="AC119" s="40">
        <f>SUM(AC115:AC118)</f>
        <v>13</v>
      </c>
    </row>
    <row r="120" spans="1:29" ht="15.75" customHeight="1">
      <c r="A120" s="90">
        <v>0.625</v>
      </c>
      <c r="B120" s="27">
        <v>7</v>
      </c>
      <c r="C120" s="28">
        <v>0</v>
      </c>
      <c r="D120" s="28">
        <v>0</v>
      </c>
      <c r="E120" s="28">
        <v>0</v>
      </c>
      <c r="F120" s="28">
        <v>0</v>
      </c>
      <c r="G120" s="28">
        <v>0</v>
      </c>
      <c r="H120" s="29">
        <v>0</v>
      </c>
      <c r="I120" s="91">
        <f>SUM(B120:H120)</f>
        <v>7</v>
      </c>
      <c r="K120" s="27">
        <v>0</v>
      </c>
      <c r="L120" s="28">
        <v>0</v>
      </c>
      <c r="M120" s="28">
        <v>0</v>
      </c>
      <c r="N120" s="28">
        <v>0</v>
      </c>
      <c r="O120" s="28">
        <v>0</v>
      </c>
      <c r="P120" s="28">
        <v>0</v>
      </c>
      <c r="Q120" s="29">
        <v>0</v>
      </c>
      <c r="R120" s="91">
        <f>SUM(K120:Q120)</f>
        <v>0</v>
      </c>
      <c r="T120" s="27">
        <v>1</v>
      </c>
      <c r="U120" s="28">
        <v>0</v>
      </c>
      <c r="V120" s="28">
        <v>0</v>
      </c>
      <c r="W120" s="28">
        <v>0</v>
      </c>
      <c r="X120" s="28">
        <v>0</v>
      </c>
      <c r="Y120" s="28">
        <v>0</v>
      </c>
      <c r="Z120" s="29">
        <v>0</v>
      </c>
      <c r="AA120" s="91">
        <f>SUM(T120:Z120)</f>
        <v>1</v>
      </c>
      <c r="AC120" s="91">
        <f>SUM(I120+R120+AA120)</f>
        <v>8</v>
      </c>
    </row>
    <row r="121" spans="1:29" ht="15.75" customHeight="1">
      <c r="A121" s="92">
        <v>0.63541666666666663</v>
      </c>
      <c r="B121" s="30">
        <v>1</v>
      </c>
      <c r="C121" s="31">
        <v>2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 s="93">
        <f>SUM(B121:H121)</f>
        <v>3</v>
      </c>
      <c r="K121" s="30">
        <v>0</v>
      </c>
      <c r="L121" s="31">
        <v>0</v>
      </c>
      <c r="M121" s="31">
        <v>0</v>
      </c>
      <c r="N121" s="31">
        <v>0</v>
      </c>
      <c r="O121" s="31">
        <v>0</v>
      </c>
      <c r="P121" s="31">
        <v>0</v>
      </c>
      <c r="Q121" s="32">
        <v>0</v>
      </c>
      <c r="R121" s="93">
        <f>SUM(K121:Q121)</f>
        <v>0</v>
      </c>
      <c r="T121" s="30">
        <v>1</v>
      </c>
      <c r="U121" s="31">
        <v>0</v>
      </c>
      <c r="V121" s="31">
        <v>0</v>
      </c>
      <c r="W121" s="31">
        <v>0</v>
      </c>
      <c r="X121" s="31">
        <v>0</v>
      </c>
      <c r="Y121" s="31">
        <v>0</v>
      </c>
      <c r="Z121" s="32">
        <v>1</v>
      </c>
      <c r="AA121" s="93">
        <f>SUM(T121:Z121)</f>
        <v>2</v>
      </c>
      <c r="AC121" s="93">
        <f>SUM(I121+R121+AA121)</f>
        <v>5</v>
      </c>
    </row>
    <row r="122" spans="1:29" ht="15.75" customHeight="1">
      <c r="A122" s="92">
        <v>0.64583333333333337</v>
      </c>
      <c r="B122" s="30">
        <v>0</v>
      </c>
      <c r="C122" s="31">
        <v>1</v>
      </c>
      <c r="D122" s="31">
        <v>0</v>
      </c>
      <c r="E122" s="31">
        <v>0</v>
      </c>
      <c r="F122" s="31">
        <v>0</v>
      </c>
      <c r="G122" s="31">
        <v>1</v>
      </c>
      <c r="H122" s="32">
        <v>0</v>
      </c>
      <c r="I122" s="93">
        <f>SUM(B122:H122)</f>
        <v>2</v>
      </c>
      <c r="K122" s="30">
        <v>0</v>
      </c>
      <c r="L122" s="31">
        <v>0</v>
      </c>
      <c r="M122" s="31">
        <v>0</v>
      </c>
      <c r="N122" s="31">
        <v>0</v>
      </c>
      <c r="O122" s="31">
        <v>0</v>
      </c>
      <c r="P122" s="31">
        <v>0</v>
      </c>
      <c r="Q122" s="32">
        <v>0</v>
      </c>
      <c r="R122" s="93">
        <f>SUM(K122:Q122)</f>
        <v>0</v>
      </c>
      <c r="T122" s="30">
        <v>1</v>
      </c>
      <c r="U122" s="31">
        <v>0</v>
      </c>
      <c r="V122" s="31">
        <v>0</v>
      </c>
      <c r="W122" s="31">
        <v>0</v>
      </c>
      <c r="X122" s="31">
        <v>0</v>
      </c>
      <c r="Y122" s="31">
        <v>0</v>
      </c>
      <c r="Z122" s="32">
        <v>0</v>
      </c>
      <c r="AA122" s="93">
        <f>SUM(T122:Z122)</f>
        <v>1</v>
      </c>
      <c r="AC122" s="93">
        <f>SUM(I122+R122+AA122)</f>
        <v>3</v>
      </c>
    </row>
    <row r="123" spans="1:29" ht="15.75" customHeight="1">
      <c r="A123" s="94">
        <v>0.65625</v>
      </c>
      <c r="B123" s="33">
        <v>1</v>
      </c>
      <c r="C123" s="34">
        <v>1</v>
      </c>
      <c r="D123" s="34">
        <v>0</v>
      </c>
      <c r="E123" s="34">
        <v>0</v>
      </c>
      <c r="F123" s="34">
        <v>0</v>
      </c>
      <c r="G123" s="34">
        <v>0</v>
      </c>
      <c r="H123" s="35">
        <v>0</v>
      </c>
      <c r="I123" s="95">
        <f>SUM(B123:H123)</f>
        <v>2</v>
      </c>
      <c r="K123" s="33">
        <v>0</v>
      </c>
      <c r="L123" s="34">
        <v>0</v>
      </c>
      <c r="M123" s="34">
        <v>0</v>
      </c>
      <c r="N123" s="34">
        <v>0</v>
      </c>
      <c r="O123" s="34">
        <v>0</v>
      </c>
      <c r="P123" s="34">
        <v>0</v>
      </c>
      <c r="Q123" s="35">
        <v>0</v>
      </c>
      <c r="R123" s="95">
        <f>SUM(K123:Q123)</f>
        <v>0</v>
      </c>
      <c r="T123" s="33">
        <v>2</v>
      </c>
      <c r="U123" s="34">
        <v>1</v>
      </c>
      <c r="V123" s="34">
        <v>0</v>
      </c>
      <c r="W123" s="34">
        <v>0</v>
      </c>
      <c r="X123" s="34">
        <v>0</v>
      </c>
      <c r="Y123" s="34">
        <v>0</v>
      </c>
      <c r="Z123" s="35">
        <v>0</v>
      </c>
      <c r="AA123" s="95">
        <f>SUM(T123:Z123)</f>
        <v>3</v>
      </c>
      <c r="AC123" s="95">
        <f>SUM(I123+R123+AA123)</f>
        <v>5</v>
      </c>
    </row>
    <row r="124" spans="1:29" ht="15.75" customHeight="1">
      <c r="A124" s="40" t="s">
        <v>24</v>
      </c>
      <c r="B124" s="37">
        <f t="shared" ref="B124:I124" si="63">SUM(B120:B123)</f>
        <v>9</v>
      </c>
      <c r="C124" s="38">
        <f t="shared" si="63"/>
        <v>4</v>
      </c>
      <c r="D124" s="38">
        <f t="shared" si="63"/>
        <v>0</v>
      </c>
      <c r="E124" s="38">
        <f t="shared" si="63"/>
        <v>0</v>
      </c>
      <c r="F124" s="38">
        <f t="shared" si="63"/>
        <v>0</v>
      </c>
      <c r="G124" s="38">
        <f t="shared" si="63"/>
        <v>1</v>
      </c>
      <c r="H124" s="39">
        <f t="shared" si="63"/>
        <v>0</v>
      </c>
      <c r="I124" s="40">
        <f t="shared" si="63"/>
        <v>14</v>
      </c>
      <c r="K124" s="37">
        <f t="shared" ref="K124:R124" si="64">SUM(K120:K123)</f>
        <v>0</v>
      </c>
      <c r="L124" s="38">
        <f t="shared" si="64"/>
        <v>0</v>
      </c>
      <c r="M124" s="38">
        <f t="shared" si="64"/>
        <v>0</v>
      </c>
      <c r="N124" s="38">
        <f t="shared" si="64"/>
        <v>0</v>
      </c>
      <c r="O124" s="38">
        <f t="shared" si="64"/>
        <v>0</v>
      </c>
      <c r="P124" s="38">
        <f t="shared" si="64"/>
        <v>0</v>
      </c>
      <c r="Q124" s="39">
        <f t="shared" si="64"/>
        <v>0</v>
      </c>
      <c r="R124" s="40">
        <f t="shared" si="64"/>
        <v>0</v>
      </c>
      <c r="T124" s="37">
        <f t="shared" ref="T124:AA124" si="65">SUM(T120:T123)</f>
        <v>5</v>
      </c>
      <c r="U124" s="38">
        <f t="shared" si="65"/>
        <v>1</v>
      </c>
      <c r="V124" s="38">
        <f t="shared" si="65"/>
        <v>0</v>
      </c>
      <c r="W124" s="38">
        <f t="shared" si="65"/>
        <v>0</v>
      </c>
      <c r="X124" s="38">
        <f t="shared" si="65"/>
        <v>0</v>
      </c>
      <c r="Y124" s="38">
        <f t="shared" si="65"/>
        <v>0</v>
      </c>
      <c r="Z124" s="39">
        <f t="shared" si="65"/>
        <v>1</v>
      </c>
      <c r="AA124" s="40">
        <f t="shared" si="65"/>
        <v>7</v>
      </c>
      <c r="AC124" s="40">
        <f>SUM(AC120:AC123)</f>
        <v>21</v>
      </c>
    </row>
    <row r="125" spans="1:29" ht="15.75" customHeight="1">
      <c r="A125" s="90">
        <v>0.66666666666666663</v>
      </c>
      <c r="B125" s="27">
        <v>3</v>
      </c>
      <c r="C125" s="28">
        <v>1</v>
      </c>
      <c r="D125" s="28">
        <v>0</v>
      </c>
      <c r="E125" s="28">
        <v>0</v>
      </c>
      <c r="F125" s="28">
        <v>0</v>
      </c>
      <c r="G125" s="28">
        <v>0</v>
      </c>
      <c r="H125" s="29">
        <v>0</v>
      </c>
      <c r="I125" s="91">
        <f>SUM(B125:H125)</f>
        <v>4</v>
      </c>
      <c r="K125" s="27">
        <v>0</v>
      </c>
      <c r="L125" s="28">
        <v>0</v>
      </c>
      <c r="M125" s="28">
        <v>0</v>
      </c>
      <c r="N125" s="28">
        <v>0</v>
      </c>
      <c r="O125" s="28">
        <v>0</v>
      </c>
      <c r="P125" s="28">
        <v>0</v>
      </c>
      <c r="Q125" s="29">
        <v>0</v>
      </c>
      <c r="R125" s="91">
        <f>SUM(K125:Q125)</f>
        <v>0</v>
      </c>
      <c r="T125" s="27">
        <v>1</v>
      </c>
      <c r="U125" s="28">
        <v>0</v>
      </c>
      <c r="V125" s="28">
        <v>0</v>
      </c>
      <c r="W125" s="28">
        <v>0</v>
      </c>
      <c r="X125" s="28">
        <v>0</v>
      </c>
      <c r="Y125" s="28">
        <v>0</v>
      </c>
      <c r="Z125" s="29">
        <v>0</v>
      </c>
      <c r="AA125" s="91">
        <f>SUM(T125:Z125)</f>
        <v>1</v>
      </c>
      <c r="AC125" s="91">
        <f>SUM(I125+R125+AA125)</f>
        <v>5</v>
      </c>
    </row>
    <row r="126" spans="1:29" ht="15.75" customHeight="1">
      <c r="A126" s="92">
        <v>0.67708333333333337</v>
      </c>
      <c r="B126" s="30">
        <v>2</v>
      </c>
      <c r="C126" s="31">
        <v>1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 s="93">
        <f>SUM(B126:H126)</f>
        <v>3</v>
      </c>
      <c r="K126" s="30">
        <v>0</v>
      </c>
      <c r="L126" s="31">
        <v>0</v>
      </c>
      <c r="M126" s="31">
        <v>0</v>
      </c>
      <c r="N126" s="31">
        <v>0</v>
      </c>
      <c r="O126" s="31">
        <v>0</v>
      </c>
      <c r="P126" s="31">
        <v>0</v>
      </c>
      <c r="Q126" s="32">
        <v>0</v>
      </c>
      <c r="R126" s="93">
        <f>SUM(K126:Q126)</f>
        <v>0</v>
      </c>
      <c r="T126" s="30">
        <v>0</v>
      </c>
      <c r="U126" s="31">
        <v>0</v>
      </c>
      <c r="V126" s="31">
        <v>0</v>
      </c>
      <c r="W126" s="31">
        <v>0</v>
      </c>
      <c r="X126" s="31">
        <v>0</v>
      </c>
      <c r="Y126" s="31">
        <v>0</v>
      </c>
      <c r="Z126" s="32">
        <v>0</v>
      </c>
      <c r="AA126" s="93">
        <f>SUM(T126:Z126)</f>
        <v>0</v>
      </c>
      <c r="AC126" s="93">
        <f>SUM(I126+R126+AA126)</f>
        <v>3</v>
      </c>
    </row>
    <row r="127" spans="1:29" ht="15.75" customHeight="1">
      <c r="A127" s="92">
        <v>0.6875</v>
      </c>
      <c r="B127" s="30">
        <v>1</v>
      </c>
      <c r="C127" s="31">
        <v>1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 s="93">
        <f>SUM(B127:H127)</f>
        <v>2</v>
      </c>
      <c r="K127" s="30">
        <v>0</v>
      </c>
      <c r="L127" s="31">
        <v>0</v>
      </c>
      <c r="M127" s="31">
        <v>0</v>
      </c>
      <c r="N127" s="31">
        <v>0</v>
      </c>
      <c r="O127" s="31">
        <v>0</v>
      </c>
      <c r="P127" s="31">
        <v>0</v>
      </c>
      <c r="Q127" s="32">
        <v>0</v>
      </c>
      <c r="R127" s="93">
        <f>SUM(K127:Q127)</f>
        <v>0</v>
      </c>
      <c r="T127" s="30">
        <v>0</v>
      </c>
      <c r="U127" s="31">
        <v>0</v>
      </c>
      <c r="V127" s="31">
        <v>0</v>
      </c>
      <c r="W127" s="31">
        <v>0</v>
      </c>
      <c r="X127" s="31">
        <v>0</v>
      </c>
      <c r="Y127" s="31">
        <v>0</v>
      </c>
      <c r="Z127" s="32">
        <v>1</v>
      </c>
      <c r="AA127" s="93">
        <f>SUM(T127:Z127)</f>
        <v>1</v>
      </c>
      <c r="AC127" s="93">
        <f>SUM(I127+R127+AA127)</f>
        <v>3</v>
      </c>
    </row>
    <row r="128" spans="1:29" ht="15.75" customHeight="1">
      <c r="A128" s="94">
        <v>0.69791666666666663</v>
      </c>
      <c r="B128" s="33">
        <v>1</v>
      </c>
      <c r="C128" s="34">
        <v>0</v>
      </c>
      <c r="D128" s="34">
        <v>0</v>
      </c>
      <c r="E128" s="34">
        <v>0</v>
      </c>
      <c r="F128" s="34">
        <v>0</v>
      </c>
      <c r="G128" s="34">
        <v>0</v>
      </c>
      <c r="H128" s="35">
        <v>0</v>
      </c>
      <c r="I128" s="95">
        <f>SUM(B128:H128)</f>
        <v>1</v>
      </c>
      <c r="K128" s="33">
        <v>0</v>
      </c>
      <c r="L128" s="34">
        <v>0</v>
      </c>
      <c r="M128" s="34">
        <v>0</v>
      </c>
      <c r="N128" s="34">
        <v>0</v>
      </c>
      <c r="O128" s="34">
        <v>0</v>
      </c>
      <c r="P128" s="34">
        <v>0</v>
      </c>
      <c r="Q128" s="35">
        <v>0</v>
      </c>
      <c r="R128" s="95">
        <f>SUM(K128:Q128)</f>
        <v>0</v>
      </c>
      <c r="T128" s="33">
        <v>1</v>
      </c>
      <c r="U128" s="34">
        <v>0</v>
      </c>
      <c r="V128" s="34">
        <v>0</v>
      </c>
      <c r="W128" s="34">
        <v>0</v>
      </c>
      <c r="X128" s="34">
        <v>0</v>
      </c>
      <c r="Y128" s="34">
        <v>0</v>
      </c>
      <c r="Z128" s="35">
        <v>0</v>
      </c>
      <c r="AA128" s="95">
        <f>SUM(T128:Z128)</f>
        <v>1</v>
      </c>
      <c r="AC128" s="95">
        <f>SUM(I128+R128+AA128)</f>
        <v>2</v>
      </c>
    </row>
    <row r="129" spans="1:29" ht="15.75" customHeight="1">
      <c r="A129" s="40" t="s">
        <v>24</v>
      </c>
      <c r="B129" s="37">
        <f t="shared" ref="B129:I129" si="66">SUM(B125:B128)</f>
        <v>7</v>
      </c>
      <c r="C129" s="38">
        <f t="shared" si="66"/>
        <v>3</v>
      </c>
      <c r="D129" s="38">
        <f t="shared" si="66"/>
        <v>0</v>
      </c>
      <c r="E129" s="38">
        <f t="shared" si="66"/>
        <v>0</v>
      </c>
      <c r="F129" s="38">
        <f t="shared" si="66"/>
        <v>0</v>
      </c>
      <c r="G129" s="38">
        <f t="shared" si="66"/>
        <v>0</v>
      </c>
      <c r="H129" s="39">
        <f t="shared" si="66"/>
        <v>0</v>
      </c>
      <c r="I129" s="40">
        <f t="shared" si="66"/>
        <v>10</v>
      </c>
      <c r="K129" s="37">
        <f t="shared" ref="K129:R129" si="67">SUM(K125:K128)</f>
        <v>0</v>
      </c>
      <c r="L129" s="38">
        <f t="shared" si="67"/>
        <v>0</v>
      </c>
      <c r="M129" s="38">
        <f t="shared" si="67"/>
        <v>0</v>
      </c>
      <c r="N129" s="38">
        <f t="shared" si="67"/>
        <v>0</v>
      </c>
      <c r="O129" s="38">
        <f t="shared" si="67"/>
        <v>0</v>
      </c>
      <c r="P129" s="38">
        <f t="shared" si="67"/>
        <v>0</v>
      </c>
      <c r="Q129" s="39">
        <f t="shared" si="67"/>
        <v>0</v>
      </c>
      <c r="R129" s="40">
        <f t="shared" si="67"/>
        <v>0</v>
      </c>
      <c r="T129" s="37">
        <f t="shared" ref="T129:AA129" si="68">SUM(T125:T128)</f>
        <v>2</v>
      </c>
      <c r="U129" s="38">
        <f t="shared" si="68"/>
        <v>0</v>
      </c>
      <c r="V129" s="38">
        <f t="shared" si="68"/>
        <v>0</v>
      </c>
      <c r="W129" s="38">
        <f t="shared" si="68"/>
        <v>0</v>
      </c>
      <c r="X129" s="38">
        <f t="shared" si="68"/>
        <v>0</v>
      </c>
      <c r="Y129" s="38">
        <f t="shared" si="68"/>
        <v>0</v>
      </c>
      <c r="Z129" s="39">
        <f t="shared" si="68"/>
        <v>1</v>
      </c>
      <c r="AA129" s="40">
        <f t="shared" si="68"/>
        <v>3</v>
      </c>
      <c r="AC129" s="40">
        <f>SUM(AC125:AC128)</f>
        <v>13</v>
      </c>
    </row>
    <row r="130" spans="1:29" ht="15.75" customHeight="1">
      <c r="A130" s="90">
        <v>0.70833333333333337</v>
      </c>
      <c r="B130" s="27">
        <v>5</v>
      </c>
      <c r="C130" s="28">
        <v>0</v>
      </c>
      <c r="D130" s="28">
        <v>0</v>
      </c>
      <c r="E130" s="28">
        <v>0</v>
      </c>
      <c r="F130" s="28">
        <v>0</v>
      </c>
      <c r="G130" s="28">
        <v>0</v>
      </c>
      <c r="H130" s="29">
        <v>0</v>
      </c>
      <c r="I130" s="91">
        <f>SUM(B130:H130)</f>
        <v>5</v>
      </c>
      <c r="K130" s="27">
        <v>0</v>
      </c>
      <c r="L130" s="28">
        <v>0</v>
      </c>
      <c r="M130" s="28">
        <v>0</v>
      </c>
      <c r="N130" s="28">
        <v>0</v>
      </c>
      <c r="O130" s="28">
        <v>0</v>
      </c>
      <c r="P130" s="28">
        <v>0</v>
      </c>
      <c r="Q130" s="29">
        <v>0</v>
      </c>
      <c r="R130" s="91">
        <f>SUM(K130:Q130)</f>
        <v>0</v>
      </c>
      <c r="T130" s="27">
        <v>3</v>
      </c>
      <c r="U130" s="28">
        <v>0</v>
      </c>
      <c r="V130" s="28">
        <v>0</v>
      </c>
      <c r="W130" s="28">
        <v>0</v>
      </c>
      <c r="X130" s="28">
        <v>0</v>
      </c>
      <c r="Y130" s="28">
        <v>0</v>
      </c>
      <c r="Z130" s="29">
        <v>0</v>
      </c>
      <c r="AA130" s="91">
        <f>SUM(T130:Z130)</f>
        <v>3</v>
      </c>
      <c r="AC130" s="91">
        <f>SUM(I130+R130+AA130)</f>
        <v>8</v>
      </c>
    </row>
    <row r="131" spans="1:29" ht="15.75" customHeight="1">
      <c r="A131" s="92">
        <v>0.71875</v>
      </c>
      <c r="B131" s="30">
        <v>3</v>
      </c>
      <c r="C131" s="31">
        <v>2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 s="93">
        <f>SUM(B131:H131)</f>
        <v>5</v>
      </c>
      <c r="K131" s="30">
        <v>0</v>
      </c>
      <c r="L131" s="31">
        <v>0</v>
      </c>
      <c r="M131" s="31">
        <v>0</v>
      </c>
      <c r="N131" s="31">
        <v>0</v>
      </c>
      <c r="O131" s="31">
        <v>0</v>
      </c>
      <c r="P131" s="31">
        <v>0</v>
      </c>
      <c r="Q131" s="32">
        <v>0</v>
      </c>
      <c r="R131" s="93">
        <f>SUM(K131:Q131)</f>
        <v>0</v>
      </c>
      <c r="T131" s="30">
        <v>1</v>
      </c>
      <c r="U131" s="31">
        <v>1</v>
      </c>
      <c r="V131" s="31">
        <v>0</v>
      </c>
      <c r="W131" s="31">
        <v>0</v>
      </c>
      <c r="X131" s="31">
        <v>0</v>
      </c>
      <c r="Y131" s="31">
        <v>0</v>
      </c>
      <c r="Z131" s="32">
        <v>0</v>
      </c>
      <c r="AA131" s="93">
        <f>SUM(T131:Z131)</f>
        <v>2</v>
      </c>
      <c r="AC131" s="93">
        <f>SUM(I131+R131+AA131)</f>
        <v>7</v>
      </c>
    </row>
    <row r="132" spans="1:29" ht="15.75" customHeight="1">
      <c r="A132" s="92">
        <v>0.72916666666666663</v>
      </c>
      <c r="B132" s="30">
        <v>3</v>
      </c>
      <c r="C132" s="31">
        <v>0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 s="93">
        <f>SUM(B132:H132)</f>
        <v>3</v>
      </c>
      <c r="K132" s="30">
        <v>0</v>
      </c>
      <c r="L132" s="31">
        <v>0</v>
      </c>
      <c r="M132" s="31">
        <v>0</v>
      </c>
      <c r="N132" s="31">
        <v>0</v>
      </c>
      <c r="O132" s="31">
        <v>0</v>
      </c>
      <c r="P132" s="31">
        <v>0</v>
      </c>
      <c r="Q132" s="32">
        <v>0</v>
      </c>
      <c r="R132" s="93">
        <f>SUM(K132:Q132)</f>
        <v>0</v>
      </c>
      <c r="T132" s="30">
        <v>2</v>
      </c>
      <c r="U132" s="31">
        <v>0</v>
      </c>
      <c r="V132" s="31">
        <v>0</v>
      </c>
      <c r="W132" s="31">
        <v>0</v>
      </c>
      <c r="X132" s="31">
        <v>0</v>
      </c>
      <c r="Y132" s="31">
        <v>0</v>
      </c>
      <c r="Z132" s="32">
        <v>1</v>
      </c>
      <c r="AA132" s="93">
        <f>SUM(T132:Z132)</f>
        <v>3</v>
      </c>
      <c r="AC132" s="93">
        <f>SUM(I132+R132+AA132)</f>
        <v>6</v>
      </c>
    </row>
    <row r="133" spans="1:29" ht="15.75" customHeight="1">
      <c r="A133" s="94">
        <v>0.73958333333333337</v>
      </c>
      <c r="B133" s="33">
        <v>3</v>
      </c>
      <c r="C133" s="34">
        <v>0</v>
      </c>
      <c r="D133" s="34">
        <v>0</v>
      </c>
      <c r="E133" s="34">
        <v>0</v>
      </c>
      <c r="F133" s="34">
        <v>0</v>
      </c>
      <c r="G133" s="34">
        <v>0</v>
      </c>
      <c r="H133" s="35">
        <v>0</v>
      </c>
      <c r="I133" s="95">
        <f>SUM(B133:H133)</f>
        <v>3</v>
      </c>
      <c r="K133" s="33">
        <v>0</v>
      </c>
      <c r="L133" s="34">
        <v>0</v>
      </c>
      <c r="M133" s="34">
        <v>0</v>
      </c>
      <c r="N133" s="34">
        <v>0</v>
      </c>
      <c r="O133" s="34">
        <v>0</v>
      </c>
      <c r="P133" s="34">
        <v>0</v>
      </c>
      <c r="Q133" s="35">
        <v>0</v>
      </c>
      <c r="R133" s="95">
        <f>SUM(K133:Q133)</f>
        <v>0</v>
      </c>
      <c r="T133" s="33">
        <v>4</v>
      </c>
      <c r="U133" s="34">
        <v>0</v>
      </c>
      <c r="V133" s="34">
        <v>0</v>
      </c>
      <c r="W133" s="34">
        <v>0</v>
      </c>
      <c r="X133" s="34">
        <v>0</v>
      </c>
      <c r="Y133" s="34">
        <v>0</v>
      </c>
      <c r="Z133" s="35">
        <v>0</v>
      </c>
      <c r="AA133" s="95">
        <f>SUM(T133:Z133)</f>
        <v>4</v>
      </c>
      <c r="AC133" s="95">
        <f>SUM(I133+R133+AA133)</f>
        <v>7</v>
      </c>
    </row>
    <row r="134" spans="1:29" ht="15.75" customHeight="1">
      <c r="A134" s="40" t="s">
        <v>24</v>
      </c>
      <c r="B134" s="37">
        <f t="shared" ref="B134:I134" si="69">SUM(B130:B133)</f>
        <v>14</v>
      </c>
      <c r="C134" s="38">
        <f t="shared" si="69"/>
        <v>2</v>
      </c>
      <c r="D134" s="38">
        <f t="shared" si="69"/>
        <v>0</v>
      </c>
      <c r="E134" s="38">
        <f t="shared" si="69"/>
        <v>0</v>
      </c>
      <c r="F134" s="38">
        <f t="shared" si="69"/>
        <v>0</v>
      </c>
      <c r="G134" s="38">
        <f t="shared" si="69"/>
        <v>0</v>
      </c>
      <c r="H134" s="39">
        <f t="shared" si="69"/>
        <v>0</v>
      </c>
      <c r="I134" s="40">
        <f t="shared" si="69"/>
        <v>16</v>
      </c>
      <c r="K134" s="37">
        <f t="shared" ref="K134:R134" si="70">SUM(K130:K133)</f>
        <v>0</v>
      </c>
      <c r="L134" s="38">
        <f t="shared" si="70"/>
        <v>0</v>
      </c>
      <c r="M134" s="38">
        <f t="shared" si="70"/>
        <v>0</v>
      </c>
      <c r="N134" s="38">
        <f t="shared" si="70"/>
        <v>0</v>
      </c>
      <c r="O134" s="38">
        <f t="shared" si="70"/>
        <v>0</v>
      </c>
      <c r="P134" s="38">
        <f t="shared" si="70"/>
        <v>0</v>
      </c>
      <c r="Q134" s="39">
        <f t="shared" si="70"/>
        <v>0</v>
      </c>
      <c r="R134" s="40">
        <f t="shared" si="70"/>
        <v>0</v>
      </c>
      <c r="T134" s="37">
        <f t="shared" ref="T134:AA134" si="71">SUM(T130:T133)</f>
        <v>10</v>
      </c>
      <c r="U134" s="38">
        <f t="shared" si="71"/>
        <v>1</v>
      </c>
      <c r="V134" s="38">
        <f t="shared" si="71"/>
        <v>0</v>
      </c>
      <c r="W134" s="38">
        <f t="shared" si="71"/>
        <v>0</v>
      </c>
      <c r="X134" s="38">
        <f t="shared" si="71"/>
        <v>0</v>
      </c>
      <c r="Y134" s="38">
        <f t="shared" si="71"/>
        <v>0</v>
      </c>
      <c r="Z134" s="39">
        <f t="shared" si="71"/>
        <v>1</v>
      </c>
      <c r="AA134" s="40">
        <f t="shared" si="71"/>
        <v>12</v>
      </c>
      <c r="AC134" s="40">
        <f>SUM(AC130:AC133)</f>
        <v>28</v>
      </c>
    </row>
    <row r="135" spans="1:29" ht="15.75" customHeight="1">
      <c r="A135" s="90">
        <v>0.75</v>
      </c>
      <c r="B135" s="27">
        <v>1</v>
      </c>
      <c r="C135" s="28">
        <v>1</v>
      </c>
      <c r="D135" s="28">
        <v>0</v>
      </c>
      <c r="E135" s="28">
        <v>0</v>
      </c>
      <c r="F135" s="28">
        <v>0</v>
      </c>
      <c r="G135" s="28">
        <v>0</v>
      </c>
      <c r="H135" s="29">
        <v>0</v>
      </c>
      <c r="I135" s="91">
        <f>SUM(B135:H135)</f>
        <v>2</v>
      </c>
      <c r="K135" s="27">
        <v>0</v>
      </c>
      <c r="L135" s="28">
        <v>0</v>
      </c>
      <c r="M135" s="28">
        <v>0</v>
      </c>
      <c r="N135" s="28">
        <v>0</v>
      </c>
      <c r="O135" s="28">
        <v>0</v>
      </c>
      <c r="P135" s="28">
        <v>0</v>
      </c>
      <c r="Q135" s="29">
        <v>0</v>
      </c>
      <c r="R135" s="91">
        <f>SUM(K135:Q135)</f>
        <v>0</v>
      </c>
      <c r="T135" s="27">
        <v>1</v>
      </c>
      <c r="U135" s="28">
        <v>0</v>
      </c>
      <c r="V135" s="28">
        <v>0</v>
      </c>
      <c r="W135" s="28">
        <v>0</v>
      </c>
      <c r="X135" s="28">
        <v>0</v>
      </c>
      <c r="Y135" s="28">
        <v>0</v>
      </c>
      <c r="Z135" s="29">
        <v>0</v>
      </c>
      <c r="AA135" s="91">
        <f>SUM(T135:Z135)</f>
        <v>1</v>
      </c>
      <c r="AC135" s="91">
        <f>SUM(I135+R135+AA135)</f>
        <v>3</v>
      </c>
    </row>
    <row r="136" spans="1:29" ht="15.75" customHeight="1">
      <c r="A136" s="92">
        <v>0.76041666666666663</v>
      </c>
      <c r="B136" s="30">
        <v>4</v>
      </c>
      <c r="C136" s="31">
        <v>0</v>
      </c>
      <c r="D136" s="31">
        <v>0</v>
      </c>
      <c r="E136" s="31">
        <v>0</v>
      </c>
      <c r="F136" s="31">
        <v>0</v>
      </c>
      <c r="G136" s="31">
        <v>1</v>
      </c>
      <c r="H136" s="32">
        <v>0</v>
      </c>
      <c r="I136" s="93">
        <f>SUM(B136:H136)</f>
        <v>5</v>
      </c>
      <c r="K136" s="30">
        <v>0</v>
      </c>
      <c r="L136" s="31">
        <v>0</v>
      </c>
      <c r="M136" s="31">
        <v>0</v>
      </c>
      <c r="N136" s="31">
        <v>0</v>
      </c>
      <c r="O136" s="31">
        <v>0</v>
      </c>
      <c r="P136" s="31">
        <v>0</v>
      </c>
      <c r="Q136" s="32">
        <v>0</v>
      </c>
      <c r="R136" s="93">
        <f>SUM(K136:Q136)</f>
        <v>0</v>
      </c>
      <c r="T136" s="30">
        <v>7</v>
      </c>
      <c r="U136" s="31">
        <v>0</v>
      </c>
      <c r="V136" s="31">
        <v>0</v>
      </c>
      <c r="W136" s="31">
        <v>0</v>
      </c>
      <c r="X136" s="31">
        <v>0</v>
      </c>
      <c r="Y136" s="31">
        <v>0</v>
      </c>
      <c r="Z136" s="32">
        <v>0</v>
      </c>
      <c r="AA136" s="93">
        <f>SUM(T136:Z136)</f>
        <v>7</v>
      </c>
      <c r="AC136" s="93">
        <f>SUM(I136+R136+AA136)</f>
        <v>12</v>
      </c>
    </row>
    <row r="137" spans="1:29" ht="15.75" customHeight="1">
      <c r="A137" s="92">
        <v>0.77083333333333337</v>
      </c>
      <c r="B137" s="30">
        <v>4</v>
      </c>
      <c r="C137" s="31">
        <v>0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 s="93">
        <f>SUM(B137:H137)</f>
        <v>4</v>
      </c>
      <c r="K137" s="30">
        <v>0</v>
      </c>
      <c r="L137" s="31">
        <v>0</v>
      </c>
      <c r="M137" s="31">
        <v>0</v>
      </c>
      <c r="N137" s="31">
        <v>0</v>
      </c>
      <c r="O137" s="31">
        <v>0</v>
      </c>
      <c r="P137" s="31">
        <v>0</v>
      </c>
      <c r="Q137" s="32">
        <v>0</v>
      </c>
      <c r="R137" s="93">
        <f>SUM(K137:Q137)</f>
        <v>0</v>
      </c>
      <c r="T137" s="30">
        <v>6</v>
      </c>
      <c r="U137" s="31">
        <v>0</v>
      </c>
      <c r="V137" s="31">
        <v>0</v>
      </c>
      <c r="W137" s="31">
        <v>0</v>
      </c>
      <c r="X137" s="31">
        <v>0</v>
      </c>
      <c r="Y137" s="31">
        <v>0</v>
      </c>
      <c r="Z137" s="32">
        <v>0</v>
      </c>
      <c r="AA137" s="93">
        <f>SUM(T137:Z137)</f>
        <v>6</v>
      </c>
      <c r="AC137" s="93">
        <f>SUM(I137+R137+AA137)</f>
        <v>10</v>
      </c>
    </row>
    <row r="138" spans="1:29" ht="15.75" customHeight="1">
      <c r="A138" s="94">
        <v>0.78125</v>
      </c>
      <c r="B138" s="33">
        <v>2</v>
      </c>
      <c r="C138" s="34">
        <v>0</v>
      </c>
      <c r="D138" s="34">
        <v>0</v>
      </c>
      <c r="E138" s="34">
        <v>0</v>
      </c>
      <c r="F138" s="34">
        <v>0</v>
      </c>
      <c r="G138" s="34">
        <v>0</v>
      </c>
      <c r="H138" s="35">
        <v>0</v>
      </c>
      <c r="I138" s="95">
        <f>SUM(B138:H138)</f>
        <v>2</v>
      </c>
      <c r="K138" s="33">
        <v>0</v>
      </c>
      <c r="L138" s="34">
        <v>0</v>
      </c>
      <c r="M138" s="34">
        <v>0</v>
      </c>
      <c r="N138" s="34">
        <v>0</v>
      </c>
      <c r="O138" s="34">
        <v>0</v>
      </c>
      <c r="P138" s="34">
        <v>0</v>
      </c>
      <c r="Q138" s="35">
        <v>0</v>
      </c>
      <c r="R138" s="95">
        <f>SUM(K138:Q138)</f>
        <v>0</v>
      </c>
      <c r="T138" s="33">
        <v>3</v>
      </c>
      <c r="U138" s="34">
        <v>0</v>
      </c>
      <c r="V138" s="34">
        <v>0</v>
      </c>
      <c r="W138" s="34">
        <v>0</v>
      </c>
      <c r="X138" s="34">
        <v>0</v>
      </c>
      <c r="Y138" s="34">
        <v>0</v>
      </c>
      <c r="Z138" s="35">
        <v>0</v>
      </c>
      <c r="AA138" s="95">
        <f>SUM(T138:Z138)</f>
        <v>3</v>
      </c>
      <c r="AC138" s="95">
        <f>SUM(I138+R138+AA138)</f>
        <v>5</v>
      </c>
    </row>
    <row r="139" spans="1:29" ht="15.75" customHeight="1">
      <c r="A139" s="40" t="s">
        <v>24</v>
      </c>
      <c r="B139" s="37">
        <f t="shared" ref="B139:I139" si="72">SUM(B135:B138)</f>
        <v>11</v>
      </c>
      <c r="C139" s="38">
        <f t="shared" si="72"/>
        <v>1</v>
      </c>
      <c r="D139" s="38">
        <f t="shared" si="72"/>
        <v>0</v>
      </c>
      <c r="E139" s="38">
        <f t="shared" si="72"/>
        <v>0</v>
      </c>
      <c r="F139" s="38">
        <f t="shared" si="72"/>
        <v>0</v>
      </c>
      <c r="G139" s="38">
        <f t="shared" si="72"/>
        <v>1</v>
      </c>
      <c r="H139" s="39">
        <f t="shared" si="72"/>
        <v>0</v>
      </c>
      <c r="I139" s="40">
        <f t="shared" si="72"/>
        <v>13</v>
      </c>
      <c r="K139" s="37">
        <f t="shared" ref="K139:R139" si="73">SUM(K135:K138)</f>
        <v>0</v>
      </c>
      <c r="L139" s="38">
        <f t="shared" si="73"/>
        <v>0</v>
      </c>
      <c r="M139" s="38">
        <f t="shared" si="73"/>
        <v>0</v>
      </c>
      <c r="N139" s="38">
        <f t="shared" si="73"/>
        <v>0</v>
      </c>
      <c r="O139" s="38">
        <f t="shared" si="73"/>
        <v>0</v>
      </c>
      <c r="P139" s="38">
        <f t="shared" si="73"/>
        <v>0</v>
      </c>
      <c r="Q139" s="39">
        <f t="shared" si="73"/>
        <v>0</v>
      </c>
      <c r="R139" s="40">
        <f t="shared" si="73"/>
        <v>0</v>
      </c>
      <c r="T139" s="37">
        <f t="shared" ref="T139:AA139" si="74">SUM(T135:T138)</f>
        <v>17</v>
      </c>
      <c r="U139" s="38">
        <f t="shared" si="74"/>
        <v>0</v>
      </c>
      <c r="V139" s="38">
        <f t="shared" si="74"/>
        <v>0</v>
      </c>
      <c r="W139" s="38">
        <f t="shared" si="74"/>
        <v>0</v>
      </c>
      <c r="X139" s="38">
        <f t="shared" si="74"/>
        <v>0</v>
      </c>
      <c r="Y139" s="38">
        <f t="shared" si="74"/>
        <v>0</v>
      </c>
      <c r="Z139" s="39">
        <f t="shared" si="74"/>
        <v>0</v>
      </c>
      <c r="AA139" s="40">
        <f t="shared" si="74"/>
        <v>17</v>
      </c>
      <c r="AC139" s="40">
        <f>SUM(AC135:AC138)</f>
        <v>30</v>
      </c>
    </row>
    <row r="141" spans="1:29" ht="15.75" customHeight="1">
      <c r="A141" s="40" t="s">
        <v>31</v>
      </c>
      <c r="B141" s="37">
        <f t="shared" ref="B141:I141" si="75">SUM(B139+B134+B129+B124+B119+B114+B109+B104+B99+B94+B89+B84)</f>
        <v>102</v>
      </c>
      <c r="C141" s="38">
        <f t="shared" si="75"/>
        <v>21</v>
      </c>
      <c r="D141" s="38">
        <f t="shared" si="75"/>
        <v>1</v>
      </c>
      <c r="E141" s="38">
        <f t="shared" si="75"/>
        <v>0</v>
      </c>
      <c r="F141" s="38">
        <f t="shared" si="75"/>
        <v>0</v>
      </c>
      <c r="G141" s="38">
        <f t="shared" si="75"/>
        <v>2</v>
      </c>
      <c r="H141" s="39">
        <f t="shared" si="75"/>
        <v>3</v>
      </c>
      <c r="I141" s="40">
        <f t="shared" si="75"/>
        <v>129</v>
      </c>
      <c r="K141" s="37">
        <f t="shared" ref="K141:R141" si="76">SUM(K139+K134+K129+K124+K119+K114+K109+K104+K99+K94+K89+K84)</f>
        <v>0</v>
      </c>
      <c r="L141" s="38">
        <f t="shared" si="76"/>
        <v>0</v>
      </c>
      <c r="M141" s="38">
        <f t="shared" si="76"/>
        <v>0</v>
      </c>
      <c r="N141" s="38">
        <f t="shared" si="76"/>
        <v>0</v>
      </c>
      <c r="O141" s="38">
        <f t="shared" si="76"/>
        <v>0</v>
      </c>
      <c r="P141" s="38">
        <f t="shared" si="76"/>
        <v>0</v>
      </c>
      <c r="Q141" s="39">
        <f t="shared" si="76"/>
        <v>0</v>
      </c>
      <c r="R141" s="40">
        <f t="shared" si="76"/>
        <v>0</v>
      </c>
      <c r="T141" s="37">
        <f t="shared" ref="T141:AA141" si="77">SUM(T139+T134+T129+T124+T119+T114+T109+T104+T99+T94+T89+T84)</f>
        <v>82</v>
      </c>
      <c r="U141" s="38">
        <f t="shared" si="77"/>
        <v>21</v>
      </c>
      <c r="V141" s="38">
        <f t="shared" si="77"/>
        <v>1</v>
      </c>
      <c r="W141" s="38">
        <f t="shared" si="77"/>
        <v>0</v>
      </c>
      <c r="X141" s="38">
        <f t="shared" si="77"/>
        <v>0</v>
      </c>
      <c r="Y141" s="38">
        <f t="shared" si="77"/>
        <v>1</v>
      </c>
      <c r="Z141" s="39">
        <f t="shared" si="77"/>
        <v>7</v>
      </c>
      <c r="AA141" s="40">
        <f t="shared" si="77"/>
        <v>112</v>
      </c>
      <c r="AC141" s="40">
        <f>SUM(AC139+AC134+AC129+AC124+AC119+AC114+AC109+AC104+AC99+AC94+AC89+AC84)</f>
        <v>241</v>
      </c>
    </row>
    <row r="142" spans="1:29" s="88" customFormat="1" ht="15.75" customHeight="1">
      <c r="A142" s="88" t="s">
        <v>51</v>
      </c>
      <c r="I142" s="88">
        <f>SUM(B80:H83,B85:H88,B90:H93,B95:H98,B100:H103,B105:H108,B110:H113,B115:H118,B120:H123,B125:H128,B130:H133,B135:H138)</f>
        <v>129</v>
      </c>
      <c r="R142" s="88">
        <f>SUM(K80:Q83,K85:Q88,K90:Q93,K95:Q98,K100:Q103,K105:Q108,K110:Q113,K115:Q118,K120:Q123,K125:Q128,K130:Q133,K135:Q138)</f>
        <v>0</v>
      </c>
      <c r="AA142" s="88">
        <f>SUM(T80:Z83,T85:Z88,T90:Z93,T95:Z98,T100:Z103,T105:Z108,T110:Z113,T115:Z118,T120:Z123,T125:Z128,T130:Z133,T135:Z138)</f>
        <v>112</v>
      </c>
      <c r="AC142" s="88">
        <f>SUM(B142:AA142)</f>
        <v>241</v>
      </c>
    </row>
    <row r="144" spans="1:29" ht="15.75" customHeight="1">
      <c r="A144" s="36" t="s">
        <v>13</v>
      </c>
      <c r="B144" s="36" t="str">
        <f>$V$9</f>
        <v>C - Fishponds Road (W)</v>
      </c>
    </row>
    <row r="145" spans="1:29" ht="15.75" customHeight="1">
      <c r="B145" s="37" t="s">
        <v>14</v>
      </c>
      <c r="C145" s="38"/>
      <c r="D145" s="38" t="str">
        <f>$D$9</f>
        <v>A - Fishponds Road (E)</v>
      </c>
      <c r="E145" s="38"/>
      <c r="F145" s="38"/>
      <c r="G145" s="38"/>
      <c r="H145" s="39"/>
      <c r="I145" s="40"/>
      <c r="K145" s="37" t="s">
        <v>14</v>
      </c>
      <c r="L145" s="38"/>
      <c r="M145" s="38" t="str">
        <f>$M$9</f>
        <v xml:space="preserve">B - Drummond Road </v>
      </c>
      <c r="N145" s="38"/>
      <c r="O145" s="38"/>
      <c r="P145" s="38"/>
      <c r="Q145" s="39"/>
      <c r="R145" s="40"/>
      <c r="T145" s="37" t="s">
        <v>14</v>
      </c>
      <c r="U145" s="38"/>
      <c r="V145" s="38" t="str">
        <f>$V$9</f>
        <v>C - Fishponds Road (W)</v>
      </c>
      <c r="W145" s="38"/>
      <c r="X145" s="38"/>
      <c r="Y145" s="38"/>
      <c r="Z145" s="39"/>
      <c r="AA145" s="40"/>
      <c r="AC145" s="105" t="s">
        <v>23</v>
      </c>
    </row>
    <row r="146" spans="1:29" s="41" customFormat="1" ht="15.75" customHeight="1">
      <c r="B146" s="42" t="str">
        <f>$B$10</f>
        <v>CAR</v>
      </c>
      <c r="C146" s="43" t="str">
        <f>$C$10</f>
        <v>LGV</v>
      </c>
      <c r="D146" s="43" t="str">
        <f>$D$10</f>
        <v>OGV1</v>
      </c>
      <c r="E146" s="43" t="str">
        <f>$E$10</f>
        <v>OGV2</v>
      </c>
      <c r="F146" s="43" t="str">
        <f>$F$10</f>
        <v>PSV</v>
      </c>
      <c r="G146" s="43" t="str">
        <f>$G$10</f>
        <v>MC</v>
      </c>
      <c r="H146" s="44" t="str">
        <f>$H$10</f>
        <v>PC</v>
      </c>
      <c r="I146" s="89" t="s">
        <v>22</v>
      </c>
      <c r="K146" s="42" t="str">
        <f>$B$10</f>
        <v>CAR</v>
      </c>
      <c r="L146" s="43" t="str">
        <f>$C$10</f>
        <v>LGV</v>
      </c>
      <c r="M146" s="43" t="str">
        <f>$D$10</f>
        <v>OGV1</v>
      </c>
      <c r="N146" s="43" t="str">
        <f>$E$10</f>
        <v>OGV2</v>
      </c>
      <c r="O146" s="43" t="str">
        <f>$F$10</f>
        <v>PSV</v>
      </c>
      <c r="P146" s="43" t="str">
        <f>$G$10</f>
        <v>MC</v>
      </c>
      <c r="Q146" s="44" t="str">
        <f>$H$10</f>
        <v>PC</v>
      </c>
      <c r="R146" s="89" t="s">
        <v>22</v>
      </c>
      <c r="T146" s="42" t="str">
        <f>$B$10</f>
        <v>CAR</v>
      </c>
      <c r="U146" s="43" t="str">
        <f>$C$10</f>
        <v>LGV</v>
      </c>
      <c r="V146" s="43" t="str">
        <f>$D$10</f>
        <v>OGV1</v>
      </c>
      <c r="W146" s="43" t="str">
        <f>$E$10</f>
        <v>OGV2</v>
      </c>
      <c r="X146" s="43" t="str">
        <f>$F$10</f>
        <v>PSV</v>
      </c>
      <c r="Y146" s="43" t="str">
        <f>$G$10</f>
        <v>MC</v>
      </c>
      <c r="Z146" s="44" t="str">
        <f>$H$10</f>
        <v>PC</v>
      </c>
      <c r="AA146" s="89" t="s">
        <v>22</v>
      </c>
      <c r="AC146" s="106"/>
    </row>
    <row r="148" spans="1:29" ht="15.75" customHeight="1">
      <c r="A148" s="90">
        <v>0.29166666666666669</v>
      </c>
      <c r="B148" s="27">
        <v>92</v>
      </c>
      <c r="C148" s="28">
        <v>17</v>
      </c>
      <c r="D148" s="28">
        <v>1</v>
      </c>
      <c r="E148" s="28">
        <v>5</v>
      </c>
      <c r="F148" s="28">
        <v>4</v>
      </c>
      <c r="G148" s="28">
        <v>2</v>
      </c>
      <c r="H148" s="29">
        <v>1</v>
      </c>
      <c r="I148" s="91">
        <f>SUM(B148:H148)</f>
        <v>122</v>
      </c>
      <c r="K148" s="27">
        <v>0</v>
      </c>
      <c r="L148" s="28">
        <v>0</v>
      </c>
      <c r="M148" s="28">
        <v>0</v>
      </c>
      <c r="N148" s="28">
        <v>0</v>
      </c>
      <c r="O148" s="28">
        <v>0</v>
      </c>
      <c r="P148" s="28">
        <v>0</v>
      </c>
      <c r="Q148" s="29">
        <v>1</v>
      </c>
      <c r="R148" s="91">
        <f>SUM(K148:Q148)</f>
        <v>1</v>
      </c>
      <c r="T148" s="27">
        <v>0</v>
      </c>
      <c r="U148" s="28">
        <v>0</v>
      </c>
      <c r="V148" s="28">
        <v>0</v>
      </c>
      <c r="W148" s="28">
        <v>0</v>
      </c>
      <c r="X148" s="28">
        <v>0</v>
      </c>
      <c r="Y148" s="28">
        <v>0</v>
      </c>
      <c r="Z148" s="29">
        <v>0</v>
      </c>
      <c r="AA148" s="91">
        <f>SUM(T148:Z148)</f>
        <v>0</v>
      </c>
      <c r="AC148" s="91">
        <f>SUM(I148+R148+AA148)</f>
        <v>123</v>
      </c>
    </row>
    <row r="149" spans="1:29" ht="15.75" customHeight="1">
      <c r="A149" s="92">
        <v>0.30208333333333331</v>
      </c>
      <c r="B149" s="30">
        <v>107</v>
      </c>
      <c r="C149" s="31">
        <v>14</v>
      </c>
      <c r="D149" s="31">
        <v>2</v>
      </c>
      <c r="E149" s="31">
        <v>2</v>
      </c>
      <c r="F149" s="31">
        <v>4</v>
      </c>
      <c r="G149" s="31">
        <v>5</v>
      </c>
      <c r="H149" s="32">
        <v>3</v>
      </c>
      <c r="I149" s="93">
        <f>SUM(B149:H149)</f>
        <v>137</v>
      </c>
      <c r="K149" s="30">
        <v>0</v>
      </c>
      <c r="L149" s="31">
        <v>0</v>
      </c>
      <c r="M149" s="31">
        <v>0</v>
      </c>
      <c r="N149" s="31">
        <v>0</v>
      </c>
      <c r="O149" s="31">
        <v>0</v>
      </c>
      <c r="P149" s="31">
        <v>0</v>
      </c>
      <c r="Q149" s="32">
        <v>0</v>
      </c>
      <c r="R149" s="93">
        <f>SUM(K149:Q149)</f>
        <v>0</v>
      </c>
      <c r="T149" s="30">
        <v>0</v>
      </c>
      <c r="U149" s="31">
        <v>0</v>
      </c>
      <c r="V149" s="31">
        <v>0</v>
      </c>
      <c r="W149" s="31">
        <v>0</v>
      </c>
      <c r="X149" s="31">
        <v>0</v>
      </c>
      <c r="Y149" s="31">
        <v>0</v>
      </c>
      <c r="Z149" s="32">
        <v>0</v>
      </c>
      <c r="AA149" s="93">
        <f>SUM(T149:Z149)</f>
        <v>0</v>
      </c>
      <c r="AC149" s="93">
        <f>SUM(I149+R149+AA149)</f>
        <v>137</v>
      </c>
    </row>
    <row r="150" spans="1:29" ht="15.75" customHeight="1">
      <c r="A150" s="92">
        <v>0.3125</v>
      </c>
      <c r="B150" s="30">
        <v>127</v>
      </c>
      <c r="C150" s="31">
        <v>13</v>
      </c>
      <c r="D150" s="31">
        <v>3</v>
      </c>
      <c r="E150" s="31">
        <v>0</v>
      </c>
      <c r="F150" s="31">
        <v>2</v>
      </c>
      <c r="G150" s="31">
        <v>1</v>
      </c>
      <c r="H150" s="32">
        <v>0</v>
      </c>
      <c r="I150" s="93">
        <f>SUM(B150:H150)</f>
        <v>146</v>
      </c>
      <c r="K150" s="30">
        <v>1</v>
      </c>
      <c r="L150" s="31">
        <v>0</v>
      </c>
      <c r="M150" s="31">
        <v>0</v>
      </c>
      <c r="N150" s="31">
        <v>0</v>
      </c>
      <c r="O150" s="31">
        <v>0</v>
      </c>
      <c r="P150" s="31">
        <v>0</v>
      </c>
      <c r="Q150" s="32">
        <v>1</v>
      </c>
      <c r="R150" s="93">
        <f>SUM(K150:Q150)</f>
        <v>2</v>
      </c>
      <c r="T150" s="30">
        <v>0</v>
      </c>
      <c r="U150" s="31">
        <v>0</v>
      </c>
      <c r="V150" s="31">
        <v>0</v>
      </c>
      <c r="W150" s="31">
        <v>0</v>
      </c>
      <c r="X150" s="31">
        <v>0</v>
      </c>
      <c r="Y150" s="31">
        <v>0</v>
      </c>
      <c r="Z150" s="32">
        <v>0</v>
      </c>
      <c r="AA150" s="93">
        <f>SUM(T150:Z150)</f>
        <v>0</v>
      </c>
      <c r="AC150" s="93">
        <f>SUM(I150+R150+AA150)</f>
        <v>148</v>
      </c>
    </row>
    <row r="151" spans="1:29" ht="15.75" customHeight="1">
      <c r="A151" s="94">
        <v>0.32291666666666669</v>
      </c>
      <c r="B151" s="33">
        <v>146</v>
      </c>
      <c r="C151" s="34">
        <v>19</v>
      </c>
      <c r="D151" s="34">
        <v>2</v>
      </c>
      <c r="E151" s="34">
        <v>3</v>
      </c>
      <c r="F151" s="34">
        <v>4</v>
      </c>
      <c r="G151" s="34">
        <v>5</v>
      </c>
      <c r="H151" s="35">
        <v>4</v>
      </c>
      <c r="I151" s="95">
        <f>SUM(B151:H151)</f>
        <v>183</v>
      </c>
      <c r="K151" s="33">
        <v>2</v>
      </c>
      <c r="L151" s="34">
        <v>0</v>
      </c>
      <c r="M151" s="34">
        <v>0</v>
      </c>
      <c r="N151" s="34">
        <v>0</v>
      </c>
      <c r="O151" s="34">
        <v>0</v>
      </c>
      <c r="P151" s="34">
        <v>0</v>
      </c>
      <c r="Q151" s="35">
        <v>0</v>
      </c>
      <c r="R151" s="95">
        <f>SUM(K151:Q151)</f>
        <v>2</v>
      </c>
      <c r="T151" s="33">
        <v>0</v>
      </c>
      <c r="U151" s="34">
        <v>0</v>
      </c>
      <c r="V151" s="34">
        <v>0</v>
      </c>
      <c r="W151" s="34">
        <v>0</v>
      </c>
      <c r="X151" s="34">
        <v>0</v>
      </c>
      <c r="Y151" s="34">
        <v>0</v>
      </c>
      <c r="Z151" s="35">
        <v>0</v>
      </c>
      <c r="AA151" s="95">
        <f>SUM(T151:Z151)</f>
        <v>0</v>
      </c>
      <c r="AC151" s="95">
        <f>SUM(I151+R151+AA151)</f>
        <v>185</v>
      </c>
    </row>
    <row r="152" spans="1:29" ht="15.75" customHeight="1">
      <c r="A152" s="40" t="s">
        <v>24</v>
      </c>
      <c r="B152" s="37">
        <f t="shared" ref="B152:I152" si="78">SUM(B148:B151)</f>
        <v>472</v>
      </c>
      <c r="C152" s="38">
        <f t="shared" si="78"/>
        <v>63</v>
      </c>
      <c r="D152" s="38">
        <f t="shared" si="78"/>
        <v>8</v>
      </c>
      <c r="E152" s="38">
        <f t="shared" si="78"/>
        <v>10</v>
      </c>
      <c r="F152" s="38">
        <f t="shared" si="78"/>
        <v>14</v>
      </c>
      <c r="G152" s="38">
        <f t="shared" si="78"/>
        <v>13</v>
      </c>
      <c r="H152" s="39">
        <f t="shared" si="78"/>
        <v>8</v>
      </c>
      <c r="I152" s="40">
        <f t="shared" si="78"/>
        <v>588</v>
      </c>
      <c r="K152" s="37">
        <f t="shared" ref="K152:R152" si="79">SUM(K148:K151)</f>
        <v>3</v>
      </c>
      <c r="L152" s="38">
        <f t="shared" si="79"/>
        <v>0</v>
      </c>
      <c r="M152" s="38">
        <f t="shared" si="79"/>
        <v>0</v>
      </c>
      <c r="N152" s="38">
        <f t="shared" si="79"/>
        <v>0</v>
      </c>
      <c r="O152" s="38">
        <f t="shared" si="79"/>
        <v>0</v>
      </c>
      <c r="P152" s="38">
        <f t="shared" si="79"/>
        <v>0</v>
      </c>
      <c r="Q152" s="39">
        <f t="shared" si="79"/>
        <v>2</v>
      </c>
      <c r="R152" s="40">
        <f t="shared" si="79"/>
        <v>5</v>
      </c>
      <c r="T152" s="37">
        <f t="shared" ref="T152:AA152" si="80">SUM(T148:T151)</f>
        <v>0</v>
      </c>
      <c r="U152" s="38">
        <f t="shared" si="80"/>
        <v>0</v>
      </c>
      <c r="V152" s="38">
        <f t="shared" si="80"/>
        <v>0</v>
      </c>
      <c r="W152" s="38">
        <f t="shared" si="80"/>
        <v>0</v>
      </c>
      <c r="X152" s="38">
        <f t="shared" si="80"/>
        <v>0</v>
      </c>
      <c r="Y152" s="38">
        <f t="shared" si="80"/>
        <v>0</v>
      </c>
      <c r="Z152" s="39">
        <f t="shared" si="80"/>
        <v>0</v>
      </c>
      <c r="AA152" s="40">
        <f t="shared" si="80"/>
        <v>0</v>
      </c>
      <c r="AC152" s="40">
        <f>SUM(AC148:AC151)</f>
        <v>593</v>
      </c>
    </row>
    <row r="153" spans="1:29" ht="15.75" customHeight="1">
      <c r="A153" s="90">
        <v>0.33333333333333331</v>
      </c>
      <c r="B153" s="27">
        <v>164</v>
      </c>
      <c r="C153" s="28">
        <v>29</v>
      </c>
      <c r="D153" s="28">
        <v>1</v>
      </c>
      <c r="E153" s="28">
        <v>2</v>
      </c>
      <c r="F153" s="28">
        <v>5</v>
      </c>
      <c r="G153" s="28">
        <v>2</v>
      </c>
      <c r="H153" s="29">
        <v>3</v>
      </c>
      <c r="I153" s="91">
        <f>SUM(B153:H153)</f>
        <v>206</v>
      </c>
      <c r="K153" s="27">
        <v>1</v>
      </c>
      <c r="L153" s="28">
        <v>0</v>
      </c>
      <c r="M153" s="28">
        <v>0</v>
      </c>
      <c r="N153" s="28">
        <v>0</v>
      </c>
      <c r="O153" s="28">
        <v>0</v>
      </c>
      <c r="P153" s="28">
        <v>0</v>
      </c>
      <c r="Q153" s="29">
        <v>0</v>
      </c>
      <c r="R153" s="91">
        <f>SUM(K153:Q153)</f>
        <v>1</v>
      </c>
      <c r="T153" s="27">
        <v>0</v>
      </c>
      <c r="U153" s="28">
        <v>0</v>
      </c>
      <c r="V153" s="28">
        <v>0</v>
      </c>
      <c r="W153" s="28">
        <v>0</v>
      </c>
      <c r="X153" s="28">
        <v>0</v>
      </c>
      <c r="Y153" s="28">
        <v>0</v>
      </c>
      <c r="Z153" s="29">
        <v>0</v>
      </c>
      <c r="AA153" s="91">
        <f>SUM(T153:Z153)</f>
        <v>0</v>
      </c>
      <c r="AC153" s="91">
        <f>SUM(I153+R153+AA153)</f>
        <v>207</v>
      </c>
    </row>
    <row r="154" spans="1:29" ht="15.75" customHeight="1">
      <c r="A154" s="92">
        <v>0.34375</v>
      </c>
      <c r="B154" s="30">
        <v>160</v>
      </c>
      <c r="C154" s="31">
        <v>19</v>
      </c>
      <c r="D154" s="31">
        <v>4</v>
      </c>
      <c r="E154" s="31">
        <v>4</v>
      </c>
      <c r="F154" s="31">
        <v>3</v>
      </c>
      <c r="G154" s="31">
        <v>3</v>
      </c>
      <c r="H154" s="32">
        <v>7</v>
      </c>
      <c r="I154" s="93">
        <f>SUM(B154:H154)</f>
        <v>200</v>
      </c>
      <c r="K154" s="30">
        <v>1</v>
      </c>
      <c r="L154" s="31">
        <v>0</v>
      </c>
      <c r="M154" s="31">
        <v>0</v>
      </c>
      <c r="N154" s="31">
        <v>0</v>
      </c>
      <c r="O154" s="31">
        <v>0</v>
      </c>
      <c r="P154" s="31">
        <v>0</v>
      </c>
      <c r="Q154" s="32">
        <v>0</v>
      </c>
      <c r="R154" s="93">
        <f>SUM(K154:Q154)</f>
        <v>1</v>
      </c>
      <c r="T154" s="30">
        <v>0</v>
      </c>
      <c r="U154" s="31">
        <v>0</v>
      </c>
      <c r="V154" s="31">
        <v>0</v>
      </c>
      <c r="W154" s="31">
        <v>0</v>
      </c>
      <c r="X154" s="31">
        <v>0</v>
      </c>
      <c r="Y154" s="31">
        <v>0</v>
      </c>
      <c r="Z154" s="32">
        <v>0</v>
      </c>
      <c r="AA154" s="93">
        <f>SUM(T154:Z154)</f>
        <v>0</v>
      </c>
      <c r="AC154" s="93">
        <f>SUM(I154+R154+AA154)</f>
        <v>201</v>
      </c>
    </row>
    <row r="155" spans="1:29" ht="15.75" customHeight="1">
      <c r="A155" s="92">
        <v>0.35416666666666669</v>
      </c>
      <c r="B155" s="30">
        <v>142</v>
      </c>
      <c r="C155" s="31">
        <v>15</v>
      </c>
      <c r="D155" s="31">
        <v>2</v>
      </c>
      <c r="E155" s="31">
        <v>0</v>
      </c>
      <c r="F155" s="31">
        <v>5</v>
      </c>
      <c r="G155" s="31">
        <v>0</v>
      </c>
      <c r="H155" s="32">
        <v>2</v>
      </c>
      <c r="I155" s="93">
        <f>SUM(B155:H155)</f>
        <v>166</v>
      </c>
      <c r="K155" s="30">
        <v>0</v>
      </c>
      <c r="L155" s="31">
        <v>0</v>
      </c>
      <c r="M155" s="31">
        <v>0</v>
      </c>
      <c r="N155" s="31">
        <v>0</v>
      </c>
      <c r="O155" s="31">
        <v>0</v>
      </c>
      <c r="P155" s="31">
        <v>0</v>
      </c>
      <c r="Q155" s="32">
        <v>0</v>
      </c>
      <c r="R155" s="93">
        <f>SUM(K155:Q155)</f>
        <v>0</v>
      </c>
      <c r="T155" s="30">
        <v>0</v>
      </c>
      <c r="U155" s="31">
        <v>0</v>
      </c>
      <c r="V155" s="31">
        <v>0</v>
      </c>
      <c r="W155" s="31">
        <v>0</v>
      </c>
      <c r="X155" s="31">
        <v>0</v>
      </c>
      <c r="Y155" s="31">
        <v>0</v>
      </c>
      <c r="Z155" s="32">
        <v>0</v>
      </c>
      <c r="AA155" s="93">
        <f>SUM(T155:Z155)</f>
        <v>0</v>
      </c>
      <c r="AC155" s="93">
        <f>SUM(I155+R155+AA155)</f>
        <v>166</v>
      </c>
    </row>
    <row r="156" spans="1:29" ht="15.75" customHeight="1">
      <c r="A156" s="94">
        <v>0.36458333333333331</v>
      </c>
      <c r="B156" s="33">
        <v>138</v>
      </c>
      <c r="C156" s="34">
        <v>27</v>
      </c>
      <c r="D156" s="34">
        <v>1</v>
      </c>
      <c r="E156" s="34">
        <v>2</v>
      </c>
      <c r="F156" s="34">
        <v>7</v>
      </c>
      <c r="G156" s="34">
        <v>2</v>
      </c>
      <c r="H156" s="35">
        <v>10</v>
      </c>
      <c r="I156" s="95">
        <f>SUM(B156:H156)</f>
        <v>187</v>
      </c>
      <c r="K156" s="33">
        <v>1</v>
      </c>
      <c r="L156" s="34">
        <v>0</v>
      </c>
      <c r="M156" s="34">
        <v>0</v>
      </c>
      <c r="N156" s="34">
        <v>0</v>
      </c>
      <c r="O156" s="34">
        <v>0</v>
      </c>
      <c r="P156" s="34">
        <v>0</v>
      </c>
      <c r="Q156" s="35">
        <v>1</v>
      </c>
      <c r="R156" s="95">
        <f>SUM(K156:Q156)</f>
        <v>2</v>
      </c>
      <c r="T156" s="33">
        <v>0</v>
      </c>
      <c r="U156" s="34">
        <v>0</v>
      </c>
      <c r="V156" s="34">
        <v>0</v>
      </c>
      <c r="W156" s="34">
        <v>0</v>
      </c>
      <c r="X156" s="34">
        <v>0</v>
      </c>
      <c r="Y156" s="34">
        <v>0</v>
      </c>
      <c r="Z156" s="35">
        <v>0</v>
      </c>
      <c r="AA156" s="95">
        <f>SUM(T156:Z156)</f>
        <v>0</v>
      </c>
      <c r="AC156" s="95">
        <f>SUM(I156+R156+AA156)</f>
        <v>189</v>
      </c>
    </row>
    <row r="157" spans="1:29" ht="15.75" customHeight="1">
      <c r="A157" s="40" t="s">
        <v>24</v>
      </c>
      <c r="B157" s="37">
        <f t="shared" ref="B157:I157" si="81">SUM(B153:B156)</f>
        <v>604</v>
      </c>
      <c r="C157" s="38">
        <f t="shared" si="81"/>
        <v>90</v>
      </c>
      <c r="D157" s="38">
        <f t="shared" si="81"/>
        <v>8</v>
      </c>
      <c r="E157" s="38">
        <f t="shared" si="81"/>
        <v>8</v>
      </c>
      <c r="F157" s="38">
        <f t="shared" si="81"/>
        <v>20</v>
      </c>
      <c r="G157" s="38">
        <f t="shared" si="81"/>
        <v>7</v>
      </c>
      <c r="H157" s="39">
        <f t="shared" si="81"/>
        <v>22</v>
      </c>
      <c r="I157" s="40">
        <f t="shared" si="81"/>
        <v>759</v>
      </c>
      <c r="K157" s="37">
        <f t="shared" ref="K157:R157" si="82">SUM(K153:K156)</f>
        <v>3</v>
      </c>
      <c r="L157" s="38">
        <f t="shared" si="82"/>
        <v>0</v>
      </c>
      <c r="M157" s="38">
        <f t="shared" si="82"/>
        <v>0</v>
      </c>
      <c r="N157" s="38">
        <f t="shared" si="82"/>
        <v>0</v>
      </c>
      <c r="O157" s="38">
        <f t="shared" si="82"/>
        <v>0</v>
      </c>
      <c r="P157" s="38">
        <f t="shared" si="82"/>
        <v>0</v>
      </c>
      <c r="Q157" s="39">
        <f t="shared" si="82"/>
        <v>1</v>
      </c>
      <c r="R157" s="40">
        <f t="shared" si="82"/>
        <v>4</v>
      </c>
      <c r="T157" s="37">
        <f t="shared" ref="T157:AA157" si="83">SUM(T153:T156)</f>
        <v>0</v>
      </c>
      <c r="U157" s="38">
        <f t="shared" si="83"/>
        <v>0</v>
      </c>
      <c r="V157" s="38">
        <f t="shared" si="83"/>
        <v>0</v>
      </c>
      <c r="W157" s="38">
        <f t="shared" si="83"/>
        <v>0</v>
      </c>
      <c r="X157" s="38">
        <f t="shared" si="83"/>
        <v>0</v>
      </c>
      <c r="Y157" s="38">
        <f t="shared" si="83"/>
        <v>0</v>
      </c>
      <c r="Z157" s="39">
        <f t="shared" si="83"/>
        <v>0</v>
      </c>
      <c r="AA157" s="40">
        <f t="shared" si="83"/>
        <v>0</v>
      </c>
      <c r="AC157" s="40">
        <f>SUM(AC153:AC156)</f>
        <v>763</v>
      </c>
    </row>
    <row r="158" spans="1:29" ht="15.75" customHeight="1">
      <c r="A158" s="90">
        <v>0.375</v>
      </c>
      <c r="B158" s="27">
        <v>139</v>
      </c>
      <c r="C158" s="28">
        <v>26</v>
      </c>
      <c r="D158" s="28">
        <v>3</v>
      </c>
      <c r="E158" s="28">
        <v>3</v>
      </c>
      <c r="F158" s="28">
        <v>6</v>
      </c>
      <c r="G158" s="28">
        <v>0</v>
      </c>
      <c r="H158" s="29">
        <v>4</v>
      </c>
      <c r="I158" s="91">
        <f>SUM(B158:H158)</f>
        <v>181</v>
      </c>
      <c r="K158" s="27">
        <v>0</v>
      </c>
      <c r="L158" s="28">
        <v>0</v>
      </c>
      <c r="M158" s="28">
        <v>0</v>
      </c>
      <c r="N158" s="28">
        <v>0</v>
      </c>
      <c r="O158" s="28">
        <v>0</v>
      </c>
      <c r="P158" s="28">
        <v>0</v>
      </c>
      <c r="Q158" s="29">
        <v>0</v>
      </c>
      <c r="R158" s="91">
        <f>SUM(K158:Q158)</f>
        <v>0</v>
      </c>
      <c r="T158" s="27">
        <v>0</v>
      </c>
      <c r="U158" s="28">
        <v>0</v>
      </c>
      <c r="V158" s="28">
        <v>0</v>
      </c>
      <c r="W158" s="28">
        <v>0</v>
      </c>
      <c r="X158" s="28">
        <v>0</v>
      </c>
      <c r="Y158" s="28">
        <v>0</v>
      </c>
      <c r="Z158" s="29">
        <v>0</v>
      </c>
      <c r="AA158" s="91">
        <f>SUM(T158:Z158)</f>
        <v>0</v>
      </c>
      <c r="AC158" s="91">
        <f>SUM(I158+R158+AA158)</f>
        <v>181</v>
      </c>
    </row>
    <row r="159" spans="1:29" ht="15.75" customHeight="1">
      <c r="A159" s="92">
        <v>0.38541666666666669</v>
      </c>
      <c r="B159" s="30">
        <v>124</v>
      </c>
      <c r="C159" s="31">
        <v>20</v>
      </c>
      <c r="D159" s="31">
        <v>2</v>
      </c>
      <c r="E159" s="31">
        <v>4</v>
      </c>
      <c r="F159" s="31">
        <v>4</v>
      </c>
      <c r="G159" s="31">
        <v>1</v>
      </c>
      <c r="H159" s="32">
        <v>1</v>
      </c>
      <c r="I159" s="93">
        <f>SUM(B159:H159)</f>
        <v>156</v>
      </c>
      <c r="K159" s="30">
        <v>1</v>
      </c>
      <c r="L159" s="31">
        <v>0</v>
      </c>
      <c r="M159" s="31">
        <v>0</v>
      </c>
      <c r="N159" s="31">
        <v>0</v>
      </c>
      <c r="O159" s="31">
        <v>0</v>
      </c>
      <c r="P159" s="31">
        <v>0</v>
      </c>
      <c r="Q159" s="32">
        <v>0</v>
      </c>
      <c r="R159" s="93">
        <f>SUM(K159:Q159)</f>
        <v>1</v>
      </c>
      <c r="T159" s="30">
        <v>0</v>
      </c>
      <c r="U159" s="31">
        <v>0</v>
      </c>
      <c r="V159" s="31">
        <v>0</v>
      </c>
      <c r="W159" s="31">
        <v>0</v>
      </c>
      <c r="X159" s="31">
        <v>0</v>
      </c>
      <c r="Y159" s="31">
        <v>0</v>
      </c>
      <c r="Z159" s="32">
        <v>0</v>
      </c>
      <c r="AA159" s="93">
        <f>SUM(T159:Z159)</f>
        <v>0</v>
      </c>
      <c r="AC159" s="93">
        <f>SUM(I159+R159+AA159)</f>
        <v>157</v>
      </c>
    </row>
    <row r="160" spans="1:29" ht="15.75" customHeight="1">
      <c r="A160" s="92">
        <v>0.39583333333333331</v>
      </c>
      <c r="B160" s="30">
        <v>113</v>
      </c>
      <c r="C160" s="31">
        <v>19</v>
      </c>
      <c r="D160" s="31">
        <v>5</v>
      </c>
      <c r="E160" s="31">
        <v>2</v>
      </c>
      <c r="F160" s="31">
        <v>8</v>
      </c>
      <c r="G160" s="31">
        <v>2</v>
      </c>
      <c r="H160" s="32">
        <v>5</v>
      </c>
      <c r="I160" s="93">
        <f>SUM(B160:H160)</f>
        <v>154</v>
      </c>
      <c r="K160" s="30">
        <v>0</v>
      </c>
      <c r="L160" s="31">
        <v>0</v>
      </c>
      <c r="M160" s="31">
        <v>0</v>
      </c>
      <c r="N160" s="31">
        <v>0</v>
      </c>
      <c r="O160" s="31">
        <v>0</v>
      </c>
      <c r="P160" s="31">
        <v>0</v>
      </c>
      <c r="Q160" s="32">
        <v>0</v>
      </c>
      <c r="R160" s="93">
        <f>SUM(K160:Q160)</f>
        <v>0</v>
      </c>
      <c r="T160" s="30">
        <v>0</v>
      </c>
      <c r="U160" s="31">
        <v>0</v>
      </c>
      <c r="V160" s="31">
        <v>0</v>
      </c>
      <c r="W160" s="31">
        <v>0</v>
      </c>
      <c r="X160" s="31">
        <v>0</v>
      </c>
      <c r="Y160" s="31">
        <v>0</v>
      </c>
      <c r="Z160" s="32">
        <v>0</v>
      </c>
      <c r="AA160" s="93">
        <f>SUM(T160:Z160)</f>
        <v>0</v>
      </c>
      <c r="AC160" s="93">
        <f>SUM(I160+R160+AA160)</f>
        <v>154</v>
      </c>
    </row>
    <row r="161" spans="1:29" ht="15.75" customHeight="1">
      <c r="A161" s="94">
        <v>0.40625</v>
      </c>
      <c r="B161" s="33">
        <v>115</v>
      </c>
      <c r="C161" s="34">
        <v>18</v>
      </c>
      <c r="D161" s="34">
        <v>4</v>
      </c>
      <c r="E161" s="34">
        <v>1</v>
      </c>
      <c r="F161" s="34">
        <v>6</v>
      </c>
      <c r="G161" s="34">
        <v>0</v>
      </c>
      <c r="H161" s="35">
        <v>1</v>
      </c>
      <c r="I161" s="95">
        <f>SUM(B161:H161)</f>
        <v>145</v>
      </c>
      <c r="K161" s="33">
        <v>0</v>
      </c>
      <c r="L161" s="34">
        <v>0</v>
      </c>
      <c r="M161" s="34">
        <v>0</v>
      </c>
      <c r="N161" s="34">
        <v>0</v>
      </c>
      <c r="O161" s="34">
        <v>0</v>
      </c>
      <c r="P161" s="34">
        <v>0</v>
      </c>
      <c r="Q161" s="35">
        <v>0</v>
      </c>
      <c r="R161" s="95">
        <f>SUM(K161:Q161)</f>
        <v>0</v>
      </c>
      <c r="T161" s="33">
        <v>0</v>
      </c>
      <c r="U161" s="34">
        <v>0</v>
      </c>
      <c r="V161" s="34">
        <v>0</v>
      </c>
      <c r="W161" s="34">
        <v>0</v>
      </c>
      <c r="X161" s="34">
        <v>0</v>
      </c>
      <c r="Y161" s="34">
        <v>0</v>
      </c>
      <c r="Z161" s="35">
        <v>0</v>
      </c>
      <c r="AA161" s="95">
        <f>SUM(T161:Z161)</f>
        <v>0</v>
      </c>
      <c r="AC161" s="95">
        <f>SUM(I161+R161+AA161)</f>
        <v>145</v>
      </c>
    </row>
    <row r="162" spans="1:29" ht="15.75" customHeight="1">
      <c r="A162" s="40" t="s">
        <v>24</v>
      </c>
      <c r="B162" s="37">
        <f t="shared" ref="B162:I162" si="84">SUM(B158:B161)</f>
        <v>491</v>
      </c>
      <c r="C162" s="38">
        <f t="shared" si="84"/>
        <v>83</v>
      </c>
      <c r="D162" s="38">
        <f t="shared" si="84"/>
        <v>14</v>
      </c>
      <c r="E162" s="38">
        <f t="shared" si="84"/>
        <v>10</v>
      </c>
      <c r="F162" s="38">
        <f t="shared" si="84"/>
        <v>24</v>
      </c>
      <c r="G162" s="38">
        <f t="shared" si="84"/>
        <v>3</v>
      </c>
      <c r="H162" s="39">
        <f t="shared" si="84"/>
        <v>11</v>
      </c>
      <c r="I162" s="40">
        <f t="shared" si="84"/>
        <v>636</v>
      </c>
      <c r="K162" s="37">
        <f t="shared" ref="K162:R162" si="85">SUM(K158:K161)</f>
        <v>1</v>
      </c>
      <c r="L162" s="38">
        <f t="shared" si="85"/>
        <v>0</v>
      </c>
      <c r="M162" s="38">
        <f t="shared" si="85"/>
        <v>0</v>
      </c>
      <c r="N162" s="38">
        <f t="shared" si="85"/>
        <v>0</v>
      </c>
      <c r="O162" s="38">
        <f t="shared" si="85"/>
        <v>0</v>
      </c>
      <c r="P162" s="38">
        <f t="shared" si="85"/>
        <v>0</v>
      </c>
      <c r="Q162" s="39">
        <f t="shared" si="85"/>
        <v>0</v>
      </c>
      <c r="R162" s="40">
        <f t="shared" si="85"/>
        <v>1</v>
      </c>
      <c r="T162" s="37">
        <f t="shared" ref="T162:AA162" si="86">SUM(T158:T161)</f>
        <v>0</v>
      </c>
      <c r="U162" s="38">
        <f t="shared" si="86"/>
        <v>0</v>
      </c>
      <c r="V162" s="38">
        <f t="shared" si="86"/>
        <v>0</v>
      </c>
      <c r="W162" s="38">
        <f t="shared" si="86"/>
        <v>0</v>
      </c>
      <c r="X162" s="38">
        <f t="shared" si="86"/>
        <v>0</v>
      </c>
      <c r="Y162" s="38">
        <f t="shared" si="86"/>
        <v>0</v>
      </c>
      <c r="Z162" s="39">
        <f t="shared" si="86"/>
        <v>0</v>
      </c>
      <c r="AA162" s="40">
        <f t="shared" si="86"/>
        <v>0</v>
      </c>
      <c r="AC162" s="40">
        <f>SUM(AC158:AC161)</f>
        <v>637</v>
      </c>
    </row>
    <row r="163" spans="1:29" ht="15.75" customHeight="1">
      <c r="A163" s="90">
        <v>0.41666666666666669</v>
      </c>
      <c r="B163" s="27">
        <v>122</v>
      </c>
      <c r="C163" s="28">
        <v>34</v>
      </c>
      <c r="D163" s="28">
        <v>4</v>
      </c>
      <c r="E163" s="28">
        <v>4</v>
      </c>
      <c r="F163" s="28">
        <v>4</v>
      </c>
      <c r="G163" s="28">
        <v>3</v>
      </c>
      <c r="H163" s="29">
        <v>3</v>
      </c>
      <c r="I163" s="91">
        <f>SUM(B163:H163)</f>
        <v>174</v>
      </c>
      <c r="K163" s="27">
        <v>0</v>
      </c>
      <c r="L163" s="28">
        <v>1</v>
      </c>
      <c r="M163" s="28">
        <v>0</v>
      </c>
      <c r="N163" s="28">
        <v>0</v>
      </c>
      <c r="O163" s="28">
        <v>0</v>
      </c>
      <c r="P163" s="28">
        <v>0</v>
      </c>
      <c r="Q163" s="29">
        <v>0</v>
      </c>
      <c r="R163" s="91">
        <f>SUM(K163:Q163)</f>
        <v>1</v>
      </c>
      <c r="T163" s="27">
        <v>0</v>
      </c>
      <c r="U163" s="28">
        <v>0</v>
      </c>
      <c r="V163" s="28">
        <v>0</v>
      </c>
      <c r="W163" s="28">
        <v>0</v>
      </c>
      <c r="X163" s="28">
        <v>0</v>
      </c>
      <c r="Y163" s="28">
        <v>0</v>
      </c>
      <c r="Z163" s="29">
        <v>0</v>
      </c>
      <c r="AA163" s="91">
        <f>SUM(T163:Z163)</f>
        <v>0</v>
      </c>
      <c r="AC163" s="91">
        <f>SUM(I163+R163+AA163)</f>
        <v>175</v>
      </c>
    </row>
    <row r="164" spans="1:29" ht="15.75" customHeight="1">
      <c r="A164" s="92">
        <v>0.42708333333333331</v>
      </c>
      <c r="B164" s="30">
        <v>110</v>
      </c>
      <c r="C164" s="31">
        <v>25</v>
      </c>
      <c r="D164" s="31">
        <v>8</v>
      </c>
      <c r="E164" s="31">
        <v>2</v>
      </c>
      <c r="F164" s="31">
        <v>7</v>
      </c>
      <c r="G164" s="31">
        <v>0</v>
      </c>
      <c r="H164" s="32">
        <v>1</v>
      </c>
      <c r="I164" s="93">
        <f>SUM(B164:H164)</f>
        <v>153</v>
      </c>
      <c r="K164" s="30">
        <v>1</v>
      </c>
      <c r="L164" s="31">
        <v>2</v>
      </c>
      <c r="M164" s="31">
        <v>0</v>
      </c>
      <c r="N164" s="31">
        <v>0</v>
      </c>
      <c r="O164" s="31">
        <v>0</v>
      </c>
      <c r="P164" s="31">
        <v>0</v>
      </c>
      <c r="Q164" s="32">
        <v>0</v>
      </c>
      <c r="R164" s="93">
        <f>SUM(K164:Q164)</f>
        <v>3</v>
      </c>
      <c r="T164" s="30">
        <v>0</v>
      </c>
      <c r="U164" s="31">
        <v>0</v>
      </c>
      <c r="V164" s="31">
        <v>0</v>
      </c>
      <c r="W164" s="31">
        <v>0</v>
      </c>
      <c r="X164" s="31">
        <v>0</v>
      </c>
      <c r="Y164" s="31">
        <v>0</v>
      </c>
      <c r="Z164" s="32">
        <v>0</v>
      </c>
      <c r="AA164" s="93">
        <f>SUM(T164:Z164)</f>
        <v>0</v>
      </c>
      <c r="AC164" s="93">
        <f>SUM(I164+R164+AA164)</f>
        <v>156</v>
      </c>
    </row>
    <row r="165" spans="1:29" ht="15.75" customHeight="1">
      <c r="A165" s="92">
        <v>0.4375</v>
      </c>
      <c r="B165" s="30">
        <v>123</v>
      </c>
      <c r="C165" s="31">
        <v>24</v>
      </c>
      <c r="D165" s="31">
        <v>5</v>
      </c>
      <c r="E165" s="31">
        <v>0</v>
      </c>
      <c r="F165" s="31">
        <v>4</v>
      </c>
      <c r="G165" s="31">
        <v>0</v>
      </c>
      <c r="H165" s="32">
        <v>0</v>
      </c>
      <c r="I165" s="93">
        <f>SUM(B165:H165)</f>
        <v>156</v>
      </c>
      <c r="K165" s="30">
        <v>1</v>
      </c>
      <c r="L165" s="31">
        <v>1</v>
      </c>
      <c r="M165" s="31">
        <v>0</v>
      </c>
      <c r="N165" s="31">
        <v>0</v>
      </c>
      <c r="O165" s="31">
        <v>0</v>
      </c>
      <c r="P165" s="31">
        <v>0</v>
      </c>
      <c r="Q165" s="32">
        <v>0</v>
      </c>
      <c r="R165" s="93">
        <f>SUM(K165:Q165)</f>
        <v>2</v>
      </c>
      <c r="T165" s="30">
        <v>0</v>
      </c>
      <c r="U165" s="31">
        <v>0</v>
      </c>
      <c r="V165" s="31">
        <v>0</v>
      </c>
      <c r="W165" s="31">
        <v>0</v>
      </c>
      <c r="X165" s="31">
        <v>0</v>
      </c>
      <c r="Y165" s="31">
        <v>0</v>
      </c>
      <c r="Z165" s="32">
        <v>0</v>
      </c>
      <c r="AA165" s="93">
        <f>SUM(T165:Z165)</f>
        <v>0</v>
      </c>
      <c r="AC165" s="93">
        <f>SUM(I165+R165+AA165)</f>
        <v>158</v>
      </c>
    </row>
    <row r="166" spans="1:29" ht="15.75" customHeight="1">
      <c r="A166" s="94">
        <v>0.44791666666666669</v>
      </c>
      <c r="B166" s="33">
        <v>111</v>
      </c>
      <c r="C166" s="34">
        <v>25</v>
      </c>
      <c r="D166" s="34">
        <v>2</v>
      </c>
      <c r="E166" s="34">
        <v>2</v>
      </c>
      <c r="F166" s="34">
        <v>2</v>
      </c>
      <c r="G166" s="34">
        <v>1</v>
      </c>
      <c r="H166" s="35">
        <v>1</v>
      </c>
      <c r="I166" s="95">
        <f>SUM(B166:H166)</f>
        <v>144</v>
      </c>
      <c r="K166" s="33">
        <v>2</v>
      </c>
      <c r="L166" s="34">
        <v>1</v>
      </c>
      <c r="M166" s="34">
        <v>0</v>
      </c>
      <c r="N166" s="34">
        <v>0</v>
      </c>
      <c r="O166" s="34">
        <v>0</v>
      </c>
      <c r="P166" s="34">
        <v>0</v>
      </c>
      <c r="Q166" s="35">
        <v>0</v>
      </c>
      <c r="R166" s="95">
        <f>SUM(K166:Q166)</f>
        <v>3</v>
      </c>
      <c r="T166" s="33">
        <v>0</v>
      </c>
      <c r="U166" s="34">
        <v>0</v>
      </c>
      <c r="V166" s="34">
        <v>0</v>
      </c>
      <c r="W166" s="34">
        <v>0</v>
      </c>
      <c r="X166" s="34">
        <v>0</v>
      </c>
      <c r="Y166" s="34">
        <v>0</v>
      </c>
      <c r="Z166" s="35">
        <v>0</v>
      </c>
      <c r="AA166" s="95">
        <f>SUM(T166:Z166)</f>
        <v>0</v>
      </c>
      <c r="AC166" s="95">
        <f>SUM(I166+R166+AA166)</f>
        <v>147</v>
      </c>
    </row>
    <row r="167" spans="1:29" ht="15.75" customHeight="1">
      <c r="A167" s="40" t="s">
        <v>24</v>
      </c>
      <c r="B167" s="37">
        <f t="shared" ref="B167:I167" si="87">SUM(B163:B166)</f>
        <v>466</v>
      </c>
      <c r="C167" s="38">
        <f t="shared" si="87"/>
        <v>108</v>
      </c>
      <c r="D167" s="38">
        <f t="shared" si="87"/>
        <v>19</v>
      </c>
      <c r="E167" s="38">
        <f t="shared" si="87"/>
        <v>8</v>
      </c>
      <c r="F167" s="38">
        <f t="shared" si="87"/>
        <v>17</v>
      </c>
      <c r="G167" s="38">
        <f t="shared" si="87"/>
        <v>4</v>
      </c>
      <c r="H167" s="39">
        <f t="shared" si="87"/>
        <v>5</v>
      </c>
      <c r="I167" s="40">
        <f t="shared" si="87"/>
        <v>627</v>
      </c>
      <c r="K167" s="37">
        <f t="shared" ref="K167:R167" si="88">SUM(K163:K166)</f>
        <v>4</v>
      </c>
      <c r="L167" s="38">
        <f t="shared" si="88"/>
        <v>5</v>
      </c>
      <c r="M167" s="38">
        <f t="shared" si="88"/>
        <v>0</v>
      </c>
      <c r="N167" s="38">
        <f t="shared" si="88"/>
        <v>0</v>
      </c>
      <c r="O167" s="38">
        <f t="shared" si="88"/>
        <v>0</v>
      </c>
      <c r="P167" s="38">
        <f t="shared" si="88"/>
        <v>0</v>
      </c>
      <c r="Q167" s="39">
        <f t="shared" si="88"/>
        <v>0</v>
      </c>
      <c r="R167" s="40">
        <f t="shared" si="88"/>
        <v>9</v>
      </c>
      <c r="T167" s="37">
        <f t="shared" ref="T167:AA167" si="89">SUM(T163:T166)</f>
        <v>0</v>
      </c>
      <c r="U167" s="38">
        <f t="shared" si="89"/>
        <v>0</v>
      </c>
      <c r="V167" s="38">
        <f t="shared" si="89"/>
        <v>0</v>
      </c>
      <c r="W167" s="38">
        <f t="shared" si="89"/>
        <v>0</v>
      </c>
      <c r="X167" s="38">
        <f t="shared" si="89"/>
        <v>0</v>
      </c>
      <c r="Y167" s="38">
        <f t="shared" si="89"/>
        <v>0</v>
      </c>
      <c r="Z167" s="39">
        <f t="shared" si="89"/>
        <v>0</v>
      </c>
      <c r="AA167" s="40">
        <f t="shared" si="89"/>
        <v>0</v>
      </c>
      <c r="AC167" s="40">
        <f>SUM(AC163:AC166)</f>
        <v>636</v>
      </c>
    </row>
    <row r="168" spans="1:29" ht="15.75" customHeight="1">
      <c r="A168" s="90">
        <v>0.45833333333333331</v>
      </c>
      <c r="B168" s="27">
        <v>109</v>
      </c>
      <c r="C168" s="28">
        <v>21</v>
      </c>
      <c r="D168" s="28">
        <v>9</v>
      </c>
      <c r="E168" s="28">
        <v>1</v>
      </c>
      <c r="F168" s="28">
        <v>7</v>
      </c>
      <c r="G168" s="28">
        <v>2</v>
      </c>
      <c r="H168" s="29">
        <v>1</v>
      </c>
      <c r="I168" s="91">
        <f>SUM(B168:H168)</f>
        <v>150</v>
      </c>
      <c r="K168" s="27">
        <v>1</v>
      </c>
      <c r="L168" s="28">
        <v>0</v>
      </c>
      <c r="M168" s="28">
        <v>0</v>
      </c>
      <c r="N168" s="28">
        <v>0</v>
      </c>
      <c r="O168" s="28">
        <v>0</v>
      </c>
      <c r="P168" s="28">
        <v>0</v>
      </c>
      <c r="Q168" s="29">
        <v>0</v>
      </c>
      <c r="R168" s="91">
        <f>SUM(K168:Q168)</f>
        <v>1</v>
      </c>
      <c r="T168" s="27">
        <v>0</v>
      </c>
      <c r="U168" s="28">
        <v>0</v>
      </c>
      <c r="V168" s="28">
        <v>0</v>
      </c>
      <c r="W168" s="28">
        <v>0</v>
      </c>
      <c r="X168" s="28">
        <v>0</v>
      </c>
      <c r="Y168" s="28">
        <v>0</v>
      </c>
      <c r="Z168" s="29">
        <v>0</v>
      </c>
      <c r="AA168" s="91">
        <f>SUM(T168:Z168)</f>
        <v>0</v>
      </c>
      <c r="AC168" s="91">
        <f>SUM(I168+R168+AA168)</f>
        <v>151</v>
      </c>
    </row>
    <row r="169" spans="1:29" ht="15.75" customHeight="1">
      <c r="A169" s="92">
        <v>0.46875</v>
      </c>
      <c r="B169" s="30">
        <v>102</v>
      </c>
      <c r="C169" s="31">
        <v>25</v>
      </c>
      <c r="D169" s="31">
        <v>4</v>
      </c>
      <c r="E169" s="31">
        <v>1</v>
      </c>
      <c r="F169" s="31">
        <v>8</v>
      </c>
      <c r="G169" s="31">
        <v>0</v>
      </c>
      <c r="H169" s="32">
        <v>1</v>
      </c>
      <c r="I169" s="93">
        <f>SUM(B169:H169)</f>
        <v>141</v>
      </c>
      <c r="K169" s="30">
        <v>3</v>
      </c>
      <c r="L169" s="31">
        <v>1</v>
      </c>
      <c r="M169" s="31">
        <v>0</v>
      </c>
      <c r="N169" s="31">
        <v>0</v>
      </c>
      <c r="O169" s="31">
        <v>0</v>
      </c>
      <c r="P169" s="31">
        <v>0</v>
      </c>
      <c r="Q169" s="32">
        <v>0</v>
      </c>
      <c r="R169" s="93">
        <f>SUM(K169:Q169)</f>
        <v>4</v>
      </c>
      <c r="T169" s="30">
        <v>0</v>
      </c>
      <c r="U169" s="31">
        <v>1</v>
      </c>
      <c r="V169" s="31">
        <v>0</v>
      </c>
      <c r="W169" s="31">
        <v>0</v>
      </c>
      <c r="X169" s="31">
        <v>0</v>
      </c>
      <c r="Y169" s="31">
        <v>0</v>
      </c>
      <c r="Z169" s="32">
        <v>0</v>
      </c>
      <c r="AA169" s="93">
        <f>SUM(T169:Z169)</f>
        <v>1</v>
      </c>
      <c r="AC169" s="93">
        <f>SUM(I169+R169+AA169)</f>
        <v>146</v>
      </c>
    </row>
    <row r="170" spans="1:29" ht="15.75" customHeight="1">
      <c r="A170" s="92">
        <v>0.47916666666666669</v>
      </c>
      <c r="B170" s="30">
        <v>131</v>
      </c>
      <c r="C170" s="31">
        <v>25</v>
      </c>
      <c r="D170" s="31">
        <v>3</v>
      </c>
      <c r="E170" s="31">
        <v>2</v>
      </c>
      <c r="F170" s="31">
        <v>6</v>
      </c>
      <c r="G170" s="31">
        <v>1</v>
      </c>
      <c r="H170" s="32">
        <v>0</v>
      </c>
      <c r="I170" s="93">
        <f>SUM(B170:H170)</f>
        <v>168</v>
      </c>
      <c r="K170" s="30">
        <v>4</v>
      </c>
      <c r="L170" s="31">
        <v>2</v>
      </c>
      <c r="M170" s="31">
        <v>0</v>
      </c>
      <c r="N170" s="31">
        <v>0</v>
      </c>
      <c r="O170" s="31">
        <v>0</v>
      </c>
      <c r="P170" s="31">
        <v>0</v>
      </c>
      <c r="Q170" s="32">
        <v>0</v>
      </c>
      <c r="R170" s="93">
        <f>SUM(K170:Q170)</f>
        <v>6</v>
      </c>
      <c r="T170" s="30">
        <v>0</v>
      </c>
      <c r="U170" s="31">
        <v>0</v>
      </c>
      <c r="V170" s="31">
        <v>0</v>
      </c>
      <c r="W170" s="31">
        <v>0</v>
      </c>
      <c r="X170" s="31">
        <v>0</v>
      </c>
      <c r="Y170" s="31">
        <v>0</v>
      </c>
      <c r="Z170" s="32">
        <v>0</v>
      </c>
      <c r="AA170" s="93">
        <f>SUM(T170:Z170)</f>
        <v>0</v>
      </c>
      <c r="AC170" s="93">
        <f>SUM(I170+R170+AA170)</f>
        <v>174</v>
      </c>
    </row>
    <row r="171" spans="1:29" ht="15.75" customHeight="1">
      <c r="A171" s="94">
        <v>0.48958333333333331</v>
      </c>
      <c r="B171" s="33">
        <v>130</v>
      </c>
      <c r="C171" s="34">
        <v>24</v>
      </c>
      <c r="D171" s="34">
        <v>7</v>
      </c>
      <c r="E171" s="34">
        <v>2</v>
      </c>
      <c r="F171" s="34">
        <v>4</v>
      </c>
      <c r="G171" s="34">
        <v>0</v>
      </c>
      <c r="H171" s="35">
        <v>0</v>
      </c>
      <c r="I171" s="95">
        <f>SUM(B171:H171)</f>
        <v>167</v>
      </c>
      <c r="K171" s="33">
        <v>2</v>
      </c>
      <c r="L171" s="34">
        <v>0</v>
      </c>
      <c r="M171" s="34">
        <v>0</v>
      </c>
      <c r="N171" s="34">
        <v>0</v>
      </c>
      <c r="O171" s="34">
        <v>0</v>
      </c>
      <c r="P171" s="34">
        <v>0</v>
      </c>
      <c r="Q171" s="35">
        <v>0</v>
      </c>
      <c r="R171" s="95">
        <f>SUM(K171:Q171)</f>
        <v>2</v>
      </c>
      <c r="T171" s="33">
        <v>0</v>
      </c>
      <c r="U171" s="34">
        <v>0</v>
      </c>
      <c r="V171" s="34">
        <v>0</v>
      </c>
      <c r="W171" s="34">
        <v>0</v>
      </c>
      <c r="X171" s="34">
        <v>0</v>
      </c>
      <c r="Y171" s="34">
        <v>0</v>
      </c>
      <c r="Z171" s="35">
        <v>0</v>
      </c>
      <c r="AA171" s="95">
        <f>SUM(T171:Z171)</f>
        <v>0</v>
      </c>
      <c r="AC171" s="95">
        <f>SUM(I171+R171+AA171)</f>
        <v>169</v>
      </c>
    </row>
    <row r="172" spans="1:29" ht="15.75" customHeight="1">
      <c r="A172" s="40" t="s">
        <v>24</v>
      </c>
      <c r="B172" s="37">
        <f t="shared" ref="B172:I172" si="90">SUM(B168:B171)</f>
        <v>472</v>
      </c>
      <c r="C172" s="38">
        <f t="shared" si="90"/>
        <v>95</v>
      </c>
      <c r="D172" s="38">
        <f t="shared" si="90"/>
        <v>23</v>
      </c>
      <c r="E172" s="38">
        <f t="shared" si="90"/>
        <v>6</v>
      </c>
      <c r="F172" s="38">
        <f t="shared" si="90"/>
        <v>25</v>
      </c>
      <c r="G172" s="38">
        <f t="shared" si="90"/>
        <v>3</v>
      </c>
      <c r="H172" s="39">
        <f t="shared" si="90"/>
        <v>2</v>
      </c>
      <c r="I172" s="40">
        <f t="shared" si="90"/>
        <v>626</v>
      </c>
      <c r="K172" s="37">
        <f t="shared" ref="K172:R172" si="91">SUM(K168:K171)</f>
        <v>10</v>
      </c>
      <c r="L172" s="38">
        <f t="shared" si="91"/>
        <v>3</v>
      </c>
      <c r="M172" s="38">
        <f t="shared" si="91"/>
        <v>0</v>
      </c>
      <c r="N172" s="38">
        <f t="shared" si="91"/>
        <v>0</v>
      </c>
      <c r="O172" s="38">
        <f t="shared" si="91"/>
        <v>0</v>
      </c>
      <c r="P172" s="38">
        <f t="shared" si="91"/>
        <v>0</v>
      </c>
      <c r="Q172" s="39">
        <f t="shared" si="91"/>
        <v>0</v>
      </c>
      <c r="R172" s="40">
        <f t="shared" si="91"/>
        <v>13</v>
      </c>
      <c r="T172" s="37">
        <f t="shared" ref="T172:AA172" si="92">SUM(T168:T171)</f>
        <v>0</v>
      </c>
      <c r="U172" s="38">
        <f t="shared" si="92"/>
        <v>1</v>
      </c>
      <c r="V172" s="38">
        <f t="shared" si="92"/>
        <v>0</v>
      </c>
      <c r="W172" s="38">
        <f t="shared" si="92"/>
        <v>0</v>
      </c>
      <c r="X172" s="38">
        <f t="shared" si="92"/>
        <v>0</v>
      </c>
      <c r="Y172" s="38">
        <f t="shared" si="92"/>
        <v>0</v>
      </c>
      <c r="Z172" s="39">
        <f t="shared" si="92"/>
        <v>0</v>
      </c>
      <c r="AA172" s="40">
        <f t="shared" si="92"/>
        <v>1</v>
      </c>
      <c r="AC172" s="40">
        <f>SUM(AC168:AC171)</f>
        <v>640</v>
      </c>
    </row>
    <row r="173" spans="1:29" ht="15.75" customHeight="1">
      <c r="A173" s="90">
        <v>0.5</v>
      </c>
      <c r="B173" s="27">
        <v>146</v>
      </c>
      <c r="C173" s="28">
        <v>21</v>
      </c>
      <c r="D173" s="28">
        <v>5</v>
      </c>
      <c r="E173" s="28">
        <v>2</v>
      </c>
      <c r="F173" s="28">
        <v>5</v>
      </c>
      <c r="G173" s="28">
        <v>2</v>
      </c>
      <c r="H173" s="29">
        <v>0</v>
      </c>
      <c r="I173" s="91">
        <f>SUM(B173:H173)</f>
        <v>181</v>
      </c>
      <c r="K173" s="27">
        <v>1</v>
      </c>
      <c r="L173" s="28">
        <v>0</v>
      </c>
      <c r="M173" s="28">
        <v>0</v>
      </c>
      <c r="N173" s="28">
        <v>0</v>
      </c>
      <c r="O173" s="28">
        <v>0</v>
      </c>
      <c r="P173" s="28">
        <v>0</v>
      </c>
      <c r="Q173" s="29">
        <v>0</v>
      </c>
      <c r="R173" s="91">
        <f>SUM(K173:Q173)</f>
        <v>1</v>
      </c>
      <c r="T173" s="27">
        <v>0</v>
      </c>
      <c r="U173" s="28">
        <v>0</v>
      </c>
      <c r="V173" s="28">
        <v>0</v>
      </c>
      <c r="W173" s="28">
        <v>0</v>
      </c>
      <c r="X173" s="28">
        <v>0</v>
      </c>
      <c r="Y173" s="28">
        <v>0</v>
      </c>
      <c r="Z173" s="29">
        <v>0</v>
      </c>
      <c r="AA173" s="91">
        <f>SUM(T173:Z173)</f>
        <v>0</v>
      </c>
      <c r="AC173" s="91">
        <f>SUM(I173+R173+AA173)</f>
        <v>182</v>
      </c>
    </row>
    <row r="174" spans="1:29" ht="15.75" customHeight="1">
      <c r="A174" s="92">
        <v>0.51041666666666663</v>
      </c>
      <c r="B174" s="30">
        <v>129</v>
      </c>
      <c r="C174" s="31">
        <v>20</v>
      </c>
      <c r="D174" s="31">
        <v>7</v>
      </c>
      <c r="E174" s="31">
        <v>1</v>
      </c>
      <c r="F174" s="31">
        <v>8</v>
      </c>
      <c r="G174" s="31">
        <v>2</v>
      </c>
      <c r="H174" s="32">
        <v>3</v>
      </c>
      <c r="I174" s="93">
        <f>SUM(B174:H174)</f>
        <v>170</v>
      </c>
      <c r="K174" s="30">
        <v>0</v>
      </c>
      <c r="L174" s="31">
        <v>1</v>
      </c>
      <c r="M174" s="31">
        <v>0</v>
      </c>
      <c r="N174" s="31">
        <v>0</v>
      </c>
      <c r="O174" s="31">
        <v>0</v>
      </c>
      <c r="P174" s="31">
        <v>0</v>
      </c>
      <c r="Q174" s="32">
        <v>0</v>
      </c>
      <c r="R174" s="93">
        <f>SUM(K174:Q174)</f>
        <v>1</v>
      </c>
      <c r="T174" s="30">
        <v>0</v>
      </c>
      <c r="U174" s="31">
        <v>0</v>
      </c>
      <c r="V174" s="31">
        <v>0</v>
      </c>
      <c r="W174" s="31">
        <v>0</v>
      </c>
      <c r="X174" s="31">
        <v>0</v>
      </c>
      <c r="Y174" s="31">
        <v>0</v>
      </c>
      <c r="Z174" s="32">
        <v>0</v>
      </c>
      <c r="AA174" s="93">
        <f>SUM(T174:Z174)</f>
        <v>0</v>
      </c>
      <c r="AC174" s="93">
        <f>SUM(I174+R174+AA174)</f>
        <v>171</v>
      </c>
    </row>
    <row r="175" spans="1:29" ht="15.75" customHeight="1">
      <c r="A175" s="92">
        <v>0.52083333333333337</v>
      </c>
      <c r="B175" s="30">
        <v>104</v>
      </c>
      <c r="C175" s="31">
        <v>31</v>
      </c>
      <c r="D175" s="31">
        <v>4</v>
      </c>
      <c r="E175" s="31">
        <v>5</v>
      </c>
      <c r="F175" s="31">
        <v>8</v>
      </c>
      <c r="G175" s="31">
        <v>3</v>
      </c>
      <c r="H175" s="32">
        <v>2</v>
      </c>
      <c r="I175" s="93">
        <f>SUM(B175:H175)</f>
        <v>157</v>
      </c>
      <c r="K175" s="30">
        <v>1</v>
      </c>
      <c r="L175" s="31">
        <v>0</v>
      </c>
      <c r="M175" s="31">
        <v>0</v>
      </c>
      <c r="N175" s="31">
        <v>0</v>
      </c>
      <c r="O175" s="31">
        <v>0</v>
      </c>
      <c r="P175" s="31">
        <v>0</v>
      </c>
      <c r="Q175" s="32">
        <v>1</v>
      </c>
      <c r="R175" s="93">
        <f>SUM(K175:Q175)</f>
        <v>2</v>
      </c>
      <c r="T175" s="30">
        <v>0</v>
      </c>
      <c r="U175" s="31">
        <v>0</v>
      </c>
      <c r="V175" s="31">
        <v>0</v>
      </c>
      <c r="W175" s="31">
        <v>0</v>
      </c>
      <c r="X175" s="31">
        <v>0</v>
      </c>
      <c r="Y175" s="31">
        <v>0</v>
      </c>
      <c r="Z175" s="32">
        <v>0</v>
      </c>
      <c r="AA175" s="93">
        <f>SUM(T175:Z175)</f>
        <v>0</v>
      </c>
      <c r="AC175" s="93">
        <f>SUM(I175+R175+AA175)</f>
        <v>159</v>
      </c>
    </row>
    <row r="176" spans="1:29" ht="15.75" customHeight="1">
      <c r="A176" s="94">
        <v>0.53125</v>
      </c>
      <c r="B176" s="33">
        <v>143</v>
      </c>
      <c r="C176" s="34">
        <v>26</v>
      </c>
      <c r="D176" s="34">
        <v>2</v>
      </c>
      <c r="E176" s="34">
        <v>2</v>
      </c>
      <c r="F176" s="34">
        <v>8</v>
      </c>
      <c r="G176" s="34">
        <v>1</v>
      </c>
      <c r="H176" s="35">
        <v>3</v>
      </c>
      <c r="I176" s="95">
        <f>SUM(B176:H176)</f>
        <v>185</v>
      </c>
      <c r="K176" s="33">
        <v>2</v>
      </c>
      <c r="L176" s="34">
        <v>1</v>
      </c>
      <c r="M176" s="34">
        <v>0</v>
      </c>
      <c r="N176" s="34">
        <v>0</v>
      </c>
      <c r="O176" s="34">
        <v>0</v>
      </c>
      <c r="P176" s="34">
        <v>0</v>
      </c>
      <c r="Q176" s="35">
        <v>0</v>
      </c>
      <c r="R176" s="95">
        <f>SUM(K176:Q176)</f>
        <v>3</v>
      </c>
      <c r="T176" s="33">
        <v>0</v>
      </c>
      <c r="U176" s="34">
        <v>0</v>
      </c>
      <c r="V176" s="34">
        <v>0</v>
      </c>
      <c r="W176" s="34">
        <v>0</v>
      </c>
      <c r="X176" s="34">
        <v>0</v>
      </c>
      <c r="Y176" s="34">
        <v>0</v>
      </c>
      <c r="Z176" s="35">
        <v>0</v>
      </c>
      <c r="AA176" s="95">
        <f>SUM(T176:Z176)</f>
        <v>0</v>
      </c>
      <c r="AC176" s="95">
        <f>SUM(I176+R176+AA176)</f>
        <v>188</v>
      </c>
    </row>
    <row r="177" spans="1:29" ht="15.75" customHeight="1">
      <c r="A177" s="40" t="s">
        <v>24</v>
      </c>
      <c r="B177" s="37">
        <f t="shared" ref="B177:I177" si="93">SUM(B173:B176)</f>
        <v>522</v>
      </c>
      <c r="C177" s="38">
        <f t="shared" si="93"/>
        <v>98</v>
      </c>
      <c r="D177" s="38">
        <f t="shared" si="93"/>
        <v>18</v>
      </c>
      <c r="E177" s="38">
        <f t="shared" si="93"/>
        <v>10</v>
      </c>
      <c r="F177" s="38">
        <f t="shared" si="93"/>
        <v>29</v>
      </c>
      <c r="G177" s="38">
        <f t="shared" si="93"/>
        <v>8</v>
      </c>
      <c r="H177" s="39">
        <f t="shared" si="93"/>
        <v>8</v>
      </c>
      <c r="I177" s="40">
        <f t="shared" si="93"/>
        <v>693</v>
      </c>
      <c r="K177" s="37">
        <f t="shared" ref="K177:R177" si="94">SUM(K173:K176)</f>
        <v>4</v>
      </c>
      <c r="L177" s="38">
        <f t="shared" si="94"/>
        <v>2</v>
      </c>
      <c r="M177" s="38">
        <f t="shared" si="94"/>
        <v>0</v>
      </c>
      <c r="N177" s="38">
        <f t="shared" si="94"/>
        <v>0</v>
      </c>
      <c r="O177" s="38">
        <f t="shared" si="94"/>
        <v>0</v>
      </c>
      <c r="P177" s="38">
        <f t="shared" si="94"/>
        <v>0</v>
      </c>
      <c r="Q177" s="39">
        <f t="shared" si="94"/>
        <v>1</v>
      </c>
      <c r="R177" s="40">
        <f t="shared" si="94"/>
        <v>7</v>
      </c>
      <c r="T177" s="37">
        <f t="shared" ref="T177:AA177" si="95">SUM(T173:T176)</f>
        <v>0</v>
      </c>
      <c r="U177" s="38">
        <f t="shared" si="95"/>
        <v>0</v>
      </c>
      <c r="V177" s="38">
        <f t="shared" si="95"/>
        <v>0</v>
      </c>
      <c r="W177" s="38">
        <f t="shared" si="95"/>
        <v>0</v>
      </c>
      <c r="X177" s="38">
        <f t="shared" si="95"/>
        <v>0</v>
      </c>
      <c r="Y177" s="38">
        <f t="shared" si="95"/>
        <v>0</v>
      </c>
      <c r="Z177" s="39">
        <f t="shared" si="95"/>
        <v>0</v>
      </c>
      <c r="AA177" s="40">
        <f t="shared" si="95"/>
        <v>0</v>
      </c>
      <c r="AC177" s="40">
        <f>SUM(AC173:AC176)</f>
        <v>700</v>
      </c>
    </row>
    <row r="178" spans="1:29" ht="15.75" customHeight="1">
      <c r="A178" s="90">
        <v>0.54166666666666663</v>
      </c>
      <c r="B178" s="27">
        <v>152</v>
      </c>
      <c r="C178" s="28">
        <v>25</v>
      </c>
      <c r="D178" s="28">
        <v>6</v>
      </c>
      <c r="E178" s="28">
        <v>2</v>
      </c>
      <c r="F178" s="28">
        <v>3</v>
      </c>
      <c r="G178" s="28">
        <v>1</v>
      </c>
      <c r="H178" s="29">
        <v>0</v>
      </c>
      <c r="I178" s="91">
        <f>SUM(B178:H178)</f>
        <v>189</v>
      </c>
      <c r="K178" s="27">
        <v>0</v>
      </c>
      <c r="L178" s="28">
        <v>1</v>
      </c>
      <c r="M178" s="28">
        <v>0</v>
      </c>
      <c r="N178" s="28">
        <v>0</v>
      </c>
      <c r="O178" s="28">
        <v>0</v>
      </c>
      <c r="P178" s="28">
        <v>0</v>
      </c>
      <c r="Q178" s="29">
        <v>0</v>
      </c>
      <c r="R178" s="91">
        <f>SUM(K178:Q178)</f>
        <v>1</v>
      </c>
      <c r="T178" s="27">
        <v>0</v>
      </c>
      <c r="U178" s="28">
        <v>0</v>
      </c>
      <c r="V178" s="28">
        <v>0</v>
      </c>
      <c r="W178" s="28">
        <v>0</v>
      </c>
      <c r="X178" s="28">
        <v>0</v>
      </c>
      <c r="Y178" s="28">
        <v>0</v>
      </c>
      <c r="Z178" s="29">
        <v>0</v>
      </c>
      <c r="AA178" s="91">
        <f>SUM(T178:Z178)</f>
        <v>0</v>
      </c>
      <c r="AC178" s="91">
        <f>SUM(I178+R178+AA178)</f>
        <v>190</v>
      </c>
    </row>
    <row r="179" spans="1:29" ht="15.75" customHeight="1">
      <c r="A179" s="92">
        <v>0.55208333333333337</v>
      </c>
      <c r="B179" s="30">
        <v>138</v>
      </c>
      <c r="C179" s="31">
        <v>24</v>
      </c>
      <c r="D179" s="31">
        <v>4</v>
      </c>
      <c r="E179" s="31">
        <v>1</v>
      </c>
      <c r="F179" s="31">
        <v>6</v>
      </c>
      <c r="G179" s="31">
        <v>1</v>
      </c>
      <c r="H179" s="32">
        <v>3</v>
      </c>
      <c r="I179" s="93">
        <f>SUM(B179:H179)</f>
        <v>177</v>
      </c>
      <c r="K179" s="30">
        <v>3</v>
      </c>
      <c r="L179" s="31">
        <v>0</v>
      </c>
      <c r="M179" s="31">
        <v>0</v>
      </c>
      <c r="N179" s="31">
        <v>0</v>
      </c>
      <c r="O179" s="31">
        <v>0</v>
      </c>
      <c r="P179" s="31">
        <v>0</v>
      </c>
      <c r="Q179" s="32">
        <v>0</v>
      </c>
      <c r="R179" s="93">
        <f>SUM(K179:Q179)</f>
        <v>3</v>
      </c>
      <c r="T179" s="30">
        <v>0</v>
      </c>
      <c r="U179" s="31">
        <v>0</v>
      </c>
      <c r="V179" s="31">
        <v>0</v>
      </c>
      <c r="W179" s="31">
        <v>0</v>
      </c>
      <c r="X179" s="31">
        <v>0</v>
      </c>
      <c r="Y179" s="31">
        <v>0</v>
      </c>
      <c r="Z179" s="32">
        <v>0</v>
      </c>
      <c r="AA179" s="93">
        <f>SUM(T179:Z179)</f>
        <v>0</v>
      </c>
      <c r="AC179" s="93">
        <f>SUM(I179+R179+AA179)</f>
        <v>180</v>
      </c>
    </row>
    <row r="180" spans="1:29" ht="15.75" customHeight="1">
      <c r="A180" s="92">
        <v>0.5625</v>
      </c>
      <c r="B180" s="30">
        <v>146</v>
      </c>
      <c r="C180" s="31">
        <v>21</v>
      </c>
      <c r="D180" s="31">
        <v>1</v>
      </c>
      <c r="E180" s="31">
        <v>2</v>
      </c>
      <c r="F180" s="31">
        <v>7</v>
      </c>
      <c r="G180" s="31">
        <v>1</v>
      </c>
      <c r="H180" s="32">
        <v>1</v>
      </c>
      <c r="I180" s="93">
        <f>SUM(B180:H180)</f>
        <v>179</v>
      </c>
      <c r="K180" s="30">
        <v>1</v>
      </c>
      <c r="L180" s="31">
        <v>1</v>
      </c>
      <c r="M180" s="31">
        <v>0</v>
      </c>
      <c r="N180" s="31">
        <v>0</v>
      </c>
      <c r="O180" s="31">
        <v>0</v>
      </c>
      <c r="P180" s="31">
        <v>0</v>
      </c>
      <c r="Q180" s="32">
        <v>0</v>
      </c>
      <c r="R180" s="93">
        <f>SUM(K180:Q180)</f>
        <v>2</v>
      </c>
      <c r="T180" s="30">
        <v>0</v>
      </c>
      <c r="U180" s="31">
        <v>0</v>
      </c>
      <c r="V180" s="31">
        <v>0</v>
      </c>
      <c r="W180" s="31">
        <v>0</v>
      </c>
      <c r="X180" s="31">
        <v>0</v>
      </c>
      <c r="Y180" s="31">
        <v>0</v>
      </c>
      <c r="Z180" s="32">
        <v>0</v>
      </c>
      <c r="AA180" s="93">
        <f>SUM(T180:Z180)</f>
        <v>0</v>
      </c>
      <c r="AC180" s="93">
        <f>SUM(I180+R180+AA180)</f>
        <v>181</v>
      </c>
    </row>
    <row r="181" spans="1:29" ht="15.75" customHeight="1">
      <c r="A181" s="94">
        <v>0.57291666666666663</v>
      </c>
      <c r="B181" s="33">
        <v>149</v>
      </c>
      <c r="C181" s="34">
        <v>14</v>
      </c>
      <c r="D181" s="34">
        <v>4</v>
      </c>
      <c r="E181" s="34">
        <v>2</v>
      </c>
      <c r="F181" s="34">
        <v>5</v>
      </c>
      <c r="G181" s="34">
        <v>1</v>
      </c>
      <c r="H181" s="35">
        <v>5</v>
      </c>
      <c r="I181" s="95">
        <f>SUM(B181:H181)</f>
        <v>180</v>
      </c>
      <c r="K181" s="33">
        <v>1</v>
      </c>
      <c r="L181" s="34">
        <v>0</v>
      </c>
      <c r="M181" s="34">
        <v>0</v>
      </c>
      <c r="N181" s="34">
        <v>0</v>
      </c>
      <c r="O181" s="34">
        <v>0</v>
      </c>
      <c r="P181" s="34">
        <v>0</v>
      </c>
      <c r="Q181" s="35">
        <v>0</v>
      </c>
      <c r="R181" s="95">
        <f>SUM(K181:Q181)</f>
        <v>1</v>
      </c>
      <c r="T181" s="33">
        <v>0</v>
      </c>
      <c r="U181" s="34">
        <v>0</v>
      </c>
      <c r="V181" s="34">
        <v>0</v>
      </c>
      <c r="W181" s="34">
        <v>0</v>
      </c>
      <c r="X181" s="34">
        <v>0</v>
      </c>
      <c r="Y181" s="34">
        <v>0</v>
      </c>
      <c r="Z181" s="35">
        <v>0</v>
      </c>
      <c r="AA181" s="95">
        <f>SUM(T181:Z181)</f>
        <v>0</v>
      </c>
      <c r="AC181" s="95">
        <f>SUM(I181+R181+AA181)</f>
        <v>181</v>
      </c>
    </row>
    <row r="182" spans="1:29" ht="15.75" customHeight="1">
      <c r="A182" s="40" t="s">
        <v>24</v>
      </c>
      <c r="B182" s="37">
        <f t="shared" ref="B182:I182" si="96">SUM(B178:B181)</f>
        <v>585</v>
      </c>
      <c r="C182" s="38">
        <f t="shared" si="96"/>
        <v>84</v>
      </c>
      <c r="D182" s="38">
        <f t="shared" si="96"/>
        <v>15</v>
      </c>
      <c r="E182" s="38">
        <f t="shared" si="96"/>
        <v>7</v>
      </c>
      <c r="F182" s="38">
        <f t="shared" si="96"/>
        <v>21</v>
      </c>
      <c r="G182" s="38">
        <f t="shared" si="96"/>
        <v>4</v>
      </c>
      <c r="H182" s="39">
        <f t="shared" si="96"/>
        <v>9</v>
      </c>
      <c r="I182" s="40">
        <f t="shared" si="96"/>
        <v>725</v>
      </c>
      <c r="K182" s="37">
        <f t="shared" ref="K182:R182" si="97">SUM(K178:K181)</f>
        <v>5</v>
      </c>
      <c r="L182" s="38">
        <f t="shared" si="97"/>
        <v>2</v>
      </c>
      <c r="M182" s="38">
        <f t="shared" si="97"/>
        <v>0</v>
      </c>
      <c r="N182" s="38">
        <f t="shared" si="97"/>
        <v>0</v>
      </c>
      <c r="O182" s="38">
        <f t="shared" si="97"/>
        <v>0</v>
      </c>
      <c r="P182" s="38">
        <f t="shared" si="97"/>
        <v>0</v>
      </c>
      <c r="Q182" s="39">
        <f t="shared" si="97"/>
        <v>0</v>
      </c>
      <c r="R182" s="40">
        <f t="shared" si="97"/>
        <v>7</v>
      </c>
      <c r="T182" s="37">
        <f t="shared" ref="T182:AA182" si="98">SUM(T178:T181)</f>
        <v>0</v>
      </c>
      <c r="U182" s="38">
        <f t="shared" si="98"/>
        <v>0</v>
      </c>
      <c r="V182" s="38">
        <f t="shared" si="98"/>
        <v>0</v>
      </c>
      <c r="W182" s="38">
        <f t="shared" si="98"/>
        <v>0</v>
      </c>
      <c r="X182" s="38">
        <f t="shared" si="98"/>
        <v>0</v>
      </c>
      <c r="Y182" s="38">
        <f t="shared" si="98"/>
        <v>0</v>
      </c>
      <c r="Z182" s="39">
        <f t="shared" si="98"/>
        <v>0</v>
      </c>
      <c r="AA182" s="40">
        <f t="shared" si="98"/>
        <v>0</v>
      </c>
      <c r="AC182" s="40">
        <f>SUM(AC178:AC181)</f>
        <v>732</v>
      </c>
    </row>
    <row r="183" spans="1:29" ht="15.75" customHeight="1">
      <c r="A183" s="90">
        <v>0.58333333333333337</v>
      </c>
      <c r="B183" s="27">
        <v>124</v>
      </c>
      <c r="C183" s="28">
        <v>20</v>
      </c>
      <c r="D183" s="28">
        <v>7</v>
      </c>
      <c r="E183" s="28">
        <v>0</v>
      </c>
      <c r="F183" s="28">
        <v>6</v>
      </c>
      <c r="G183" s="28">
        <v>1</v>
      </c>
      <c r="H183" s="29">
        <v>0</v>
      </c>
      <c r="I183" s="91">
        <f>SUM(B183:H183)</f>
        <v>158</v>
      </c>
      <c r="K183" s="27">
        <v>3</v>
      </c>
      <c r="L183" s="28">
        <v>0</v>
      </c>
      <c r="M183" s="28">
        <v>0</v>
      </c>
      <c r="N183" s="28">
        <v>0</v>
      </c>
      <c r="O183" s="28">
        <v>0</v>
      </c>
      <c r="P183" s="28">
        <v>0</v>
      </c>
      <c r="Q183" s="29">
        <v>0</v>
      </c>
      <c r="R183" s="91">
        <f>SUM(K183:Q183)</f>
        <v>3</v>
      </c>
      <c r="T183" s="27">
        <v>1</v>
      </c>
      <c r="U183" s="28">
        <v>0</v>
      </c>
      <c r="V183" s="28">
        <v>0</v>
      </c>
      <c r="W183" s="28">
        <v>0</v>
      </c>
      <c r="X183" s="28">
        <v>0</v>
      </c>
      <c r="Y183" s="28">
        <v>0</v>
      </c>
      <c r="Z183" s="29">
        <v>0</v>
      </c>
      <c r="AA183" s="91">
        <f>SUM(T183:Z183)</f>
        <v>1</v>
      </c>
      <c r="AC183" s="91">
        <f>SUM(I183+R183+AA183)</f>
        <v>162</v>
      </c>
    </row>
    <row r="184" spans="1:29" ht="15.75" customHeight="1">
      <c r="A184" s="92">
        <v>0.59375</v>
      </c>
      <c r="B184" s="30">
        <v>158</v>
      </c>
      <c r="C184" s="31">
        <v>26</v>
      </c>
      <c r="D184" s="31">
        <v>6</v>
      </c>
      <c r="E184" s="31">
        <v>2</v>
      </c>
      <c r="F184" s="31">
        <v>4</v>
      </c>
      <c r="G184" s="31">
        <v>4</v>
      </c>
      <c r="H184" s="32">
        <v>0</v>
      </c>
      <c r="I184" s="93">
        <f>SUM(B184:H184)</f>
        <v>200</v>
      </c>
      <c r="K184" s="30">
        <v>3</v>
      </c>
      <c r="L184" s="31">
        <v>0</v>
      </c>
      <c r="M184" s="31">
        <v>0</v>
      </c>
      <c r="N184" s="31">
        <v>0</v>
      </c>
      <c r="O184" s="31">
        <v>0</v>
      </c>
      <c r="P184" s="31">
        <v>0</v>
      </c>
      <c r="Q184" s="32">
        <v>0</v>
      </c>
      <c r="R184" s="93">
        <f>SUM(K184:Q184)</f>
        <v>3</v>
      </c>
      <c r="T184" s="30">
        <v>0</v>
      </c>
      <c r="U184" s="31">
        <v>0</v>
      </c>
      <c r="V184" s="31">
        <v>0</v>
      </c>
      <c r="W184" s="31">
        <v>0</v>
      </c>
      <c r="X184" s="31">
        <v>0</v>
      </c>
      <c r="Y184" s="31">
        <v>0</v>
      </c>
      <c r="Z184" s="32">
        <v>0</v>
      </c>
      <c r="AA184" s="93">
        <f>SUM(T184:Z184)</f>
        <v>0</v>
      </c>
      <c r="AC184" s="93">
        <f>SUM(I184+R184+AA184)</f>
        <v>203</v>
      </c>
    </row>
    <row r="185" spans="1:29" ht="15.75" customHeight="1">
      <c r="A185" s="92">
        <v>0.60416666666666663</v>
      </c>
      <c r="B185" s="30">
        <v>151</v>
      </c>
      <c r="C185" s="31">
        <v>24</v>
      </c>
      <c r="D185" s="31">
        <v>5</v>
      </c>
      <c r="E185" s="31">
        <v>1</v>
      </c>
      <c r="F185" s="31">
        <v>7</v>
      </c>
      <c r="G185" s="31">
        <v>2</v>
      </c>
      <c r="H185" s="32">
        <v>1</v>
      </c>
      <c r="I185" s="93">
        <f>SUM(B185:H185)</f>
        <v>191</v>
      </c>
      <c r="K185" s="30">
        <v>2</v>
      </c>
      <c r="L185" s="31">
        <v>2</v>
      </c>
      <c r="M185" s="31">
        <v>0</v>
      </c>
      <c r="N185" s="31">
        <v>0</v>
      </c>
      <c r="O185" s="31">
        <v>0</v>
      </c>
      <c r="P185" s="31">
        <v>0</v>
      </c>
      <c r="Q185" s="32">
        <v>0</v>
      </c>
      <c r="R185" s="93">
        <f>SUM(K185:Q185)</f>
        <v>4</v>
      </c>
      <c r="T185" s="30">
        <v>0</v>
      </c>
      <c r="U185" s="31">
        <v>0</v>
      </c>
      <c r="V185" s="31">
        <v>0</v>
      </c>
      <c r="W185" s="31">
        <v>0</v>
      </c>
      <c r="X185" s="31">
        <v>0</v>
      </c>
      <c r="Y185" s="31">
        <v>0</v>
      </c>
      <c r="Z185" s="32">
        <v>0</v>
      </c>
      <c r="AA185" s="93">
        <f>SUM(T185:Z185)</f>
        <v>0</v>
      </c>
      <c r="AC185" s="93">
        <f>SUM(I185+R185+AA185)</f>
        <v>195</v>
      </c>
    </row>
    <row r="186" spans="1:29" ht="15.75" customHeight="1">
      <c r="A186" s="94">
        <v>0.61458333333333337</v>
      </c>
      <c r="B186" s="33">
        <v>164</v>
      </c>
      <c r="C186" s="34">
        <v>26</v>
      </c>
      <c r="D186" s="34">
        <v>7</v>
      </c>
      <c r="E186" s="34">
        <v>1</v>
      </c>
      <c r="F186" s="34">
        <v>5</v>
      </c>
      <c r="G186" s="34">
        <v>3</v>
      </c>
      <c r="H186" s="35">
        <v>1</v>
      </c>
      <c r="I186" s="95">
        <f>SUM(B186:H186)</f>
        <v>207</v>
      </c>
      <c r="K186" s="33">
        <v>2</v>
      </c>
      <c r="L186" s="34">
        <v>0</v>
      </c>
      <c r="M186" s="34">
        <v>0</v>
      </c>
      <c r="N186" s="34">
        <v>0</v>
      </c>
      <c r="O186" s="34">
        <v>0</v>
      </c>
      <c r="P186" s="34">
        <v>1</v>
      </c>
      <c r="Q186" s="35">
        <v>0</v>
      </c>
      <c r="R186" s="95">
        <f>SUM(K186:Q186)</f>
        <v>3</v>
      </c>
      <c r="T186" s="33">
        <v>0</v>
      </c>
      <c r="U186" s="34">
        <v>0</v>
      </c>
      <c r="V186" s="34">
        <v>0</v>
      </c>
      <c r="W186" s="34">
        <v>0</v>
      </c>
      <c r="X186" s="34">
        <v>0</v>
      </c>
      <c r="Y186" s="34">
        <v>0</v>
      </c>
      <c r="Z186" s="35">
        <v>0</v>
      </c>
      <c r="AA186" s="95">
        <f>SUM(T186:Z186)</f>
        <v>0</v>
      </c>
      <c r="AC186" s="95">
        <f>SUM(I186+R186+AA186)</f>
        <v>210</v>
      </c>
    </row>
    <row r="187" spans="1:29" ht="15.75" customHeight="1">
      <c r="A187" s="40" t="s">
        <v>24</v>
      </c>
      <c r="B187" s="37">
        <f t="shared" ref="B187:I187" si="99">SUM(B183:B186)</f>
        <v>597</v>
      </c>
      <c r="C187" s="38">
        <f t="shared" si="99"/>
        <v>96</v>
      </c>
      <c r="D187" s="38">
        <f t="shared" si="99"/>
        <v>25</v>
      </c>
      <c r="E187" s="38">
        <f t="shared" si="99"/>
        <v>4</v>
      </c>
      <c r="F187" s="38">
        <f t="shared" si="99"/>
        <v>22</v>
      </c>
      <c r="G187" s="38">
        <f t="shared" si="99"/>
        <v>10</v>
      </c>
      <c r="H187" s="39">
        <f t="shared" si="99"/>
        <v>2</v>
      </c>
      <c r="I187" s="40">
        <f t="shared" si="99"/>
        <v>756</v>
      </c>
      <c r="K187" s="37">
        <f t="shared" ref="K187:R187" si="100">SUM(K183:K186)</f>
        <v>10</v>
      </c>
      <c r="L187" s="38">
        <f t="shared" si="100"/>
        <v>2</v>
      </c>
      <c r="M187" s="38">
        <f t="shared" si="100"/>
        <v>0</v>
      </c>
      <c r="N187" s="38">
        <f t="shared" si="100"/>
        <v>0</v>
      </c>
      <c r="O187" s="38">
        <f t="shared" si="100"/>
        <v>0</v>
      </c>
      <c r="P187" s="38">
        <f t="shared" si="100"/>
        <v>1</v>
      </c>
      <c r="Q187" s="39">
        <f t="shared" si="100"/>
        <v>0</v>
      </c>
      <c r="R187" s="40">
        <f t="shared" si="100"/>
        <v>13</v>
      </c>
      <c r="T187" s="37">
        <f t="shared" ref="T187:AA187" si="101">SUM(T183:T186)</f>
        <v>1</v>
      </c>
      <c r="U187" s="38">
        <f t="shared" si="101"/>
        <v>0</v>
      </c>
      <c r="V187" s="38">
        <f t="shared" si="101"/>
        <v>0</v>
      </c>
      <c r="W187" s="38">
        <f t="shared" si="101"/>
        <v>0</v>
      </c>
      <c r="X187" s="38">
        <f t="shared" si="101"/>
        <v>0</v>
      </c>
      <c r="Y187" s="38">
        <f t="shared" si="101"/>
        <v>0</v>
      </c>
      <c r="Z187" s="39">
        <f t="shared" si="101"/>
        <v>0</v>
      </c>
      <c r="AA187" s="40">
        <f t="shared" si="101"/>
        <v>1</v>
      </c>
      <c r="AC187" s="40">
        <f>SUM(AC183:AC186)</f>
        <v>770</v>
      </c>
    </row>
    <row r="188" spans="1:29" ht="15.75" customHeight="1">
      <c r="A188" s="90">
        <v>0.625</v>
      </c>
      <c r="B188" s="27">
        <v>166</v>
      </c>
      <c r="C188" s="28">
        <v>37</v>
      </c>
      <c r="D188" s="28">
        <v>7</v>
      </c>
      <c r="E188" s="28">
        <v>1</v>
      </c>
      <c r="F188" s="28">
        <v>2</v>
      </c>
      <c r="G188" s="28">
        <v>0</v>
      </c>
      <c r="H188" s="29">
        <v>1</v>
      </c>
      <c r="I188" s="91">
        <f>SUM(B188:H188)</f>
        <v>214</v>
      </c>
      <c r="K188" s="27">
        <v>2</v>
      </c>
      <c r="L188" s="28">
        <v>1</v>
      </c>
      <c r="M188" s="28">
        <v>0</v>
      </c>
      <c r="N188" s="28">
        <v>0</v>
      </c>
      <c r="O188" s="28">
        <v>0</v>
      </c>
      <c r="P188" s="28">
        <v>0</v>
      </c>
      <c r="Q188" s="29">
        <v>0</v>
      </c>
      <c r="R188" s="91">
        <f>SUM(K188:Q188)</f>
        <v>3</v>
      </c>
      <c r="T188" s="27">
        <v>0</v>
      </c>
      <c r="U188" s="28">
        <v>0</v>
      </c>
      <c r="V188" s="28">
        <v>0</v>
      </c>
      <c r="W188" s="28">
        <v>0</v>
      </c>
      <c r="X188" s="28">
        <v>0</v>
      </c>
      <c r="Y188" s="28">
        <v>0</v>
      </c>
      <c r="Z188" s="29">
        <v>0</v>
      </c>
      <c r="AA188" s="91">
        <f>SUM(T188:Z188)</f>
        <v>0</v>
      </c>
      <c r="AC188" s="91">
        <f>SUM(I188+R188+AA188)</f>
        <v>217</v>
      </c>
    </row>
    <row r="189" spans="1:29" ht="15.75" customHeight="1">
      <c r="A189" s="92">
        <v>0.63541666666666663</v>
      </c>
      <c r="B189" s="30">
        <v>139</v>
      </c>
      <c r="C189" s="31">
        <v>27</v>
      </c>
      <c r="D189" s="31">
        <v>7</v>
      </c>
      <c r="E189" s="31">
        <v>0</v>
      </c>
      <c r="F189" s="31">
        <v>9</v>
      </c>
      <c r="G189" s="31">
        <v>3</v>
      </c>
      <c r="H189" s="32">
        <v>3</v>
      </c>
      <c r="I189" s="93">
        <f>SUM(B189:H189)</f>
        <v>188</v>
      </c>
      <c r="K189" s="30">
        <v>1</v>
      </c>
      <c r="L189" s="31">
        <v>2</v>
      </c>
      <c r="M189" s="31">
        <v>0</v>
      </c>
      <c r="N189" s="31">
        <v>0</v>
      </c>
      <c r="O189" s="31">
        <v>0</v>
      </c>
      <c r="P189" s="31">
        <v>0</v>
      </c>
      <c r="Q189" s="32">
        <v>0</v>
      </c>
      <c r="R189" s="93">
        <f>SUM(K189:Q189)</f>
        <v>3</v>
      </c>
      <c r="T189" s="30">
        <v>0</v>
      </c>
      <c r="U189" s="31">
        <v>0</v>
      </c>
      <c r="V189" s="31">
        <v>0</v>
      </c>
      <c r="W189" s="31">
        <v>0</v>
      </c>
      <c r="X189" s="31">
        <v>0</v>
      </c>
      <c r="Y189" s="31">
        <v>0</v>
      </c>
      <c r="Z189" s="32">
        <v>0</v>
      </c>
      <c r="AA189" s="93">
        <f>SUM(T189:Z189)</f>
        <v>0</v>
      </c>
      <c r="AC189" s="93">
        <f>SUM(I189+R189+AA189)</f>
        <v>191</v>
      </c>
    </row>
    <row r="190" spans="1:29" ht="15.75" customHeight="1">
      <c r="A190" s="92">
        <v>0.64583333333333337</v>
      </c>
      <c r="B190" s="30">
        <v>137</v>
      </c>
      <c r="C190" s="31">
        <v>21</v>
      </c>
      <c r="D190" s="31">
        <v>2</v>
      </c>
      <c r="E190" s="31">
        <v>0</v>
      </c>
      <c r="F190" s="31">
        <v>5</v>
      </c>
      <c r="G190" s="31">
        <v>3</v>
      </c>
      <c r="H190" s="32">
        <v>1</v>
      </c>
      <c r="I190" s="93">
        <f>SUM(B190:H190)</f>
        <v>169</v>
      </c>
      <c r="K190" s="30">
        <v>1</v>
      </c>
      <c r="L190" s="31">
        <v>0</v>
      </c>
      <c r="M190" s="31">
        <v>0</v>
      </c>
      <c r="N190" s="31">
        <v>0</v>
      </c>
      <c r="O190" s="31">
        <v>0</v>
      </c>
      <c r="P190" s="31">
        <v>1</v>
      </c>
      <c r="Q190" s="32">
        <v>0</v>
      </c>
      <c r="R190" s="93">
        <f>SUM(K190:Q190)</f>
        <v>2</v>
      </c>
      <c r="T190" s="30">
        <v>0</v>
      </c>
      <c r="U190" s="31">
        <v>0</v>
      </c>
      <c r="V190" s="31">
        <v>0</v>
      </c>
      <c r="W190" s="31">
        <v>0</v>
      </c>
      <c r="X190" s="31">
        <v>0</v>
      </c>
      <c r="Y190" s="31">
        <v>0</v>
      </c>
      <c r="Z190" s="32">
        <v>0</v>
      </c>
      <c r="AA190" s="93">
        <f>SUM(T190:Z190)</f>
        <v>0</v>
      </c>
      <c r="AC190" s="93">
        <f>SUM(I190+R190+AA190)</f>
        <v>171</v>
      </c>
    </row>
    <row r="191" spans="1:29" ht="15.75" customHeight="1">
      <c r="A191" s="94">
        <v>0.65625</v>
      </c>
      <c r="B191" s="33">
        <v>133</v>
      </c>
      <c r="C191" s="34">
        <v>28</v>
      </c>
      <c r="D191" s="34">
        <v>1</v>
      </c>
      <c r="E191" s="34">
        <v>0</v>
      </c>
      <c r="F191" s="34">
        <v>4</v>
      </c>
      <c r="G191" s="34">
        <v>2</v>
      </c>
      <c r="H191" s="35">
        <v>2</v>
      </c>
      <c r="I191" s="95">
        <f>SUM(B191:H191)</f>
        <v>170</v>
      </c>
      <c r="K191" s="33">
        <v>2</v>
      </c>
      <c r="L191" s="34">
        <v>0</v>
      </c>
      <c r="M191" s="34">
        <v>0</v>
      </c>
      <c r="N191" s="34">
        <v>0</v>
      </c>
      <c r="O191" s="34">
        <v>0</v>
      </c>
      <c r="P191" s="34">
        <v>0</v>
      </c>
      <c r="Q191" s="35">
        <v>0</v>
      </c>
      <c r="R191" s="95">
        <f>SUM(K191:Q191)</f>
        <v>2</v>
      </c>
      <c r="T191" s="33">
        <v>1</v>
      </c>
      <c r="U191" s="34">
        <v>0</v>
      </c>
      <c r="V191" s="34">
        <v>0</v>
      </c>
      <c r="W191" s="34">
        <v>0</v>
      </c>
      <c r="X191" s="34">
        <v>0</v>
      </c>
      <c r="Y191" s="34">
        <v>0</v>
      </c>
      <c r="Z191" s="35">
        <v>0</v>
      </c>
      <c r="AA191" s="95">
        <f>SUM(T191:Z191)</f>
        <v>1</v>
      </c>
      <c r="AC191" s="95">
        <f>SUM(I191+R191+AA191)</f>
        <v>173</v>
      </c>
    </row>
    <row r="192" spans="1:29" ht="15.75" customHeight="1">
      <c r="A192" s="40" t="s">
        <v>24</v>
      </c>
      <c r="B192" s="37">
        <f t="shared" ref="B192:I192" si="102">SUM(B188:B191)</f>
        <v>575</v>
      </c>
      <c r="C192" s="38">
        <f t="shared" si="102"/>
        <v>113</v>
      </c>
      <c r="D192" s="38">
        <f t="shared" si="102"/>
        <v>17</v>
      </c>
      <c r="E192" s="38">
        <f t="shared" si="102"/>
        <v>1</v>
      </c>
      <c r="F192" s="38">
        <f t="shared" si="102"/>
        <v>20</v>
      </c>
      <c r="G192" s="38">
        <f t="shared" si="102"/>
        <v>8</v>
      </c>
      <c r="H192" s="39">
        <f t="shared" si="102"/>
        <v>7</v>
      </c>
      <c r="I192" s="40">
        <f t="shared" si="102"/>
        <v>741</v>
      </c>
      <c r="K192" s="37">
        <f t="shared" ref="K192:R192" si="103">SUM(K188:K191)</f>
        <v>6</v>
      </c>
      <c r="L192" s="38">
        <f t="shared" si="103"/>
        <v>3</v>
      </c>
      <c r="M192" s="38">
        <f t="shared" si="103"/>
        <v>0</v>
      </c>
      <c r="N192" s="38">
        <f t="shared" si="103"/>
        <v>0</v>
      </c>
      <c r="O192" s="38">
        <f t="shared" si="103"/>
        <v>0</v>
      </c>
      <c r="P192" s="38">
        <f t="shared" si="103"/>
        <v>1</v>
      </c>
      <c r="Q192" s="39">
        <f t="shared" si="103"/>
        <v>0</v>
      </c>
      <c r="R192" s="40">
        <f t="shared" si="103"/>
        <v>10</v>
      </c>
      <c r="T192" s="37">
        <f t="shared" ref="T192:AA192" si="104">SUM(T188:T191)</f>
        <v>1</v>
      </c>
      <c r="U192" s="38">
        <f t="shared" si="104"/>
        <v>0</v>
      </c>
      <c r="V192" s="38">
        <f t="shared" si="104"/>
        <v>0</v>
      </c>
      <c r="W192" s="38">
        <f t="shared" si="104"/>
        <v>0</v>
      </c>
      <c r="X192" s="38">
        <f t="shared" si="104"/>
        <v>0</v>
      </c>
      <c r="Y192" s="38">
        <f t="shared" si="104"/>
        <v>0</v>
      </c>
      <c r="Z192" s="39">
        <f t="shared" si="104"/>
        <v>0</v>
      </c>
      <c r="AA192" s="40">
        <f t="shared" si="104"/>
        <v>1</v>
      </c>
      <c r="AC192" s="40">
        <f>SUM(AC188:AC191)</f>
        <v>752</v>
      </c>
    </row>
    <row r="193" spans="1:29" ht="15.75" customHeight="1">
      <c r="A193" s="90">
        <v>0.66666666666666663</v>
      </c>
      <c r="B193" s="27">
        <v>147</v>
      </c>
      <c r="C193" s="28">
        <v>22</v>
      </c>
      <c r="D193" s="28">
        <v>0</v>
      </c>
      <c r="E193" s="28">
        <v>1</v>
      </c>
      <c r="F193" s="28">
        <v>8</v>
      </c>
      <c r="G193" s="28">
        <v>2</v>
      </c>
      <c r="H193" s="29">
        <v>4</v>
      </c>
      <c r="I193" s="91">
        <f>SUM(B193:H193)</f>
        <v>184</v>
      </c>
      <c r="K193" s="27">
        <v>2</v>
      </c>
      <c r="L193" s="28">
        <v>0</v>
      </c>
      <c r="M193" s="28">
        <v>0</v>
      </c>
      <c r="N193" s="28">
        <v>0</v>
      </c>
      <c r="O193" s="28">
        <v>0</v>
      </c>
      <c r="P193" s="28">
        <v>0</v>
      </c>
      <c r="Q193" s="29">
        <v>1</v>
      </c>
      <c r="R193" s="91">
        <f>SUM(K193:Q193)</f>
        <v>3</v>
      </c>
      <c r="T193" s="27">
        <v>0</v>
      </c>
      <c r="U193" s="28">
        <v>0</v>
      </c>
      <c r="V193" s="28">
        <v>0</v>
      </c>
      <c r="W193" s="28">
        <v>0</v>
      </c>
      <c r="X193" s="28">
        <v>0</v>
      </c>
      <c r="Y193" s="28">
        <v>0</v>
      </c>
      <c r="Z193" s="29">
        <v>0</v>
      </c>
      <c r="AA193" s="91">
        <f>SUM(T193:Z193)</f>
        <v>0</v>
      </c>
      <c r="AC193" s="91">
        <f>SUM(I193+R193+AA193)</f>
        <v>187</v>
      </c>
    </row>
    <row r="194" spans="1:29" ht="15.75" customHeight="1">
      <c r="A194" s="92">
        <v>0.67708333333333337</v>
      </c>
      <c r="B194" s="30">
        <v>168</v>
      </c>
      <c r="C194" s="31">
        <v>35</v>
      </c>
      <c r="D194" s="31">
        <v>3</v>
      </c>
      <c r="E194" s="31">
        <v>0</v>
      </c>
      <c r="F194" s="31">
        <v>6</v>
      </c>
      <c r="G194" s="31">
        <v>5</v>
      </c>
      <c r="H194" s="32">
        <v>6</v>
      </c>
      <c r="I194" s="93">
        <f>SUM(B194:H194)</f>
        <v>223</v>
      </c>
      <c r="K194" s="30">
        <v>0</v>
      </c>
      <c r="L194" s="31">
        <v>1</v>
      </c>
      <c r="M194" s="31">
        <v>0</v>
      </c>
      <c r="N194" s="31">
        <v>0</v>
      </c>
      <c r="O194" s="31">
        <v>0</v>
      </c>
      <c r="P194" s="31">
        <v>0</v>
      </c>
      <c r="Q194" s="32">
        <v>0</v>
      </c>
      <c r="R194" s="93">
        <f>SUM(K194:Q194)</f>
        <v>1</v>
      </c>
      <c r="T194" s="30">
        <v>0</v>
      </c>
      <c r="U194" s="31">
        <v>1</v>
      </c>
      <c r="V194" s="31">
        <v>0</v>
      </c>
      <c r="W194" s="31">
        <v>0</v>
      </c>
      <c r="X194" s="31">
        <v>0</v>
      </c>
      <c r="Y194" s="31">
        <v>0</v>
      </c>
      <c r="Z194" s="32">
        <v>0</v>
      </c>
      <c r="AA194" s="93">
        <f>SUM(T194:Z194)</f>
        <v>1</v>
      </c>
      <c r="AC194" s="93">
        <f>SUM(I194+R194+AA194)</f>
        <v>225</v>
      </c>
    </row>
    <row r="195" spans="1:29" ht="15.75" customHeight="1">
      <c r="A195" s="92">
        <v>0.6875</v>
      </c>
      <c r="B195" s="30">
        <v>151</v>
      </c>
      <c r="C195" s="31">
        <v>20</v>
      </c>
      <c r="D195" s="31">
        <v>2</v>
      </c>
      <c r="E195" s="31">
        <v>0</v>
      </c>
      <c r="F195" s="31">
        <v>7</v>
      </c>
      <c r="G195" s="31">
        <v>3</v>
      </c>
      <c r="H195" s="32">
        <v>3</v>
      </c>
      <c r="I195" s="93">
        <f>SUM(B195:H195)</f>
        <v>186</v>
      </c>
      <c r="K195" s="30">
        <v>2</v>
      </c>
      <c r="L195" s="31">
        <v>0</v>
      </c>
      <c r="M195" s="31">
        <v>0</v>
      </c>
      <c r="N195" s="31">
        <v>0</v>
      </c>
      <c r="O195" s="31">
        <v>0</v>
      </c>
      <c r="P195" s="31">
        <v>0</v>
      </c>
      <c r="Q195" s="32">
        <v>0</v>
      </c>
      <c r="R195" s="93">
        <f>SUM(K195:Q195)</f>
        <v>2</v>
      </c>
      <c r="T195" s="30">
        <v>0</v>
      </c>
      <c r="U195" s="31">
        <v>0</v>
      </c>
      <c r="V195" s="31">
        <v>0</v>
      </c>
      <c r="W195" s="31">
        <v>0</v>
      </c>
      <c r="X195" s="31">
        <v>0</v>
      </c>
      <c r="Y195" s="31">
        <v>0</v>
      </c>
      <c r="Z195" s="32">
        <v>0</v>
      </c>
      <c r="AA195" s="93">
        <f>SUM(T195:Z195)</f>
        <v>0</v>
      </c>
      <c r="AC195" s="93">
        <f>SUM(I195+R195+AA195)</f>
        <v>188</v>
      </c>
    </row>
    <row r="196" spans="1:29" ht="15.75" customHeight="1">
      <c r="A196" s="94">
        <v>0.69791666666666663</v>
      </c>
      <c r="B196" s="33">
        <v>160</v>
      </c>
      <c r="C196" s="34">
        <v>22</v>
      </c>
      <c r="D196" s="34">
        <v>5</v>
      </c>
      <c r="E196" s="34">
        <v>1</v>
      </c>
      <c r="F196" s="34">
        <v>3</v>
      </c>
      <c r="G196" s="34">
        <v>8</v>
      </c>
      <c r="H196" s="35">
        <v>5</v>
      </c>
      <c r="I196" s="95">
        <f>SUM(B196:H196)</f>
        <v>204</v>
      </c>
      <c r="K196" s="33">
        <v>0</v>
      </c>
      <c r="L196" s="34">
        <v>1</v>
      </c>
      <c r="M196" s="34">
        <v>0</v>
      </c>
      <c r="N196" s="34">
        <v>0</v>
      </c>
      <c r="O196" s="34">
        <v>0</v>
      </c>
      <c r="P196" s="34">
        <v>0</v>
      </c>
      <c r="Q196" s="35">
        <v>0</v>
      </c>
      <c r="R196" s="95">
        <f>SUM(K196:Q196)</f>
        <v>1</v>
      </c>
      <c r="T196" s="33">
        <v>0</v>
      </c>
      <c r="U196" s="34">
        <v>0</v>
      </c>
      <c r="V196" s="34">
        <v>0</v>
      </c>
      <c r="W196" s="34">
        <v>0</v>
      </c>
      <c r="X196" s="34">
        <v>0</v>
      </c>
      <c r="Y196" s="34">
        <v>0</v>
      </c>
      <c r="Z196" s="35">
        <v>0</v>
      </c>
      <c r="AA196" s="95">
        <f>SUM(T196:Z196)</f>
        <v>0</v>
      </c>
      <c r="AC196" s="95">
        <f>SUM(I196+R196+AA196)</f>
        <v>205</v>
      </c>
    </row>
    <row r="197" spans="1:29" ht="15.75" customHeight="1">
      <c r="A197" s="40" t="s">
        <v>24</v>
      </c>
      <c r="B197" s="37">
        <f t="shared" ref="B197:I197" si="105">SUM(B193:B196)</f>
        <v>626</v>
      </c>
      <c r="C197" s="38">
        <f t="shared" si="105"/>
        <v>99</v>
      </c>
      <c r="D197" s="38">
        <f t="shared" si="105"/>
        <v>10</v>
      </c>
      <c r="E197" s="38">
        <f t="shared" si="105"/>
        <v>2</v>
      </c>
      <c r="F197" s="38">
        <f t="shared" si="105"/>
        <v>24</v>
      </c>
      <c r="G197" s="38">
        <f t="shared" si="105"/>
        <v>18</v>
      </c>
      <c r="H197" s="39">
        <f t="shared" si="105"/>
        <v>18</v>
      </c>
      <c r="I197" s="40">
        <f t="shared" si="105"/>
        <v>797</v>
      </c>
      <c r="K197" s="37">
        <f t="shared" ref="K197:R197" si="106">SUM(K193:K196)</f>
        <v>4</v>
      </c>
      <c r="L197" s="38">
        <f t="shared" si="106"/>
        <v>2</v>
      </c>
      <c r="M197" s="38">
        <f t="shared" si="106"/>
        <v>0</v>
      </c>
      <c r="N197" s="38">
        <f t="shared" si="106"/>
        <v>0</v>
      </c>
      <c r="O197" s="38">
        <f t="shared" si="106"/>
        <v>0</v>
      </c>
      <c r="P197" s="38">
        <f t="shared" si="106"/>
        <v>0</v>
      </c>
      <c r="Q197" s="39">
        <f t="shared" si="106"/>
        <v>1</v>
      </c>
      <c r="R197" s="40">
        <f t="shared" si="106"/>
        <v>7</v>
      </c>
      <c r="T197" s="37">
        <f t="shared" ref="T197:AA197" si="107">SUM(T193:T196)</f>
        <v>0</v>
      </c>
      <c r="U197" s="38">
        <f t="shared" si="107"/>
        <v>1</v>
      </c>
      <c r="V197" s="38">
        <f t="shared" si="107"/>
        <v>0</v>
      </c>
      <c r="W197" s="38">
        <f t="shared" si="107"/>
        <v>0</v>
      </c>
      <c r="X197" s="38">
        <f t="shared" si="107"/>
        <v>0</v>
      </c>
      <c r="Y197" s="38">
        <f t="shared" si="107"/>
        <v>0</v>
      </c>
      <c r="Z197" s="39">
        <f t="shared" si="107"/>
        <v>0</v>
      </c>
      <c r="AA197" s="40">
        <f t="shared" si="107"/>
        <v>1</v>
      </c>
      <c r="AC197" s="40">
        <f>SUM(AC193:AC196)</f>
        <v>805</v>
      </c>
    </row>
    <row r="198" spans="1:29" ht="15.75" customHeight="1">
      <c r="A198" s="90">
        <v>0.70833333333333337</v>
      </c>
      <c r="B198" s="27">
        <v>168</v>
      </c>
      <c r="C198" s="28">
        <v>9</v>
      </c>
      <c r="D198" s="28">
        <v>1</v>
      </c>
      <c r="E198" s="28">
        <v>1</v>
      </c>
      <c r="F198" s="28">
        <v>5</v>
      </c>
      <c r="G198" s="28">
        <v>5</v>
      </c>
      <c r="H198" s="29">
        <v>4</v>
      </c>
      <c r="I198" s="91">
        <f>SUM(B198:H198)</f>
        <v>193</v>
      </c>
      <c r="K198" s="27">
        <v>3</v>
      </c>
      <c r="L198" s="28">
        <v>0</v>
      </c>
      <c r="M198" s="28">
        <v>0</v>
      </c>
      <c r="N198" s="28">
        <v>0</v>
      </c>
      <c r="O198" s="28">
        <v>0</v>
      </c>
      <c r="P198" s="28">
        <v>0</v>
      </c>
      <c r="Q198" s="29">
        <v>0</v>
      </c>
      <c r="R198" s="91">
        <f>SUM(K198:Q198)</f>
        <v>3</v>
      </c>
      <c r="T198" s="27">
        <v>0</v>
      </c>
      <c r="U198" s="28">
        <v>0</v>
      </c>
      <c r="V198" s="28">
        <v>0</v>
      </c>
      <c r="W198" s="28">
        <v>0</v>
      </c>
      <c r="X198" s="28">
        <v>0</v>
      </c>
      <c r="Y198" s="28">
        <v>0</v>
      </c>
      <c r="Z198" s="29">
        <v>0</v>
      </c>
      <c r="AA198" s="91">
        <f>SUM(T198:Z198)</f>
        <v>0</v>
      </c>
      <c r="AC198" s="91">
        <f>SUM(I198+R198+AA198)</f>
        <v>196</v>
      </c>
    </row>
    <row r="199" spans="1:29" ht="15.75" customHeight="1">
      <c r="A199" s="92">
        <v>0.71875</v>
      </c>
      <c r="B199" s="30">
        <v>149</v>
      </c>
      <c r="C199" s="31">
        <v>19</v>
      </c>
      <c r="D199" s="31">
        <v>1</v>
      </c>
      <c r="E199" s="31">
        <v>0</v>
      </c>
      <c r="F199" s="31">
        <v>5</v>
      </c>
      <c r="G199" s="31">
        <v>7</v>
      </c>
      <c r="H199" s="32">
        <v>5</v>
      </c>
      <c r="I199" s="93">
        <f>SUM(B199:H199)</f>
        <v>186</v>
      </c>
      <c r="K199" s="30">
        <v>2</v>
      </c>
      <c r="L199" s="31">
        <v>1</v>
      </c>
      <c r="M199" s="31">
        <v>0</v>
      </c>
      <c r="N199" s="31">
        <v>0</v>
      </c>
      <c r="O199" s="31">
        <v>0</v>
      </c>
      <c r="P199" s="31">
        <v>0</v>
      </c>
      <c r="Q199" s="32">
        <v>1</v>
      </c>
      <c r="R199" s="93">
        <f>SUM(K199:Q199)</f>
        <v>4</v>
      </c>
      <c r="T199" s="30">
        <v>0</v>
      </c>
      <c r="U199" s="31">
        <v>0</v>
      </c>
      <c r="V199" s="31">
        <v>0</v>
      </c>
      <c r="W199" s="31">
        <v>0</v>
      </c>
      <c r="X199" s="31">
        <v>0</v>
      </c>
      <c r="Y199" s="31">
        <v>0</v>
      </c>
      <c r="Z199" s="32">
        <v>0</v>
      </c>
      <c r="AA199" s="93">
        <f>SUM(T199:Z199)</f>
        <v>0</v>
      </c>
      <c r="AC199" s="93">
        <f>SUM(I199+R199+AA199)</f>
        <v>190</v>
      </c>
    </row>
    <row r="200" spans="1:29" ht="15.75" customHeight="1">
      <c r="A200" s="92">
        <v>0.72916666666666663</v>
      </c>
      <c r="B200" s="30">
        <v>132</v>
      </c>
      <c r="C200" s="31">
        <v>13</v>
      </c>
      <c r="D200" s="31">
        <v>2</v>
      </c>
      <c r="E200" s="31">
        <v>0</v>
      </c>
      <c r="F200" s="31">
        <v>4</v>
      </c>
      <c r="G200" s="31">
        <v>12</v>
      </c>
      <c r="H200" s="32">
        <v>4</v>
      </c>
      <c r="I200" s="93">
        <f>SUM(B200:H200)</f>
        <v>167</v>
      </c>
      <c r="K200" s="30">
        <v>2</v>
      </c>
      <c r="L200" s="31">
        <v>2</v>
      </c>
      <c r="M200" s="31">
        <v>0</v>
      </c>
      <c r="N200" s="31">
        <v>0</v>
      </c>
      <c r="O200" s="31">
        <v>0</v>
      </c>
      <c r="P200" s="31">
        <v>0</v>
      </c>
      <c r="Q200" s="32">
        <v>0</v>
      </c>
      <c r="R200" s="93">
        <f>SUM(K200:Q200)</f>
        <v>4</v>
      </c>
      <c r="T200" s="30">
        <v>0</v>
      </c>
      <c r="U200" s="31">
        <v>0</v>
      </c>
      <c r="V200" s="31">
        <v>0</v>
      </c>
      <c r="W200" s="31">
        <v>0</v>
      </c>
      <c r="X200" s="31">
        <v>0</v>
      </c>
      <c r="Y200" s="31">
        <v>0</v>
      </c>
      <c r="Z200" s="32">
        <v>0</v>
      </c>
      <c r="AA200" s="93">
        <f>SUM(T200:Z200)</f>
        <v>0</v>
      </c>
      <c r="AC200" s="93">
        <f>SUM(I200+R200+AA200)</f>
        <v>171</v>
      </c>
    </row>
    <row r="201" spans="1:29" ht="15.75" customHeight="1">
      <c r="A201" s="94">
        <v>0.73958333333333337</v>
      </c>
      <c r="B201" s="33">
        <v>182</v>
      </c>
      <c r="C201" s="34">
        <v>16</v>
      </c>
      <c r="D201" s="34">
        <v>1</v>
      </c>
      <c r="E201" s="34">
        <v>1</v>
      </c>
      <c r="F201" s="34">
        <v>5</v>
      </c>
      <c r="G201" s="34">
        <v>5</v>
      </c>
      <c r="H201" s="35">
        <v>9</v>
      </c>
      <c r="I201" s="95">
        <f>SUM(B201:H201)</f>
        <v>219</v>
      </c>
      <c r="K201" s="33">
        <v>1</v>
      </c>
      <c r="L201" s="34">
        <v>0</v>
      </c>
      <c r="M201" s="34">
        <v>0</v>
      </c>
      <c r="N201" s="34">
        <v>0</v>
      </c>
      <c r="O201" s="34">
        <v>0</v>
      </c>
      <c r="P201" s="34">
        <v>0</v>
      </c>
      <c r="Q201" s="35">
        <v>0</v>
      </c>
      <c r="R201" s="95">
        <f>SUM(K201:Q201)</f>
        <v>1</v>
      </c>
      <c r="T201" s="33">
        <v>0</v>
      </c>
      <c r="U201" s="34">
        <v>0</v>
      </c>
      <c r="V201" s="34">
        <v>0</v>
      </c>
      <c r="W201" s="34">
        <v>0</v>
      </c>
      <c r="X201" s="34">
        <v>0</v>
      </c>
      <c r="Y201" s="34">
        <v>0</v>
      </c>
      <c r="Z201" s="35">
        <v>0</v>
      </c>
      <c r="AA201" s="95">
        <f>SUM(T201:Z201)</f>
        <v>0</v>
      </c>
      <c r="AC201" s="95">
        <f>SUM(I201+R201+AA201)</f>
        <v>220</v>
      </c>
    </row>
    <row r="202" spans="1:29" ht="15.75" customHeight="1">
      <c r="A202" s="40" t="s">
        <v>24</v>
      </c>
      <c r="B202" s="37">
        <f t="shared" ref="B202:I202" si="108">SUM(B198:B201)</f>
        <v>631</v>
      </c>
      <c r="C202" s="38">
        <f t="shared" si="108"/>
        <v>57</v>
      </c>
      <c r="D202" s="38">
        <f t="shared" si="108"/>
        <v>5</v>
      </c>
      <c r="E202" s="38">
        <f t="shared" si="108"/>
        <v>2</v>
      </c>
      <c r="F202" s="38">
        <f t="shared" si="108"/>
        <v>19</v>
      </c>
      <c r="G202" s="38">
        <f t="shared" si="108"/>
        <v>29</v>
      </c>
      <c r="H202" s="39">
        <f t="shared" si="108"/>
        <v>22</v>
      </c>
      <c r="I202" s="40">
        <f t="shared" si="108"/>
        <v>765</v>
      </c>
      <c r="K202" s="37">
        <f t="shared" ref="K202:R202" si="109">SUM(K198:K201)</f>
        <v>8</v>
      </c>
      <c r="L202" s="38">
        <f t="shared" si="109"/>
        <v>3</v>
      </c>
      <c r="M202" s="38">
        <f t="shared" si="109"/>
        <v>0</v>
      </c>
      <c r="N202" s="38">
        <f t="shared" si="109"/>
        <v>0</v>
      </c>
      <c r="O202" s="38">
        <f t="shared" si="109"/>
        <v>0</v>
      </c>
      <c r="P202" s="38">
        <f t="shared" si="109"/>
        <v>0</v>
      </c>
      <c r="Q202" s="39">
        <f t="shared" si="109"/>
        <v>1</v>
      </c>
      <c r="R202" s="40">
        <f t="shared" si="109"/>
        <v>12</v>
      </c>
      <c r="T202" s="37">
        <f t="shared" ref="T202:AA202" si="110">SUM(T198:T201)</f>
        <v>0</v>
      </c>
      <c r="U202" s="38">
        <f t="shared" si="110"/>
        <v>0</v>
      </c>
      <c r="V202" s="38">
        <f t="shared" si="110"/>
        <v>0</v>
      </c>
      <c r="W202" s="38">
        <f t="shared" si="110"/>
        <v>0</v>
      </c>
      <c r="X202" s="38">
        <f t="shared" si="110"/>
        <v>0</v>
      </c>
      <c r="Y202" s="38">
        <f t="shared" si="110"/>
        <v>0</v>
      </c>
      <c r="Z202" s="39">
        <f t="shared" si="110"/>
        <v>0</v>
      </c>
      <c r="AA202" s="40">
        <f t="shared" si="110"/>
        <v>0</v>
      </c>
      <c r="AC202" s="40">
        <f>SUM(AC198:AC201)</f>
        <v>777</v>
      </c>
    </row>
    <row r="203" spans="1:29" ht="15.75" customHeight="1">
      <c r="A203" s="90">
        <v>0.75</v>
      </c>
      <c r="B203" s="27">
        <v>173</v>
      </c>
      <c r="C203" s="28">
        <v>12</v>
      </c>
      <c r="D203" s="28">
        <v>0</v>
      </c>
      <c r="E203" s="28">
        <v>0</v>
      </c>
      <c r="F203" s="28">
        <v>6</v>
      </c>
      <c r="G203" s="28">
        <v>2</v>
      </c>
      <c r="H203" s="29">
        <v>3</v>
      </c>
      <c r="I203" s="91">
        <f>SUM(B203:H203)</f>
        <v>196</v>
      </c>
      <c r="K203" s="27">
        <v>2</v>
      </c>
      <c r="L203" s="28">
        <v>1</v>
      </c>
      <c r="M203" s="28">
        <v>0</v>
      </c>
      <c r="N203" s="28">
        <v>0</v>
      </c>
      <c r="O203" s="28">
        <v>0</v>
      </c>
      <c r="P203" s="28">
        <v>0</v>
      </c>
      <c r="Q203" s="29">
        <v>0</v>
      </c>
      <c r="R203" s="91">
        <f>SUM(K203:Q203)</f>
        <v>3</v>
      </c>
      <c r="T203" s="27">
        <v>0</v>
      </c>
      <c r="U203" s="28">
        <v>0</v>
      </c>
      <c r="V203" s="28">
        <v>0</v>
      </c>
      <c r="W203" s="28">
        <v>0</v>
      </c>
      <c r="X203" s="28">
        <v>0</v>
      </c>
      <c r="Y203" s="28">
        <v>0</v>
      </c>
      <c r="Z203" s="29">
        <v>0</v>
      </c>
      <c r="AA203" s="91">
        <f>SUM(T203:Z203)</f>
        <v>0</v>
      </c>
      <c r="AC203" s="91">
        <f>SUM(I203+R203+AA203)</f>
        <v>199</v>
      </c>
    </row>
    <row r="204" spans="1:29" ht="15.75" customHeight="1">
      <c r="A204" s="92">
        <v>0.76041666666666663</v>
      </c>
      <c r="B204" s="30">
        <v>180</v>
      </c>
      <c r="C204" s="31">
        <v>11</v>
      </c>
      <c r="D204" s="31">
        <v>0</v>
      </c>
      <c r="E204" s="31">
        <v>1</v>
      </c>
      <c r="F204" s="31">
        <v>7</v>
      </c>
      <c r="G204" s="31">
        <v>3</v>
      </c>
      <c r="H204" s="32">
        <v>2</v>
      </c>
      <c r="I204" s="93">
        <f>SUM(B204:H204)</f>
        <v>204</v>
      </c>
      <c r="K204" s="30">
        <v>3</v>
      </c>
      <c r="L204" s="31">
        <v>0</v>
      </c>
      <c r="M204" s="31">
        <v>0</v>
      </c>
      <c r="N204" s="31">
        <v>0</v>
      </c>
      <c r="O204" s="31">
        <v>0</v>
      </c>
      <c r="P204" s="31">
        <v>0</v>
      </c>
      <c r="Q204" s="32">
        <v>0</v>
      </c>
      <c r="R204" s="93">
        <f>SUM(K204:Q204)</f>
        <v>3</v>
      </c>
      <c r="T204" s="30">
        <v>0</v>
      </c>
      <c r="U204" s="31">
        <v>0</v>
      </c>
      <c r="V204" s="31">
        <v>0</v>
      </c>
      <c r="W204" s="31">
        <v>0</v>
      </c>
      <c r="X204" s="31">
        <v>0</v>
      </c>
      <c r="Y204" s="31">
        <v>0</v>
      </c>
      <c r="Z204" s="32">
        <v>0</v>
      </c>
      <c r="AA204" s="93">
        <f>SUM(T204:Z204)</f>
        <v>0</v>
      </c>
      <c r="AC204" s="93">
        <f>SUM(I204+R204+AA204)</f>
        <v>207</v>
      </c>
    </row>
    <row r="205" spans="1:29" ht="15.75" customHeight="1">
      <c r="A205" s="92">
        <v>0.77083333333333337</v>
      </c>
      <c r="B205" s="30">
        <v>155</v>
      </c>
      <c r="C205" s="31">
        <v>9</v>
      </c>
      <c r="D205" s="31">
        <v>0</v>
      </c>
      <c r="E205" s="31">
        <v>1</v>
      </c>
      <c r="F205" s="31">
        <v>6</v>
      </c>
      <c r="G205" s="31">
        <v>2</v>
      </c>
      <c r="H205" s="32">
        <v>2</v>
      </c>
      <c r="I205" s="93">
        <f>SUM(B205:H205)</f>
        <v>175</v>
      </c>
      <c r="K205" s="30">
        <v>3</v>
      </c>
      <c r="L205" s="31">
        <v>0</v>
      </c>
      <c r="M205" s="31">
        <v>0</v>
      </c>
      <c r="N205" s="31">
        <v>0</v>
      </c>
      <c r="O205" s="31">
        <v>0</v>
      </c>
      <c r="P205" s="31">
        <v>0</v>
      </c>
      <c r="Q205" s="32">
        <v>1</v>
      </c>
      <c r="R205" s="93">
        <f>SUM(K205:Q205)</f>
        <v>4</v>
      </c>
      <c r="T205" s="30">
        <v>0</v>
      </c>
      <c r="U205" s="31">
        <v>0</v>
      </c>
      <c r="V205" s="31">
        <v>0</v>
      </c>
      <c r="W205" s="31">
        <v>0</v>
      </c>
      <c r="X205" s="31">
        <v>0</v>
      </c>
      <c r="Y205" s="31">
        <v>0</v>
      </c>
      <c r="Z205" s="32">
        <v>0</v>
      </c>
      <c r="AA205" s="93">
        <f>SUM(T205:Z205)</f>
        <v>0</v>
      </c>
      <c r="AC205" s="93">
        <f>SUM(I205+R205+AA205)</f>
        <v>179</v>
      </c>
    </row>
    <row r="206" spans="1:29" ht="15.75" customHeight="1">
      <c r="A206" s="94">
        <v>0.78125</v>
      </c>
      <c r="B206" s="33">
        <v>152</v>
      </c>
      <c r="C206" s="34">
        <v>9</v>
      </c>
      <c r="D206" s="34">
        <v>0</v>
      </c>
      <c r="E206" s="34">
        <v>0</v>
      </c>
      <c r="F206" s="34">
        <v>4</v>
      </c>
      <c r="G206" s="34">
        <v>2</v>
      </c>
      <c r="H206" s="35">
        <v>6</v>
      </c>
      <c r="I206" s="95">
        <f>SUM(B206:H206)</f>
        <v>173</v>
      </c>
      <c r="K206" s="33">
        <v>4</v>
      </c>
      <c r="L206" s="34">
        <v>0</v>
      </c>
      <c r="M206" s="34">
        <v>0</v>
      </c>
      <c r="N206" s="34">
        <v>0</v>
      </c>
      <c r="O206" s="34">
        <v>0</v>
      </c>
      <c r="P206" s="34">
        <v>0</v>
      </c>
      <c r="Q206" s="35">
        <v>1</v>
      </c>
      <c r="R206" s="95">
        <f>SUM(K206:Q206)</f>
        <v>5</v>
      </c>
      <c r="T206" s="33">
        <v>0</v>
      </c>
      <c r="U206" s="34">
        <v>0</v>
      </c>
      <c r="V206" s="34">
        <v>0</v>
      </c>
      <c r="W206" s="34">
        <v>0</v>
      </c>
      <c r="X206" s="34">
        <v>0</v>
      </c>
      <c r="Y206" s="34">
        <v>0</v>
      </c>
      <c r="Z206" s="35">
        <v>0</v>
      </c>
      <c r="AA206" s="95">
        <f>SUM(T206:Z206)</f>
        <v>0</v>
      </c>
      <c r="AC206" s="95">
        <f>SUM(I206+R206+AA206)</f>
        <v>178</v>
      </c>
    </row>
    <row r="207" spans="1:29" ht="15.75" customHeight="1">
      <c r="A207" s="40" t="s">
        <v>24</v>
      </c>
      <c r="B207" s="37">
        <f t="shared" ref="B207:I207" si="111">SUM(B203:B206)</f>
        <v>660</v>
      </c>
      <c r="C207" s="38">
        <f t="shared" si="111"/>
        <v>41</v>
      </c>
      <c r="D207" s="38">
        <f t="shared" si="111"/>
        <v>0</v>
      </c>
      <c r="E207" s="38">
        <f t="shared" si="111"/>
        <v>2</v>
      </c>
      <c r="F207" s="38">
        <f t="shared" si="111"/>
        <v>23</v>
      </c>
      <c r="G207" s="38">
        <f t="shared" si="111"/>
        <v>9</v>
      </c>
      <c r="H207" s="39">
        <f t="shared" si="111"/>
        <v>13</v>
      </c>
      <c r="I207" s="40">
        <f t="shared" si="111"/>
        <v>748</v>
      </c>
      <c r="K207" s="37">
        <f t="shared" ref="K207:R207" si="112">SUM(K203:K206)</f>
        <v>12</v>
      </c>
      <c r="L207" s="38">
        <f t="shared" si="112"/>
        <v>1</v>
      </c>
      <c r="M207" s="38">
        <f t="shared" si="112"/>
        <v>0</v>
      </c>
      <c r="N207" s="38">
        <f t="shared" si="112"/>
        <v>0</v>
      </c>
      <c r="O207" s="38">
        <f t="shared" si="112"/>
        <v>0</v>
      </c>
      <c r="P207" s="38">
        <f t="shared" si="112"/>
        <v>0</v>
      </c>
      <c r="Q207" s="39">
        <f t="shared" si="112"/>
        <v>2</v>
      </c>
      <c r="R207" s="40">
        <f t="shared" si="112"/>
        <v>15</v>
      </c>
      <c r="T207" s="37">
        <f t="shared" ref="T207:AA207" si="113">SUM(T203:T206)</f>
        <v>0</v>
      </c>
      <c r="U207" s="38">
        <f t="shared" si="113"/>
        <v>0</v>
      </c>
      <c r="V207" s="38">
        <f t="shared" si="113"/>
        <v>0</v>
      </c>
      <c r="W207" s="38">
        <f t="shared" si="113"/>
        <v>0</v>
      </c>
      <c r="X207" s="38">
        <f t="shared" si="113"/>
        <v>0</v>
      </c>
      <c r="Y207" s="38">
        <f t="shared" si="113"/>
        <v>0</v>
      </c>
      <c r="Z207" s="39">
        <f t="shared" si="113"/>
        <v>0</v>
      </c>
      <c r="AA207" s="40">
        <f t="shared" si="113"/>
        <v>0</v>
      </c>
      <c r="AC207" s="40">
        <f>SUM(AC203:AC206)</f>
        <v>763</v>
      </c>
    </row>
    <row r="209" spans="1:29" ht="15.75" customHeight="1">
      <c r="A209" s="40" t="s">
        <v>31</v>
      </c>
      <c r="B209" s="37">
        <f t="shared" ref="B209:I209" si="114">SUM(B207+B202+B197+B192+B187+B182+B177+B172+B167+B162+B157+B152)</f>
        <v>6701</v>
      </c>
      <c r="C209" s="38">
        <f t="shared" si="114"/>
        <v>1027</v>
      </c>
      <c r="D209" s="38">
        <f t="shared" si="114"/>
        <v>162</v>
      </c>
      <c r="E209" s="38">
        <f t="shared" si="114"/>
        <v>70</v>
      </c>
      <c r="F209" s="38">
        <f t="shared" si="114"/>
        <v>258</v>
      </c>
      <c r="G209" s="38">
        <f t="shared" si="114"/>
        <v>116</v>
      </c>
      <c r="H209" s="39">
        <f t="shared" si="114"/>
        <v>127</v>
      </c>
      <c r="I209" s="40">
        <f t="shared" si="114"/>
        <v>8461</v>
      </c>
      <c r="K209" s="37">
        <f t="shared" ref="K209:R209" si="115">SUM(K207+K202+K197+K192+K187+K182+K177+K172+K167+K162+K157+K152)</f>
        <v>70</v>
      </c>
      <c r="L209" s="38">
        <f t="shared" si="115"/>
        <v>23</v>
      </c>
      <c r="M209" s="38">
        <f t="shared" si="115"/>
        <v>0</v>
      </c>
      <c r="N209" s="38">
        <f t="shared" si="115"/>
        <v>0</v>
      </c>
      <c r="O209" s="38">
        <f t="shared" si="115"/>
        <v>0</v>
      </c>
      <c r="P209" s="38">
        <f t="shared" si="115"/>
        <v>2</v>
      </c>
      <c r="Q209" s="39">
        <f t="shared" si="115"/>
        <v>8</v>
      </c>
      <c r="R209" s="40">
        <f t="shared" si="115"/>
        <v>103</v>
      </c>
      <c r="T209" s="37">
        <f t="shared" ref="T209:AA209" si="116">SUM(T207+T202+T197+T192+T187+T182+T177+T172+T167+T162+T157+T152)</f>
        <v>2</v>
      </c>
      <c r="U209" s="38">
        <f t="shared" si="116"/>
        <v>2</v>
      </c>
      <c r="V209" s="38">
        <f t="shared" si="116"/>
        <v>0</v>
      </c>
      <c r="W209" s="38">
        <f t="shared" si="116"/>
        <v>0</v>
      </c>
      <c r="X209" s="38">
        <f t="shared" si="116"/>
        <v>0</v>
      </c>
      <c r="Y209" s="38">
        <f t="shared" si="116"/>
        <v>0</v>
      </c>
      <c r="Z209" s="39">
        <f t="shared" si="116"/>
        <v>0</v>
      </c>
      <c r="AA209" s="40">
        <f t="shared" si="116"/>
        <v>4</v>
      </c>
      <c r="AC209" s="40">
        <f>SUM(AC207+AC202+AC197+AC192+AC187+AC182+AC177+AC172+AC167+AC162+AC157+AC152)</f>
        <v>8568</v>
      </c>
    </row>
    <row r="210" spans="1:29" s="88" customFormat="1" ht="15.75" customHeight="1">
      <c r="A210" s="88" t="s">
        <v>51</v>
      </c>
      <c r="I210" s="88">
        <f>SUM(B148:H151,B153:H156,B158:H161,B163:H166,B168:H171,B173:H176,B178:H181,B183:H186,B188:H191,B193:H196,B198:H201,B203:H206)</f>
        <v>8461</v>
      </c>
      <c r="R210" s="88">
        <f>SUM(K148:Q151,K153:Q156,K158:Q161,K163:Q166,K168:Q171,K173:Q176,K178:Q181,K183:Q186,K188:Q191,K193:Q196,K198:Q201,K203:Q206)</f>
        <v>103</v>
      </c>
      <c r="AA210" s="88">
        <f>SUM(T148:Z151,T153:Z156,T158:Z161,T163:Z166,T168:Z171,T173:Z176,T178:Z181,T183:Z186,T188:Z191,T193:Z196,T198:Z201,T203:Z206)</f>
        <v>4</v>
      </c>
      <c r="AC210" s="88">
        <f>SUM(B210:AA210)</f>
        <v>8568</v>
      </c>
    </row>
    <row r="212" spans="1:29" ht="15.75" customHeight="1">
      <c r="A212" s="36" t="s">
        <v>25</v>
      </c>
    </row>
    <row r="213" spans="1:29" ht="15.75" customHeight="1">
      <c r="B213" s="37" t="s">
        <v>26</v>
      </c>
      <c r="C213" s="38"/>
      <c r="D213" s="38" t="str">
        <f>$D$9</f>
        <v>A - Fishponds Road (E)</v>
      </c>
      <c r="E213" s="38"/>
      <c r="F213" s="38"/>
      <c r="G213" s="38"/>
      <c r="H213" s="39"/>
      <c r="I213" s="40"/>
      <c r="K213" s="37" t="s">
        <v>26</v>
      </c>
      <c r="L213" s="38"/>
      <c r="M213" s="38" t="str">
        <f>$M$9</f>
        <v xml:space="preserve">B - Drummond Road </v>
      </c>
      <c r="N213" s="38"/>
      <c r="O213" s="38"/>
      <c r="P213" s="38"/>
      <c r="Q213" s="39"/>
      <c r="R213" s="40"/>
      <c r="T213" s="37" t="s">
        <v>26</v>
      </c>
      <c r="U213" s="38"/>
      <c r="V213" s="38" t="str">
        <f>$V$9</f>
        <v>C - Fishponds Road (W)</v>
      </c>
      <c r="W213" s="38"/>
      <c r="X213" s="38"/>
      <c r="Y213" s="38"/>
      <c r="Z213" s="39"/>
      <c r="AA213" s="40"/>
      <c r="AC213" s="105" t="s">
        <v>27</v>
      </c>
    </row>
    <row r="214" spans="1:29" s="41" customFormat="1" ht="15.75" customHeight="1">
      <c r="B214" s="42" t="str">
        <f>$B$10</f>
        <v>CAR</v>
      </c>
      <c r="C214" s="43" t="str">
        <f>$C$10</f>
        <v>LGV</v>
      </c>
      <c r="D214" s="43" t="str">
        <f>$D$10</f>
        <v>OGV1</v>
      </c>
      <c r="E214" s="43" t="str">
        <f>$E$10</f>
        <v>OGV2</v>
      </c>
      <c r="F214" s="43" t="str">
        <f>$F$10</f>
        <v>PSV</v>
      </c>
      <c r="G214" s="43" t="str">
        <f>$G$10</f>
        <v>MC</v>
      </c>
      <c r="H214" s="44" t="str">
        <f>$H$10</f>
        <v>PC</v>
      </c>
      <c r="I214" s="89" t="s">
        <v>22</v>
      </c>
      <c r="K214" s="42" t="str">
        <f>$B$10</f>
        <v>CAR</v>
      </c>
      <c r="L214" s="43" t="str">
        <f>$C$10</f>
        <v>LGV</v>
      </c>
      <c r="M214" s="43" t="str">
        <f>$D$10</f>
        <v>OGV1</v>
      </c>
      <c r="N214" s="43" t="str">
        <f>$E$10</f>
        <v>OGV2</v>
      </c>
      <c r="O214" s="43" t="str">
        <f>$F$10</f>
        <v>PSV</v>
      </c>
      <c r="P214" s="43" t="str">
        <f>$G$10</f>
        <v>MC</v>
      </c>
      <c r="Q214" s="44" t="str">
        <f>$H$10</f>
        <v>PC</v>
      </c>
      <c r="R214" s="89" t="s">
        <v>22</v>
      </c>
      <c r="T214" s="42" t="str">
        <f>$B$10</f>
        <v>CAR</v>
      </c>
      <c r="U214" s="43" t="str">
        <f>$C$10</f>
        <v>LGV</v>
      </c>
      <c r="V214" s="43" t="str">
        <f>$D$10</f>
        <v>OGV1</v>
      </c>
      <c r="W214" s="43" t="str">
        <f>$E$10</f>
        <v>OGV2</v>
      </c>
      <c r="X214" s="43" t="str">
        <f>$F$10</f>
        <v>PSV</v>
      </c>
      <c r="Y214" s="43" t="str">
        <f>$G$10</f>
        <v>MC</v>
      </c>
      <c r="Z214" s="44" t="str">
        <f>$H$10</f>
        <v>PC</v>
      </c>
      <c r="AA214" s="89" t="s">
        <v>22</v>
      </c>
      <c r="AC214" s="106"/>
    </row>
    <row r="216" spans="1:29" ht="15.75" customHeight="1">
      <c r="A216" s="90">
        <v>0.29166666666666669</v>
      </c>
      <c r="B216" s="27">
        <f t="shared" ref="B216:H219" si="117">SUM(B12+K12+T12)</f>
        <v>163</v>
      </c>
      <c r="C216" s="28">
        <f t="shared" si="117"/>
        <v>32</v>
      </c>
      <c r="D216" s="28">
        <f t="shared" si="117"/>
        <v>3</v>
      </c>
      <c r="E216" s="28">
        <f t="shared" si="117"/>
        <v>0</v>
      </c>
      <c r="F216" s="28">
        <f t="shared" si="117"/>
        <v>4</v>
      </c>
      <c r="G216" s="28">
        <f t="shared" si="117"/>
        <v>6</v>
      </c>
      <c r="H216" s="29">
        <f t="shared" si="117"/>
        <v>4</v>
      </c>
      <c r="I216" s="91">
        <f>SUM(B216:H216)</f>
        <v>212</v>
      </c>
      <c r="K216" s="27">
        <f t="shared" ref="K216:Q219" si="118">SUM(B80+K80+T80)</f>
        <v>4</v>
      </c>
      <c r="L216" s="28">
        <f t="shared" si="118"/>
        <v>1</v>
      </c>
      <c r="M216" s="28">
        <f t="shared" si="118"/>
        <v>0</v>
      </c>
      <c r="N216" s="28">
        <f t="shared" si="118"/>
        <v>0</v>
      </c>
      <c r="O216" s="28">
        <f t="shared" si="118"/>
        <v>0</v>
      </c>
      <c r="P216" s="28">
        <f t="shared" si="118"/>
        <v>0</v>
      </c>
      <c r="Q216" s="29">
        <f t="shared" si="118"/>
        <v>0</v>
      </c>
      <c r="R216" s="91">
        <f>SUM(K216:Q216)</f>
        <v>5</v>
      </c>
      <c r="T216" s="27">
        <f t="shared" ref="T216:Z219" si="119">SUM(B148+K148+T148)</f>
        <v>92</v>
      </c>
      <c r="U216" s="28">
        <f t="shared" si="119"/>
        <v>17</v>
      </c>
      <c r="V216" s="28">
        <f t="shared" si="119"/>
        <v>1</v>
      </c>
      <c r="W216" s="28">
        <f t="shared" si="119"/>
        <v>5</v>
      </c>
      <c r="X216" s="28">
        <f t="shared" si="119"/>
        <v>4</v>
      </c>
      <c r="Y216" s="28">
        <f t="shared" si="119"/>
        <v>2</v>
      </c>
      <c r="Z216" s="29">
        <f t="shared" si="119"/>
        <v>2</v>
      </c>
      <c r="AA216" s="91">
        <f>SUM(T216:Z216)</f>
        <v>123</v>
      </c>
      <c r="AC216" s="91">
        <f>SUM(I216+R216+AA216)</f>
        <v>340</v>
      </c>
    </row>
    <row r="217" spans="1:29" ht="15.75" customHeight="1">
      <c r="A217" s="92">
        <v>0.30208333333333331</v>
      </c>
      <c r="B217" s="30">
        <f t="shared" si="117"/>
        <v>153</v>
      </c>
      <c r="C217" s="31">
        <f t="shared" si="117"/>
        <v>31</v>
      </c>
      <c r="D217" s="31">
        <f t="shared" si="117"/>
        <v>2</v>
      </c>
      <c r="E217" s="31">
        <f t="shared" si="117"/>
        <v>0</v>
      </c>
      <c r="F217" s="31">
        <f t="shared" si="117"/>
        <v>4</v>
      </c>
      <c r="G217" s="31">
        <f t="shared" si="117"/>
        <v>7</v>
      </c>
      <c r="H217" s="32">
        <f t="shared" si="117"/>
        <v>3</v>
      </c>
      <c r="I217" s="93">
        <f>SUM(B217:H217)</f>
        <v>200</v>
      </c>
      <c r="K217" s="30">
        <f t="shared" si="118"/>
        <v>5</v>
      </c>
      <c r="L217" s="31">
        <f t="shared" si="118"/>
        <v>1</v>
      </c>
      <c r="M217" s="31">
        <f t="shared" si="118"/>
        <v>0</v>
      </c>
      <c r="N217" s="31">
        <f t="shared" si="118"/>
        <v>0</v>
      </c>
      <c r="O217" s="31">
        <f t="shared" si="118"/>
        <v>0</v>
      </c>
      <c r="P217" s="31">
        <f t="shared" si="118"/>
        <v>0</v>
      </c>
      <c r="Q217" s="32">
        <f t="shared" si="118"/>
        <v>0</v>
      </c>
      <c r="R217" s="93">
        <f>SUM(K217:Q217)</f>
        <v>6</v>
      </c>
      <c r="T217" s="30">
        <f t="shared" si="119"/>
        <v>107</v>
      </c>
      <c r="U217" s="31">
        <f t="shared" si="119"/>
        <v>14</v>
      </c>
      <c r="V217" s="31">
        <f t="shared" si="119"/>
        <v>2</v>
      </c>
      <c r="W217" s="31">
        <f t="shared" si="119"/>
        <v>2</v>
      </c>
      <c r="X217" s="31">
        <f t="shared" si="119"/>
        <v>4</v>
      </c>
      <c r="Y217" s="31">
        <f t="shared" si="119"/>
        <v>5</v>
      </c>
      <c r="Z217" s="32">
        <f t="shared" si="119"/>
        <v>3</v>
      </c>
      <c r="AA217" s="93">
        <f>SUM(T217:Z217)</f>
        <v>137</v>
      </c>
      <c r="AC217" s="93">
        <f>SUM(I217+R217+AA217)</f>
        <v>343</v>
      </c>
    </row>
    <row r="218" spans="1:29" ht="15.75" customHeight="1">
      <c r="A218" s="92">
        <v>0.3125</v>
      </c>
      <c r="B218" s="30">
        <f t="shared" si="117"/>
        <v>100</v>
      </c>
      <c r="C218" s="31">
        <f t="shared" si="117"/>
        <v>20</v>
      </c>
      <c r="D218" s="31">
        <f t="shared" si="117"/>
        <v>4</v>
      </c>
      <c r="E218" s="31">
        <f t="shared" si="117"/>
        <v>0</v>
      </c>
      <c r="F218" s="31">
        <f t="shared" si="117"/>
        <v>7</v>
      </c>
      <c r="G218" s="31">
        <f t="shared" si="117"/>
        <v>8</v>
      </c>
      <c r="H218" s="32">
        <f t="shared" si="117"/>
        <v>5</v>
      </c>
      <c r="I218" s="93">
        <f>SUM(B218:H218)</f>
        <v>144</v>
      </c>
      <c r="K218" s="30">
        <f t="shared" si="118"/>
        <v>4</v>
      </c>
      <c r="L218" s="31">
        <f t="shared" si="118"/>
        <v>0</v>
      </c>
      <c r="M218" s="31">
        <f t="shared" si="118"/>
        <v>0</v>
      </c>
      <c r="N218" s="31">
        <f t="shared" si="118"/>
        <v>0</v>
      </c>
      <c r="O218" s="31">
        <f t="shared" si="118"/>
        <v>0</v>
      </c>
      <c r="P218" s="31">
        <f t="shared" si="118"/>
        <v>0</v>
      </c>
      <c r="Q218" s="32">
        <f t="shared" si="118"/>
        <v>1</v>
      </c>
      <c r="R218" s="93">
        <f>SUM(K218:Q218)</f>
        <v>5</v>
      </c>
      <c r="T218" s="30">
        <f t="shared" si="119"/>
        <v>128</v>
      </c>
      <c r="U218" s="31">
        <f t="shared" si="119"/>
        <v>13</v>
      </c>
      <c r="V218" s="31">
        <f t="shared" si="119"/>
        <v>3</v>
      </c>
      <c r="W218" s="31">
        <f t="shared" si="119"/>
        <v>0</v>
      </c>
      <c r="X218" s="31">
        <f t="shared" si="119"/>
        <v>2</v>
      </c>
      <c r="Y218" s="31">
        <f t="shared" si="119"/>
        <v>1</v>
      </c>
      <c r="Z218" s="32">
        <f t="shared" si="119"/>
        <v>1</v>
      </c>
      <c r="AA218" s="93">
        <f>SUM(T218:Z218)</f>
        <v>148</v>
      </c>
      <c r="AC218" s="93">
        <f>SUM(I218+R218+AA218)</f>
        <v>297</v>
      </c>
    </row>
    <row r="219" spans="1:29" ht="15.75" customHeight="1">
      <c r="A219" s="94">
        <v>0.32291666666666669</v>
      </c>
      <c r="B219" s="33">
        <f t="shared" si="117"/>
        <v>85</v>
      </c>
      <c r="C219" s="34">
        <f t="shared" si="117"/>
        <v>17</v>
      </c>
      <c r="D219" s="34">
        <f t="shared" si="117"/>
        <v>3</v>
      </c>
      <c r="E219" s="34">
        <f t="shared" si="117"/>
        <v>0</v>
      </c>
      <c r="F219" s="34">
        <f t="shared" si="117"/>
        <v>3</v>
      </c>
      <c r="G219" s="34">
        <f t="shared" si="117"/>
        <v>13</v>
      </c>
      <c r="H219" s="35">
        <f t="shared" si="117"/>
        <v>10</v>
      </c>
      <c r="I219" s="95">
        <f>SUM(B219:H219)</f>
        <v>131</v>
      </c>
      <c r="K219" s="33">
        <f t="shared" si="118"/>
        <v>3</v>
      </c>
      <c r="L219" s="34">
        <f t="shared" si="118"/>
        <v>0</v>
      </c>
      <c r="M219" s="34">
        <f t="shared" si="118"/>
        <v>0</v>
      </c>
      <c r="N219" s="34">
        <f t="shared" si="118"/>
        <v>0</v>
      </c>
      <c r="O219" s="34">
        <f t="shared" si="118"/>
        <v>0</v>
      </c>
      <c r="P219" s="34">
        <f t="shared" si="118"/>
        <v>0</v>
      </c>
      <c r="Q219" s="35">
        <f t="shared" si="118"/>
        <v>0</v>
      </c>
      <c r="R219" s="95">
        <f>SUM(K219:Q219)</f>
        <v>3</v>
      </c>
      <c r="T219" s="33">
        <f t="shared" si="119"/>
        <v>148</v>
      </c>
      <c r="U219" s="34">
        <f t="shared" si="119"/>
        <v>19</v>
      </c>
      <c r="V219" s="34">
        <f t="shared" si="119"/>
        <v>2</v>
      </c>
      <c r="W219" s="34">
        <f t="shared" si="119"/>
        <v>3</v>
      </c>
      <c r="X219" s="34">
        <f t="shared" si="119"/>
        <v>4</v>
      </c>
      <c r="Y219" s="34">
        <f t="shared" si="119"/>
        <v>5</v>
      </c>
      <c r="Z219" s="35">
        <f t="shared" si="119"/>
        <v>4</v>
      </c>
      <c r="AA219" s="95">
        <f>SUM(T219:Z219)</f>
        <v>185</v>
      </c>
      <c r="AC219" s="95">
        <f>SUM(I219+R219+AA219)</f>
        <v>319</v>
      </c>
    </row>
    <row r="220" spans="1:29" ht="15.75" customHeight="1">
      <c r="A220" s="40" t="s">
        <v>24</v>
      </c>
      <c r="B220" s="37">
        <f t="shared" ref="B220:I220" si="120">SUM(B216:B219)</f>
        <v>501</v>
      </c>
      <c r="C220" s="38">
        <f t="shared" si="120"/>
        <v>100</v>
      </c>
      <c r="D220" s="38">
        <f t="shared" si="120"/>
        <v>12</v>
      </c>
      <c r="E220" s="38">
        <f t="shared" si="120"/>
        <v>0</v>
      </c>
      <c r="F220" s="38">
        <f t="shared" si="120"/>
        <v>18</v>
      </c>
      <c r="G220" s="38">
        <f t="shared" si="120"/>
        <v>34</v>
      </c>
      <c r="H220" s="39">
        <f t="shared" si="120"/>
        <v>22</v>
      </c>
      <c r="I220" s="40">
        <f t="shared" si="120"/>
        <v>687</v>
      </c>
      <c r="K220" s="37">
        <f t="shared" ref="K220:R220" si="121">SUM(K216:K219)</f>
        <v>16</v>
      </c>
      <c r="L220" s="38">
        <f t="shared" si="121"/>
        <v>2</v>
      </c>
      <c r="M220" s="38">
        <f t="shared" si="121"/>
        <v>0</v>
      </c>
      <c r="N220" s="38">
        <f t="shared" si="121"/>
        <v>0</v>
      </c>
      <c r="O220" s="38">
        <f t="shared" si="121"/>
        <v>0</v>
      </c>
      <c r="P220" s="38">
        <f t="shared" si="121"/>
        <v>0</v>
      </c>
      <c r="Q220" s="39">
        <f t="shared" si="121"/>
        <v>1</v>
      </c>
      <c r="R220" s="40">
        <f t="shared" si="121"/>
        <v>19</v>
      </c>
      <c r="T220" s="37">
        <f t="shared" ref="T220:AA220" si="122">SUM(T216:T219)</f>
        <v>475</v>
      </c>
      <c r="U220" s="38">
        <f t="shared" si="122"/>
        <v>63</v>
      </c>
      <c r="V220" s="38">
        <f t="shared" si="122"/>
        <v>8</v>
      </c>
      <c r="W220" s="38">
        <f t="shared" si="122"/>
        <v>10</v>
      </c>
      <c r="X220" s="38">
        <f t="shared" si="122"/>
        <v>14</v>
      </c>
      <c r="Y220" s="38">
        <f t="shared" si="122"/>
        <v>13</v>
      </c>
      <c r="Z220" s="39">
        <f t="shared" si="122"/>
        <v>10</v>
      </c>
      <c r="AA220" s="40">
        <f t="shared" si="122"/>
        <v>593</v>
      </c>
      <c r="AC220" s="40">
        <f>SUM(AC216:AC219)</f>
        <v>1299</v>
      </c>
    </row>
    <row r="221" spans="1:29" ht="15.75" customHeight="1">
      <c r="A221" s="90">
        <v>0.33333333333333331</v>
      </c>
      <c r="B221" s="27">
        <f t="shared" ref="B221:H224" si="123">SUM(B17+K17+T17)</f>
        <v>83</v>
      </c>
      <c r="C221" s="28">
        <f t="shared" si="123"/>
        <v>14</v>
      </c>
      <c r="D221" s="28">
        <f t="shared" si="123"/>
        <v>1</v>
      </c>
      <c r="E221" s="28">
        <f t="shared" si="123"/>
        <v>2</v>
      </c>
      <c r="F221" s="28">
        <f t="shared" si="123"/>
        <v>8</v>
      </c>
      <c r="G221" s="28">
        <f t="shared" si="123"/>
        <v>10</v>
      </c>
      <c r="H221" s="29">
        <f t="shared" si="123"/>
        <v>6</v>
      </c>
      <c r="I221" s="91">
        <f>SUM(B221:H221)</f>
        <v>124</v>
      </c>
      <c r="K221" s="27">
        <f t="shared" ref="K221:Q224" si="124">SUM(B85+K85+T85)</f>
        <v>5</v>
      </c>
      <c r="L221" s="28">
        <f t="shared" si="124"/>
        <v>1</v>
      </c>
      <c r="M221" s="28">
        <f t="shared" si="124"/>
        <v>0</v>
      </c>
      <c r="N221" s="28">
        <f t="shared" si="124"/>
        <v>0</v>
      </c>
      <c r="O221" s="28">
        <f t="shared" si="124"/>
        <v>0</v>
      </c>
      <c r="P221" s="28">
        <f t="shared" si="124"/>
        <v>0</v>
      </c>
      <c r="Q221" s="29">
        <f t="shared" si="124"/>
        <v>1</v>
      </c>
      <c r="R221" s="91">
        <f>SUM(K221:Q221)</f>
        <v>7</v>
      </c>
      <c r="T221" s="27">
        <f t="shared" ref="T221:Z224" si="125">SUM(B153+K153+T153)</f>
        <v>165</v>
      </c>
      <c r="U221" s="28">
        <f t="shared" si="125"/>
        <v>29</v>
      </c>
      <c r="V221" s="28">
        <f t="shared" si="125"/>
        <v>1</v>
      </c>
      <c r="W221" s="28">
        <f t="shared" si="125"/>
        <v>2</v>
      </c>
      <c r="X221" s="28">
        <f t="shared" si="125"/>
        <v>5</v>
      </c>
      <c r="Y221" s="28">
        <f t="shared" si="125"/>
        <v>2</v>
      </c>
      <c r="Z221" s="29">
        <f t="shared" si="125"/>
        <v>3</v>
      </c>
      <c r="AA221" s="91">
        <f>SUM(T221:Z221)</f>
        <v>207</v>
      </c>
      <c r="AC221" s="91">
        <f>SUM(I221+R221+AA221)</f>
        <v>338</v>
      </c>
    </row>
    <row r="222" spans="1:29" ht="15.75" customHeight="1">
      <c r="A222" s="92">
        <v>0.34375</v>
      </c>
      <c r="B222" s="30">
        <f t="shared" si="123"/>
        <v>60</v>
      </c>
      <c r="C222" s="31">
        <f t="shared" si="123"/>
        <v>16</v>
      </c>
      <c r="D222" s="31">
        <f t="shared" si="123"/>
        <v>0</v>
      </c>
      <c r="E222" s="31">
        <f t="shared" si="123"/>
        <v>1</v>
      </c>
      <c r="F222" s="31">
        <f t="shared" si="123"/>
        <v>2</v>
      </c>
      <c r="G222" s="31">
        <f t="shared" si="123"/>
        <v>10</v>
      </c>
      <c r="H222" s="32">
        <f t="shared" si="123"/>
        <v>11</v>
      </c>
      <c r="I222" s="93">
        <f>SUM(B222:H222)</f>
        <v>100</v>
      </c>
      <c r="K222" s="30">
        <f t="shared" si="124"/>
        <v>6</v>
      </c>
      <c r="L222" s="31">
        <f t="shared" si="124"/>
        <v>0</v>
      </c>
      <c r="M222" s="31">
        <f t="shared" si="124"/>
        <v>0</v>
      </c>
      <c r="N222" s="31">
        <f t="shared" si="124"/>
        <v>0</v>
      </c>
      <c r="O222" s="31">
        <f t="shared" si="124"/>
        <v>0</v>
      </c>
      <c r="P222" s="31">
        <f t="shared" si="124"/>
        <v>0</v>
      </c>
      <c r="Q222" s="32">
        <f t="shared" si="124"/>
        <v>0</v>
      </c>
      <c r="R222" s="93">
        <f>SUM(K222:Q222)</f>
        <v>6</v>
      </c>
      <c r="T222" s="30">
        <f t="shared" si="125"/>
        <v>161</v>
      </c>
      <c r="U222" s="31">
        <f t="shared" si="125"/>
        <v>19</v>
      </c>
      <c r="V222" s="31">
        <f t="shared" si="125"/>
        <v>4</v>
      </c>
      <c r="W222" s="31">
        <f t="shared" si="125"/>
        <v>4</v>
      </c>
      <c r="X222" s="31">
        <f t="shared" si="125"/>
        <v>3</v>
      </c>
      <c r="Y222" s="31">
        <f t="shared" si="125"/>
        <v>3</v>
      </c>
      <c r="Z222" s="32">
        <f t="shared" si="125"/>
        <v>7</v>
      </c>
      <c r="AA222" s="93">
        <f>SUM(T222:Z222)</f>
        <v>201</v>
      </c>
      <c r="AC222" s="93">
        <f>SUM(I222+R222+AA222)</f>
        <v>307</v>
      </c>
    </row>
    <row r="223" spans="1:29" ht="15.75" customHeight="1">
      <c r="A223" s="92">
        <v>0.35416666666666669</v>
      </c>
      <c r="B223" s="30">
        <f t="shared" si="123"/>
        <v>93</v>
      </c>
      <c r="C223" s="31">
        <f t="shared" si="123"/>
        <v>16</v>
      </c>
      <c r="D223" s="31">
        <f t="shared" si="123"/>
        <v>1</v>
      </c>
      <c r="E223" s="31">
        <f t="shared" si="123"/>
        <v>3</v>
      </c>
      <c r="F223" s="31">
        <f t="shared" si="123"/>
        <v>1</v>
      </c>
      <c r="G223" s="31">
        <f t="shared" si="123"/>
        <v>14</v>
      </c>
      <c r="H223" s="32">
        <f t="shared" si="123"/>
        <v>6</v>
      </c>
      <c r="I223" s="93">
        <f>SUM(B223:H223)</f>
        <v>134</v>
      </c>
      <c r="K223" s="30">
        <f t="shared" si="124"/>
        <v>7</v>
      </c>
      <c r="L223" s="31">
        <f t="shared" si="124"/>
        <v>2</v>
      </c>
      <c r="M223" s="31">
        <f t="shared" si="124"/>
        <v>0</v>
      </c>
      <c r="N223" s="31">
        <f t="shared" si="124"/>
        <v>0</v>
      </c>
      <c r="O223" s="31">
        <f t="shared" si="124"/>
        <v>0</v>
      </c>
      <c r="P223" s="31">
        <f t="shared" si="124"/>
        <v>0</v>
      </c>
      <c r="Q223" s="32">
        <f t="shared" si="124"/>
        <v>2</v>
      </c>
      <c r="R223" s="93">
        <f>SUM(K223:Q223)</f>
        <v>11</v>
      </c>
      <c r="T223" s="30">
        <f t="shared" si="125"/>
        <v>142</v>
      </c>
      <c r="U223" s="31">
        <f t="shared" si="125"/>
        <v>15</v>
      </c>
      <c r="V223" s="31">
        <f t="shared" si="125"/>
        <v>2</v>
      </c>
      <c r="W223" s="31">
        <f t="shared" si="125"/>
        <v>0</v>
      </c>
      <c r="X223" s="31">
        <f t="shared" si="125"/>
        <v>5</v>
      </c>
      <c r="Y223" s="31">
        <f t="shared" si="125"/>
        <v>0</v>
      </c>
      <c r="Z223" s="32">
        <f t="shared" si="125"/>
        <v>2</v>
      </c>
      <c r="AA223" s="93">
        <f>SUM(T223:Z223)</f>
        <v>166</v>
      </c>
      <c r="AC223" s="93">
        <f>SUM(I223+R223+AA223)</f>
        <v>311</v>
      </c>
    </row>
    <row r="224" spans="1:29" ht="15.75" customHeight="1">
      <c r="A224" s="94">
        <v>0.36458333333333331</v>
      </c>
      <c r="B224" s="33">
        <f t="shared" si="123"/>
        <v>140</v>
      </c>
      <c r="C224" s="34">
        <f t="shared" si="123"/>
        <v>22</v>
      </c>
      <c r="D224" s="34">
        <f t="shared" si="123"/>
        <v>3</v>
      </c>
      <c r="E224" s="34">
        <f t="shared" si="123"/>
        <v>4</v>
      </c>
      <c r="F224" s="34">
        <f t="shared" si="123"/>
        <v>9</v>
      </c>
      <c r="G224" s="34">
        <f t="shared" si="123"/>
        <v>9</v>
      </c>
      <c r="H224" s="35">
        <f t="shared" si="123"/>
        <v>11</v>
      </c>
      <c r="I224" s="95">
        <f>SUM(B224:H224)</f>
        <v>198</v>
      </c>
      <c r="K224" s="33">
        <f t="shared" si="124"/>
        <v>2</v>
      </c>
      <c r="L224" s="34">
        <f t="shared" si="124"/>
        <v>0</v>
      </c>
      <c r="M224" s="34">
        <f t="shared" si="124"/>
        <v>0</v>
      </c>
      <c r="N224" s="34">
        <f t="shared" si="124"/>
        <v>0</v>
      </c>
      <c r="O224" s="34">
        <f t="shared" si="124"/>
        <v>0</v>
      </c>
      <c r="P224" s="34">
        <f t="shared" si="124"/>
        <v>0</v>
      </c>
      <c r="Q224" s="35">
        <f t="shared" si="124"/>
        <v>1</v>
      </c>
      <c r="R224" s="95">
        <f>SUM(K224:Q224)</f>
        <v>3</v>
      </c>
      <c r="T224" s="33">
        <f t="shared" si="125"/>
        <v>139</v>
      </c>
      <c r="U224" s="34">
        <f t="shared" si="125"/>
        <v>27</v>
      </c>
      <c r="V224" s="34">
        <f t="shared" si="125"/>
        <v>1</v>
      </c>
      <c r="W224" s="34">
        <f t="shared" si="125"/>
        <v>2</v>
      </c>
      <c r="X224" s="34">
        <f t="shared" si="125"/>
        <v>7</v>
      </c>
      <c r="Y224" s="34">
        <f t="shared" si="125"/>
        <v>2</v>
      </c>
      <c r="Z224" s="35">
        <f t="shared" si="125"/>
        <v>11</v>
      </c>
      <c r="AA224" s="95">
        <f>SUM(T224:Z224)</f>
        <v>189</v>
      </c>
      <c r="AC224" s="95">
        <f>SUM(I224+R224+AA224)</f>
        <v>390</v>
      </c>
    </row>
    <row r="225" spans="1:29" ht="15.75" customHeight="1">
      <c r="A225" s="40" t="s">
        <v>24</v>
      </c>
      <c r="B225" s="37">
        <f t="shared" ref="B225:I225" si="126">SUM(B221:B224)</f>
        <v>376</v>
      </c>
      <c r="C225" s="38">
        <f t="shared" si="126"/>
        <v>68</v>
      </c>
      <c r="D225" s="38">
        <f t="shared" si="126"/>
        <v>5</v>
      </c>
      <c r="E225" s="38">
        <f t="shared" si="126"/>
        <v>10</v>
      </c>
      <c r="F225" s="38">
        <f t="shared" si="126"/>
        <v>20</v>
      </c>
      <c r="G225" s="38">
        <f t="shared" si="126"/>
        <v>43</v>
      </c>
      <c r="H225" s="39">
        <f t="shared" si="126"/>
        <v>34</v>
      </c>
      <c r="I225" s="40">
        <f t="shared" si="126"/>
        <v>556</v>
      </c>
      <c r="K225" s="37">
        <f t="shared" ref="K225:R225" si="127">SUM(K221:K224)</f>
        <v>20</v>
      </c>
      <c r="L225" s="38">
        <f t="shared" si="127"/>
        <v>3</v>
      </c>
      <c r="M225" s="38">
        <f t="shared" si="127"/>
        <v>0</v>
      </c>
      <c r="N225" s="38">
        <f t="shared" si="127"/>
        <v>0</v>
      </c>
      <c r="O225" s="38">
        <f t="shared" si="127"/>
        <v>0</v>
      </c>
      <c r="P225" s="38">
        <f t="shared" si="127"/>
        <v>0</v>
      </c>
      <c r="Q225" s="39">
        <f t="shared" si="127"/>
        <v>4</v>
      </c>
      <c r="R225" s="40">
        <f t="shared" si="127"/>
        <v>27</v>
      </c>
      <c r="T225" s="37">
        <f t="shared" ref="T225:AA225" si="128">SUM(T221:T224)</f>
        <v>607</v>
      </c>
      <c r="U225" s="38">
        <f t="shared" si="128"/>
        <v>90</v>
      </c>
      <c r="V225" s="38">
        <f t="shared" si="128"/>
        <v>8</v>
      </c>
      <c r="W225" s="38">
        <f t="shared" si="128"/>
        <v>8</v>
      </c>
      <c r="X225" s="38">
        <f t="shared" si="128"/>
        <v>20</v>
      </c>
      <c r="Y225" s="38">
        <f t="shared" si="128"/>
        <v>7</v>
      </c>
      <c r="Z225" s="39">
        <f t="shared" si="128"/>
        <v>23</v>
      </c>
      <c r="AA225" s="40">
        <f t="shared" si="128"/>
        <v>763</v>
      </c>
      <c r="AC225" s="40">
        <f>SUM(AC221:AC224)</f>
        <v>1346</v>
      </c>
    </row>
    <row r="226" spans="1:29" ht="15.75" customHeight="1">
      <c r="A226" s="90">
        <v>0.375</v>
      </c>
      <c r="B226" s="27">
        <f t="shared" ref="B226:H229" si="129">SUM(B22+K22+T22)</f>
        <v>155</v>
      </c>
      <c r="C226" s="28">
        <f t="shared" si="129"/>
        <v>16</v>
      </c>
      <c r="D226" s="28">
        <f t="shared" si="129"/>
        <v>2</v>
      </c>
      <c r="E226" s="28">
        <f t="shared" si="129"/>
        <v>1</v>
      </c>
      <c r="F226" s="28">
        <f t="shared" si="129"/>
        <v>4</v>
      </c>
      <c r="G226" s="28">
        <f t="shared" si="129"/>
        <v>5</v>
      </c>
      <c r="H226" s="29">
        <f t="shared" si="129"/>
        <v>3</v>
      </c>
      <c r="I226" s="91">
        <f>SUM(B226:H226)</f>
        <v>186</v>
      </c>
      <c r="K226" s="27">
        <f t="shared" ref="K226:Q229" si="130">SUM(B90+K90+T90)</f>
        <v>5</v>
      </c>
      <c r="L226" s="28">
        <f t="shared" si="130"/>
        <v>2</v>
      </c>
      <c r="M226" s="28">
        <f t="shared" si="130"/>
        <v>0</v>
      </c>
      <c r="N226" s="28">
        <f t="shared" si="130"/>
        <v>0</v>
      </c>
      <c r="O226" s="28">
        <f t="shared" si="130"/>
        <v>0</v>
      </c>
      <c r="P226" s="28">
        <f t="shared" si="130"/>
        <v>0</v>
      </c>
      <c r="Q226" s="29">
        <f t="shared" si="130"/>
        <v>0</v>
      </c>
      <c r="R226" s="91">
        <f>SUM(K226:Q226)</f>
        <v>7</v>
      </c>
      <c r="T226" s="27">
        <f t="shared" ref="T226:Z229" si="131">SUM(B158+K158+T158)</f>
        <v>139</v>
      </c>
      <c r="U226" s="28">
        <f t="shared" si="131"/>
        <v>26</v>
      </c>
      <c r="V226" s="28">
        <f t="shared" si="131"/>
        <v>3</v>
      </c>
      <c r="W226" s="28">
        <f t="shared" si="131"/>
        <v>3</v>
      </c>
      <c r="X226" s="28">
        <f t="shared" si="131"/>
        <v>6</v>
      </c>
      <c r="Y226" s="28">
        <f t="shared" si="131"/>
        <v>0</v>
      </c>
      <c r="Z226" s="29">
        <f t="shared" si="131"/>
        <v>4</v>
      </c>
      <c r="AA226" s="91">
        <f>SUM(T226:Z226)</f>
        <v>181</v>
      </c>
      <c r="AC226" s="91">
        <f>SUM(I226+R226+AA226)</f>
        <v>374</v>
      </c>
    </row>
    <row r="227" spans="1:29" ht="15.75" customHeight="1">
      <c r="A227" s="92">
        <v>0.38541666666666669</v>
      </c>
      <c r="B227" s="30">
        <f t="shared" si="129"/>
        <v>160</v>
      </c>
      <c r="C227" s="31">
        <f t="shared" si="129"/>
        <v>25</v>
      </c>
      <c r="D227" s="31">
        <f t="shared" si="129"/>
        <v>1</v>
      </c>
      <c r="E227" s="31">
        <f t="shared" si="129"/>
        <v>1</v>
      </c>
      <c r="F227" s="31">
        <f t="shared" si="129"/>
        <v>3</v>
      </c>
      <c r="G227" s="31">
        <f t="shared" si="129"/>
        <v>2</v>
      </c>
      <c r="H227" s="32">
        <f t="shared" si="129"/>
        <v>5</v>
      </c>
      <c r="I227" s="93">
        <f>SUM(B227:H227)</f>
        <v>197</v>
      </c>
      <c r="K227" s="30">
        <f t="shared" si="130"/>
        <v>1</v>
      </c>
      <c r="L227" s="31">
        <f t="shared" si="130"/>
        <v>0</v>
      </c>
      <c r="M227" s="31">
        <f t="shared" si="130"/>
        <v>0</v>
      </c>
      <c r="N227" s="31">
        <f t="shared" si="130"/>
        <v>0</v>
      </c>
      <c r="O227" s="31">
        <f t="shared" si="130"/>
        <v>0</v>
      </c>
      <c r="P227" s="31">
        <f t="shared" si="130"/>
        <v>0</v>
      </c>
      <c r="Q227" s="32">
        <f t="shared" si="130"/>
        <v>0</v>
      </c>
      <c r="R227" s="93">
        <f>SUM(K227:Q227)</f>
        <v>1</v>
      </c>
      <c r="T227" s="30">
        <f t="shared" si="131"/>
        <v>125</v>
      </c>
      <c r="U227" s="31">
        <f t="shared" si="131"/>
        <v>20</v>
      </c>
      <c r="V227" s="31">
        <f t="shared" si="131"/>
        <v>2</v>
      </c>
      <c r="W227" s="31">
        <f t="shared" si="131"/>
        <v>4</v>
      </c>
      <c r="X227" s="31">
        <f t="shared" si="131"/>
        <v>4</v>
      </c>
      <c r="Y227" s="31">
        <f t="shared" si="131"/>
        <v>1</v>
      </c>
      <c r="Z227" s="32">
        <f t="shared" si="131"/>
        <v>1</v>
      </c>
      <c r="AA227" s="93">
        <f>SUM(T227:Z227)</f>
        <v>157</v>
      </c>
      <c r="AC227" s="93">
        <f>SUM(I227+R227+AA227)</f>
        <v>355</v>
      </c>
    </row>
    <row r="228" spans="1:29" ht="15.75" customHeight="1">
      <c r="A228" s="92">
        <v>0.39583333333333331</v>
      </c>
      <c r="B228" s="30">
        <f t="shared" si="129"/>
        <v>122</v>
      </c>
      <c r="C228" s="31">
        <f t="shared" si="129"/>
        <v>30</v>
      </c>
      <c r="D228" s="31">
        <f t="shared" si="129"/>
        <v>1</v>
      </c>
      <c r="E228" s="31">
        <f t="shared" si="129"/>
        <v>4</v>
      </c>
      <c r="F228" s="31">
        <f t="shared" si="129"/>
        <v>12</v>
      </c>
      <c r="G228" s="31">
        <f t="shared" si="129"/>
        <v>4</v>
      </c>
      <c r="H228" s="32">
        <f t="shared" si="129"/>
        <v>2</v>
      </c>
      <c r="I228" s="93">
        <f>SUM(B228:H228)</f>
        <v>175</v>
      </c>
      <c r="K228" s="30">
        <f t="shared" si="130"/>
        <v>2</v>
      </c>
      <c r="L228" s="31">
        <f t="shared" si="130"/>
        <v>2</v>
      </c>
      <c r="M228" s="31">
        <f t="shared" si="130"/>
        <v>0</v>
      </c>
      <c r="N228" s="31">
        <f t="shared" si="130"/>
        <v>0</v>
      </c>
      <c r="O228" s="31">
        <f t="shared" si="130"/>
        <v>0</v>
      </c>
      <c r="P228" s="31">
        <f t="shared" si="130"/>
        <v>0</v>
      </c>
      <c r="Q228" s="32">
        <f t="shared" si="130"/>
        <v>0</v>
      </c>
      <c r="R228" s="93">
        <f>SUM(K228:Q228)</f>
        <v>4</v>
      </c>
      <c r="T228" s="30">
        <f t="shared" si="131"/>
        <v>113</v>
      </c>
      <c r="U228" s="31">
        <f t="shared" si="131"/>
        <v>19</v>
      </c>
      <c r="V228" s="31">
        <f t="shared" si="131"/>
        <v>5</v>
      </c>
      <c r="W228" s="31">
        <f t="shared" si="131"/>
        <v>2</v>
      </c>
      <c r="X228" s="31">
        <f t="shared" si="131"/>
        <v>8</v>
      </c>
      <c r="Y228" s="31">
        <f t="shared" si="131"/>
        <v>2</v>
      </c>
      <c r="Z228" s="32">
        <f t="shared" si="131"/>
        <v>5</v>
      </c>
      <c r="AA228" s="93">
        <f>SUM(T228:Z228)</f>
        <v>154</v>
      </c>
      <c r="AC228" s="93">
        <f>SUM(I228+R228+AA228)</f>
        <v>333</v>
      </c>
    </row>
    <row r="229" spans="1:29" ht="15.75" customHeight="1">
      <c r="A229" s="94">
        <v>0.40625</v>
      </c>
      <c r="B229" s="33">
        <f t="shared" si="129"/>
        <v>130</v>
      </c>
      <c r="C229" s="34">
        <f t="shared" si="129"/>
        <v>27</v>
      </c>
      <c r="D229" s="34">
        <f t="shared" si="129"/>
        <v>1</v>
      </c>
      <c r="E229" s="34">
        <f t="shared" si="129"/>
        <v>2</v>
      </c>
      <c r="F229" s="34">
        <f t="shared" si="129"/>
        <v>6</v>
      </c>
      <c r="G229" s="34">
        <f t="shared" si="129"/>
        <v>2</v>
      </c>
      <c r="H229" s="35">
        <f t="shared" si="129"/>
        <v>5</v>
      </c>
      <c r="I229" s="95">
        <f>SUM(B229:H229)</f>
        <v>173</v>
      </c>
      <c r="K229" s="33">
        <f t="shared" si="130"/>
        <v>2</v>
      </c>
      <c r="L229" s="34">
        <f t="shared" si="130"/>
        <v>1</v>
      </c>
      <c r="M229" s="34">
        <f t="shared" si="130"/>
        <v>0</v>
      </c>
      <c r="N229" s="34">
        <f t="shared" si="130"/>
        <v>0</v>
      </c>
      <c r="O229" s="34">
        <f t="shared" si="130"/>
        <v>0</v>
      </c>
      <c r="P229" s="34">
        <f t="shared" si="130"/>
        <v>0</v>
      </c>
      <c r="Q229" s="35">
        <f t="shared" si="130"/>
        <v>0</v>
      </c>
      <c r="R229" s="95">
        <f>SUM(K229:Q229)</f>
        <v>3</v>
      </c>
      <c r="T229" s="33">
        <f t="shared" si="131"/>
        <v>115</v>
      </c>
      <c r="U229" s="34">
        <f t="shared" si="131"/>
        <v>18</v>
      </c>
      <c r="V229" s="34">
        <f t="shared" si="131"/>
        <v>4</v>
      </c>
      <c r="W229" s="34">
        <f t="shared" si="131"/>
        <v>1</v>
      </c>
      <c r="X229" s="34">
        <f t="shared" si="131"/>
        <v>6</v>
      </c>
      <c r="Y229" s="34">
        <f t="shared" si="131"/>
        <v>0</v>
      </c>
      <c r="Z229" s="35">
        <f t="shared" si="131"/>
        <v>1</v>
      </c>
      <c r="AA229" s="95">
        <f>SUM(T229:Z229)</f>
        <v>145</v>
      </c>
      <c r="AC229" s="95">
        <f>SUM(I229+R229+AA229)</f>
        <v>321</v>
      </c>
    </row>
    <row r="230" spans="1:29" ht="15.75" customHeight="1">
      <c r="A230" s="40" t="s">
        <v>24</v>
      </c>
      <c r="B230" s="37">
        <f t="shared" ref="B230:I230" si="132">SUM(B226:B229)</f>
        <v>567</v>
      </c>
      <c r="C230" s="38">
        <f t="shared" si="132"/>
        <v>98</v>
      </c>
      <c r="D230" s="38">
        <f t="shared" si="132"/>
        <v>5</v>
      </c>
      <c r="E230" s="38">
        <f t="shared" si="132"/>
        <v>8</v>
      </c>
      <c r="F230" s="38">
        <f t="shared" si="132"/>
        <v>25</v>
      </c>
      <c r="G230" s="38">
        <f t="shared" si="132"/>
        <v>13</v>
      </c>
      <c r="H230" s="39">
        <f t="shared" si="132"/>
        <v>15</v>
      </c>
      <c r="I230" s="40">
        <f t="shared" si="132"/>
        <v>731</v>
      </c>
      <c r="K230" s="37">
        <f t="shared" ref="K230:R230" si="133">SUM(K226:K229)</f>
        <v>10</v>
      </c>
      <c r="L230" s="38">
        <f t="shared" si="133"/>
        <v>5</v>
      </c>
      <c r="M230" s="38">
        <f t="shared" si="133"/>
        <v>0</v>
      </c>
      <c r="N230" s="38">
        <f t="shared" si="133"/>
        <v>0</v>
      </c>
      <c r="O230" s="38">
        <f t="shared" si="133"/>
        <v>0</v>
      </c>
      <c r="P230" s="38">
        <f t="shared" si="133"/>
        <v>0</v>
      </c>
      <c r="Q230" s="39">
        <f t="shared" si="133"/>
        <v>0</v>
      </c>
      <c r="R230" s="40">
        <f t="shared" si="133"/>
        <v>15</v>
      </c>
      <c r="T230" s="37">
        <f t="shared" ref="T230:AA230" si="134">SUM(T226:T229)</f>
        <v>492</v>
      </c>
      <c r="U230" s="38">
        <f t="shared" si="134"/>
        <v>83</v>
      </c>
      <c r="V230" s="38">
        <f t="shared" si="134"/>
        <v>14</v>
      </c>
      <c r="W230" s="38">
        <f t="shared" si="134"/>
        <v>10</v>
      </c>
      <c r="X230" s="38">
        <f t="shared" si="134"/>
        <v>24</v>
      </c>
      <c r="Y230" s="38">
        <f t="shared" si="134"/>
        <v>3</v>
      </c>
      <c r="Z230" s="39">
        <f t="shared" si="134"/>
        <v>11</v>
      </c>
      <c r="AA230" s="40">
        <f t="shared" si="134"/>
        <v>637</v>
      </c>
      <c r="AC230" s="40">
        <f>SUM(AC226:AC229)</f>
        <v>1383</v>
      </c>
    </row>
    <row r="231" spans="1:29" ht="15.75" customHeight="1">
      <c r="A231" s="90">
        <v>0.41666666666666669</v>
      </c>
      <c r="B231" s="27">
        <f t="shared" ref="B231:H234" si="135">SUM(B27+K27+T27)</f>
        <v>131</v>
      </c>
      <c r="C231" s="28">
        <f t="shared" si="135"/>
        <v>26</v>
      </c>
      <c r="D231" s="28">
        <f t="shared" si="135"/>
        <v>6</v>
      </c>
      <c r="E231" s="28">
        <f t="shared" si="135"/>
        <v>2</v>
      </c>
      <c r="F231" s="28">
        <f t="shared" si="135"/>
        <v>2</v>
      </c>
      <c r="G231" s="28">
        <f t="shared" si="135"/>
        <v>1</v>
      </c>
      <c r="H231" s="29">
        <f t="shared" si="135"/>
        <v>2</v>
      </c>
      <c r="I231" s="91">
        <f>SUM(B231:H231)</f>
        <v>170</v>
      </c>
      <c r="K231" s="27">
        <f t="shared" ref="K231:Q234" si="136">SUM(B95+K95+T95)</f>
        <v>1</v>
      </c>
      <c r="L231" s="28">
        <f t="shared" si="136"/>
        <v>0</v>
      </c>
      <c r="M231" s="28">
        <f t="shared" si="136"/>
        <v>0</v>
      </c>
      <c r="N231" s="28">
        <f t="shared" si="136"/>
        <v>0</v>
      </c>
      <c r="O231" s="28">
        <f t="shared" si="136"/>
        <v>0</v>
      </c>
      <c r="P231" s="28">
        <f t="shared" si="136"/>
        <v>0</v>
      </c>
      <c r="Q231" s="29">
        <f t="shared" si="136"/>
        <v>0</v>
      </c>
      <c r="R231" s="91">
        <f>SUM(K231:Q231)</f>
        <v>1</v>
      </c>
      <c r="T231" s="27">
        <f t="shared" ref="T231:Z234" si="137">SUM(B163+K163+T163)</f>
        <v>122</v>
      </c>
      <c r="U231" s="28">
        <f t="shared" si="137"/>
        <v>35</v>
      </c>
      <c r="V231" s="28">
        <f t="shared" si="137"/>
        <v>4</v>
      </c>
      <c r="W231" s="28">
        <f t="shared" si="137"/>
        <v>4</v>
      </c>
      <c r="X231" s="28">
        <f t="shared" si="137"/>
        <v>4</v>
      </c>
      <c r="Y231" s="28">
        <f t="shared" si="137"/>
        <v>3</v>
      </c>
      <c r="Z231" s="29">
        <f t="shared" si="137"/>
        <v>3</v>
      </c>
      <c r="AA231" s="91">
        <f>SUM(T231:Z231)</f>
        <v>175</v>
      </c>
      <c r="AC231" s="91">
        <f>SUM(I231+R231+AA231)</f>
        <v>346</v>
      </c>
    </row>
    <row r="232" spans="1:29" ht="15.75" customHeight="1">
      <c r="A232" s="92">
        <v>0.42708333333333331</v>
      </c>
      <c r="B232" s="30">
        <f t="shared" si="135"/>
        <v>119</v>
      </c>
      <c r="C232" s="31">
        <f t="shared" si="135"/>
        <v>21</v>
      </c>
      <c r="D232" s="31">
        <f t="shared" si="135"/>
        <v>4</v>
      </c>
      <c r="E232" s="31">
        <f t="shared" si="135"/>
        <v>3</v>
      </c>
      <c r="F232" s="31">
        <f t="shared" si="135"/>
        <v>11</v>
      </c>
      <c r="G232" s="31">
        <f t="shared" si="135"/>
        <v>3</v>
      </c>
      <c r="H232" s="32">
        <f t="shared" si="135"/>
        <v>3</v>
      </c>
      <c r="I232" s="93">
        <f>SUM(B232:H232)</f>
        <v>164</v>
      </c>
      <c r="K232" s="30">
        <f t="shared" si="136"/>
        <v>3</v>
      </c>
      <c r="L232" s="31">
        <f t="shared" si="136"/>
        <v>3</v>
      </c>
      <c r="M232" s="31">
        <f t="shared" si="136"/>
        <v>0</v>
      </c>
      <c r="N232" s="31">
        <f t="shared" si="136"/>
        <v>0</v>
      </c>
      <c r="O232" s="31">
        <f t="shared" si="136"/>
        <v>0</v>
      </c>
      <c r="P232" s="31">
        <f t="shared" si="136"/>
        <v>0</v>
      </c>
      <c r="Q232" s="32">
        <f t="shared" si="136"/>
        <v>0</v>
      </c>
      <c r="R232" s="93">
        <f>SUM(K232:Q232)</f>
        <v>6</v>
      </c>
      <c r="T232" s="30">
        <f t="shared" si="137"/>
        <v>111</v>
      </c>
      <c r="U232" s="31">
        <f t="shared" si="137"/>
        <v>27</v>
      </c>
      <c r="V232" s="31">
        <f t="shared" si="137"/>
        <v>8</v>
      </c>
      <c r="W232" s="31">
        <f t="shared" si="137"/>
        <v>2</v>
      </c>
      <c r="X232" s="31">
        <f t="shared" si="137"/>
        <v>7</v>
      </c>
      <c r="Y232" s="31">
        <f t="shared" si="137"/>
        <v>0</v>
      </c>
      <c r="Z232" s="32">
        <f t="shared" si="137"/>
        <v>1</v>
      </c>
      <c r="AA232" s="93">
        <f>SUM(T232:Z232)</f>
        <v>156</v>
      </c>
      <c r="AC232" s="93">
        <f>SUM(I232+R232+AA232)</f>
        <v>326</v>
      </c>
    </row>
    <row r="233" spans="1:29" ht="15.75" customHeight="1">
      <c r="A233" s="92">
        <v>0.4375</v>
      </c>
      <c r="B233" s="30">
        <f t="shared" si="135"/>
        <v>107</v>
      </c>
      <c r="C233" s="31">
        <f t="shared" si="135"/>
        <v>23</v>
      </c>
      <c r="D233" s="31">
        <f t="shared" si="135"/>
        <v>3</v>
      </c>
      <c r="E233" s="31">
        <f t="shared" si="135"/>
        <v>5</v>
      </c>
      <c r="F233" s="31">
        <f t="shared" si="135"/>
        <v>5</v>
      </c>
      <c r="G233" s="31">
        <f t="shared" si="135"/>
        <v>2</v>
      </c>
      <c r="H233" s="32">
        <f t="shared" si="135"/>
        <v>1</v>
      </c>
      <c r="I233" s="93">
        <f>SUM(B233:H233)</f>
        <v>146</v>
      </c>
      <c r="K233" s="30">
        <f t="shared" si="136"/>
        <v>4</v>
      </c>
      <c r="L233" s="31">
        <f t="shared" si="136"/>
        <v>2</v>
      </c>
      <c r="M233" s="31">
        <f t="shared" si="136"/>
        <v>0</v>
      </c>
      <c r="N233" s="31">
        <f t="shared" si="136"/>
        <v>0</v>
      </c>
      <c r="O233" s="31">
        <f t="shared" si="136"/>
        <v>0</v>
      </c>
      <c r="P233" s="31">
        <f t="shared" si="136"/>
        <v>0</v>
      </c>
      <c r="Q233" s="32">
        <f t="shared" si="136"/>
        <v>0</v>
      </c>
      <c r="R233" s="93">
        <f>SUM(K233:Q233)</f>
        <v>6</v>
      </c>
      <c r="T233" s="30">
        <f t="shared" si="137"/>
        <v>124</v>
      </c>
      <c r="U233" s="31">
        <f t="shared" si="137"/>
        <v>25</v>
      </c>
      <c r="V233" s="31">
        <f t="shared" si="137"/>
        <v>5</v>
      </c>
      <c r="W233" s="31">
        <f t="shared" si="137"/>
        <v>0</v>
      </c>
      <c r="X233" s="31">
        <f t="shared" si="137"/>
        <v>4</v>
      </c>
      <c r="Y233" s="31">
        <f t="shared" si="137"/>
        <v>0</v>
      </c>
      <c r="Z233" s="32">
        <f t="shared" si="137"/>
        <v>0</v>
      </c>
      <c r="AA233" s="93">
        <f>SUM(T233:Z233)</f>
        <v>158</v>
      </c>
      <c r="AC233" s="93">
        <f>SUM(I233+R233+AA233)</f>
        <v>310</v>
      </c>
    </row>
    <row r="234" spans="1:29" ht="15.75" customHeight="1">
      <c r="A234" s="94">
        <v>0.44791666666666669</v>
      </c>
      <c r="B234" s="33">
        <f t="shared" si="135"/>
        <v>117</v>
      </c>
      <c r="C234" s="34">
        <f t="shared" si="135"/>
        <v>22</v>
      </c>
      <c r="D234" s="34">
        <f t="shared" si="135"/>
        <v>8</v>
      </c>
      <c r="E234" s="34">
        <f t="shared" si="135"/>
        <v>2</v>
      </c>
      <c r="F234" s="34">
        <f t="shared" si="135"/>
        <v>5</v>
      </c>
      <c r="G234" s="34">
        <f t="shared" si="135"/>
        <v>2</v>
      </c>
      <c r="H234" s="35">
        <f t="shared" si="135"/>
        <v>2</v>
      </c>
      <c r="I234" s="95">
        <f>SUM(B234:H234)</f>
        <v>158</v>
      </c>
      <c r="K234" s="33">
        <f t="shared" si="136"/>
        <v>2</v>
      </c>
      <c r="L234" s="34">
        <f t="shared" si="136"/>
        <v>1</v>
      </c>
      <c r="M234" s="34">
        <f t="shared" si="136"/>
        <v>0</v>
      </c>
      <c r="N234" s="34">
        <f t="shared" si="136"/>
        <v>0</v>
      </c>
      <c r="O234" s="34">
        <f t="shared" si="136"/>
        <v>0</v>
      </c>
      <c r="P234" s="34">
        <f t="shared" si="136"/>
        <v>0</v>
      </c>
      <c r="Q234" s="35">
        <f t="shared" si="136"/>
        <v>0</v>
      </c>
      <c r="R234" s="95">
        <f>SUM(K234:Q234)</f>
        <v>3</v>
      </c>
      <c r="T234" s="33">
        <f t="shared" si="137"/>
        <v>113</v>
      </c>
      <c r="U234" s="34">
        <f t="shared" si="137"/>
        <v>26</v>
      </c>
      <c r="V234" s="34">
        <f t="shared" si="137"/>
        <v>2</v>
      </c>
      <c r="W234" s="34">
        <f t="shared" si="137"/>
        <v>2</v>
      </c>
      <c r="X234" s="34">
        <f t="shared" si="137"/>
        <v>2</v>
      </c>
      <c r="Y234" s="34">
        <f t="shared" si="137"/>
        <v>1</v>
      </c>
      <c r="Z234" s="35">
        <f t="shared" si="137"/>
        <v>1</v>
      </c>
      <c r="AA234" s="95">
        <f>SUM(T234:Z234)</f>
        <v>147</v>
      </c>
      <c r="AC234" s="95">
        <f>SUM(I234+R234+AA234)</f>
        <v>308</v>
      </c>
    </row>
    <row r="235" spans="1:29" ht="15.75" customHeight="1">
      <c r="A235" s="40" t="s">
        <v>24</v>
      </c>
      <c r="B235" s="37">
        <f t="shared" ref="B235:I235" si="138">SUM(B231:B234)</f>
        <v>474</v>
      </c>
      <c r="C235" s="38">
        <f t="shared" si="138"/>
        <v>92</v>
      </c>
      <c r="D235" s="38">
        <f t="shared" si="138"/>
        <v>21</v>
      </c>
      <c r="E235" s="38">
        <f t="shared" si="138"/>
        <v>12</v>
      </c>
      <c r="F235" s="38">
        <f t="shared" si="138"/>
        <v>23</v>
      </c>
      <c r="G235" s="38">
        <f t="shared" si="138"/>
        <v>8</v>
      </c>
      <c r="H235" s="39">
        <f t="shared" si="138"/>
        <v>8</v>
      </c>
      <c r="I235" s="40">
        <f t="shared" si="138"/>
        <v>638</v>
      </c>
      <c r="K235" s="37">
        <f t="shared" ref="K235:R235" si="139">SUM(K231:K234)</f>
        <v>10</v>
      </c>
      <c r="L235" s="38">
        <f t="shared" si="139"/>
        <v>6</v>
      </c>
      <c r="M235" s="38">
        <f t="shared" si="139"/>
        <v>0</v>
      </c>
      <c r="N235" s="38">
        <f t="shared" si="139"/>
        <v>0</v>
      </c>
      <c r="O235" s="38">
        <f t="shared" si="139"/>
        <v>0</v>
      </c>
      <c r="P235" s="38">
        <f t="shared" si="139"/>
        <v>0</v>
      </c>
      <c r="Q235" s="39">
        <f t="shared" si="139"/>
        <v>0</v>
      </c>
      <c r="R235" s="40">
        <f t="shared" si="139"/>
        <v>16</v>
      </c>
      <c r="T235" s="37">
        <f t="shared" ref="T235:AA235" si="140">SUM(T231:T234)</f>
        <v>470</v>
      </c>
      <c r="U235" s="38">
        <f t="shared" si="140"/>
        <v>113</v>
      </c>
      <c r="V235" s="38">
        <f t="shared" si="140"/>
        <v>19</v>
      </c>
      <c r="W235" s="38">
        <f t="shared" si="140"/>
        <v>8</v>
      </c>
      <c r="X235" s="38">
        <f t="shared" si="140"/>
        <v>17</v>
      </c>
      <c r="Y235" s="38">
        <f t="shared" si="140"/>
        <v>4</v>
      </c>
      <c r="Z235" s="39">
        <f t="shared" si="140"/>
        <v>5</v>
      </c>
      <c r="AA235" s="40">
        <f t="shared" si="140"/>
        <v>636</v>
      </c>
      <c r="AC235" s="40">
        <f>SUM(AC231:AC234)</f>
        <v>1290</v>
      </c>
    </row>
    <row r="236" spans="1:29" ht="15.75" customHeight="1">
      <c r="A236" s="90">
        <v>0.45833333333333331</v>
      </c>
      <c r="B236" s="27">
        <f t="shared" ref="B236:H239" si="141">SUM(B32+K32+T32)</f>
        <v>137</v>
      </c>
      <c r="C236" s="28">
        <f t="shared" si="141"/>
        <v>28</v>
      </c>
      <c r="D236" s="28">
        <f t="shared" si="141"/>
        <v>4</v>
      </c>
      <c r="E236" s="28">
        <f t="shared" si="141"/>
        <v>0</v>
      </c>
      <c r="F236" s="28">
        <f t="shared" si="141"/>
        <v>7</v>
      </c>
      <c r="G236" s="28">
        <f t="shared" si="141"/>
        <v>0</v>
      </c>
      <c r="H236" s="29">
        <f t="shared" si="141"/>
        <v>3</v>
      </c>
      <c r="I236" s="91">
        <f>SUM(B236:H236)</f>
        <v>179</v>
      </c>
      <c r="K236" s="27">
        <f t="shared" ref="K236:Q239" si="142">SUM(B100+K100+T100)</f>
        <v>4</v>
      </c>
      <c r="L236" s="28">
        <f t="shared" si="142"/>
        <v>0</v>
      </c>
      <c r="M236" s="28">
        <f t="shared" si="142"/>
        <v>2</v>
      </c>
      <c r="N236" s="28">
        <f t="shared" si="142"/>
        <v>0</v>
      </c>
      <c r="O236" s="28">
        <f t="shared" si="142"/>
        <v>0</v>
      </c>
      <c r="P236" s="28">
        <f t="shared" si="142"/>
        <v>0</v>
      </c>
      <c r="Q236" s="29">
        <f t="shared" si="142"/>
        <v>0</v>
      </c>
      <c r="R236" s="91">
        <f>SUM(K236:Q236)</f>
        <v>6</v>
      </c>
      <c r="T236" s="27">
        <f t="shared" ref="T236:Z239" si="143">SUM(B168+K168+T168)</f>
        <v>110</v>
      </c>
      <c r="U236" s="28">
        <f t="shared" si="143"/>
        <v>21</v>
      </c>
      <c r="V236" s="28">
        <f t="shared" si="143"/>
        <v>9</v>
      </c>
      <c r="W236" s="28">
        <f t="shared" si="143"/>
        <v>1</v>
      </c>
      <c r="X236" s="28">
        <f t="shared" si="143"/>
        <v>7</v>
      </c>
      <c r="Y236" s="28">
        <f t="shared" si="143"/>
        <v>2</v>
      </c>
      <c r="Z236" s="29">
        <f t="shared" si="143"/>
        <v>1</v>
      </c>
      <c r="AA236" s="91">
        <f>SUM(T236:Z236)</f>
        <v>151</v>
      </c>
      <c r="AC236" s="91">
        <f>SUM(I236+R236+AA236)</f>
        <v>336</v>
      </c>
    </row>
    <row r="237" spans="1:29" ht="15.75" customHeight="1">
      <c r="A237" s="92">
        <v>0.46875</v>
      </c>
      <c r="B237" s="30">
        <f t="shared" si="141"/>
        <v>108</v>
      </c>
      <c r="C237" s="31">
        <f t="shared" si="141"/>
        <v>25</v>
      </c>
      <c r="D237" s="31">
        <f t="shared" si="141"/>
        <v>4</v>
      </c>
      <c r="E237" s="31">
        <f t="shared" si="141"/>
        <v>2</v>
      </c>
      <c r="F237" s="31">
        <f t="shared" si="141"/>
        <v>3</v>
      </c>
      <c r="G237" s="31">
        <f t="shared" si="141"/>
        <v>0</v>
      </c>
      <c r="H237" s="32">
        <f t="shared" si="141"/>
        <v>1</v>
      </c>
      <c r="I237" s="93">
        <f>SUM(B237:H237)</f>
        <v>143</v>
      </c>
      <c r="K237" s="30">
        <f t="shared" si="142"/>
        <v>4</v>
      </c>
      <c r="L237" s="31">
        <f t="shared" si="142"/>
        <v>1</v>
      </c>
      <c r="M237" s="31">
        <f t="shared" si="142"/>
        <v>0</v>
      </c>
      <c r="N237" s="31">
        <f t="shared" si="142"/>
        <v>0</v>
      </c>
      <c r="O237" s="31">
        <f t="shared" si="142"/>
        <v>0</v>
      </c>
      <c r="P237" s="31">
        <f t="shared" si="142"/>
        <v>0</v>
      </c>
      <c r="Q237" s="32">
        <f t="shared" si="142"/>
        <v>0</v>
      </c>
      <c r="R237" s="93">
        <f>SUM(K237:Q237)</f>
        <v>5</v>
      </c>
      <c r="T237" s="30">
        <f t="shared" si="143"/>
        <v>105</v>
      </c>
      <c r="U237" s="31">
        <f t="shared" si="143"/>
        <v>27</v>
      </c>
      <c r="V237" s="31">
        <f t="shared" si="143"/>
        <v>4</v>
      </c>
      <c r="W237" s="31">
        <f t="shared" si="143"/>
        <v>1</v>
      </c>
      <c r="X237" s="31">
        <f t="shared" si="143"/>
        <v>8</v>
      </c>
      <c r="Y237" s="31">
        <f t="shared" si="143"/>
        <v>0</v>
      </c>
      <c r="Z237" s="32">
        <f t="shared" si="143"/>
        <v>1</v>
      </c>
      <c r="AA237" s="93">
        <f>SUM(T237:Z237)</f>
        <v>146</v>
      </c>
      <c r="AC237" s="93">
        <f>SUM(I237+R237+AA237)</f>
        <v>294</v>
      </c>
    </row>
    <row r="238" spans="1:29" ht="15.75" customHeight="1">
      <c r="A238" s="92">
        <v>0.47916666666666669</v>
      </c>
      <c r="B238" s="30">
        <f t="shared" si="141"/>
        <v>150</v>
      </c>
      <c r="C238" s="31">
        <f t="shared" si="141"/>
        <v>17</v>
      </c>
      <c r="D238" s="31">
        <f t="shared" si="141"/>
        <v>5</v>
      </c>
      <c r="E238" s="31">
        <f t="shared" si="141"/>
        <v>3</v>
      </c>
      <c r="F238" s="31">
        <f t="shared" si="141"/>
        <v>9</v>
      </c>
      <c r="G238" s="31">
        <f t="shared" si="141"/>
        <v>0</v>
      </c>
      <c r="H238" s="32">
        <f t="shared" si="141"/>
        <v>0</v>
      </c>
      <c r="I238" s="93">
        <f>SUM(B238:H238)</f>
        <v>184</v>
      </c>
      <c r="K238" s="30">
        <f t="shared" si="142"/>
        <v>7</v>
      </c>
      <c r="L238" s="31">
        <f t="shared" si="142"/>
        <v>1</v>
      </c>
      <c r="M238" s="31">
        <f t="shared" si="142"/>
        <v>0</v>
      </c>
      <c r="N238" s="31">
        <f t="shared" si="142"/>
        <v>0</v>
      </c>
      <c r="O238" s="31">
        <f t="shared" si="142"/>
        <v>0</v>
      </c>
      <c r="P238" s="31">
        <f t="shared" si="142"/>
        <v>0</v>
      </c>
      <c r="Q238" s="32">
        <f t="shared" si="142"/>
        <v>1</v>
      </c>
      <c r="R238" s="93">
        <f>SUM(K238:Q238)</f>
        <v>9</v>
      </c>
      <c r="T238" s="30">
        <f t="shared" si="143"/>
        <v>135</v>
      </c>
      <c r="U238" s="31">
        <f t="shared" si="143"/>
        <v>27</v>
      </c>
      <c r="V238" s="31">
        <f t="shared" si="143"/>
        <v>3</v>
      </c>
      <c r="W238" s="31">
        <f t="shared" si="143"/>
        <v>2</v>
      </c>
      <c r="X238" s="31">
        <f t="shared" si="143"/>
        <v>6</v>
      </c>
      <c r="Y238" s="31">
        <f t="shared" si="143"/>
        <v>1</v>
      </c>
      <c r="Z238" s="32">
        <f t="shared" si="143"/>
        <v>0</v>
      </c>
      <c r="AA238" s="93">
        <f>SUM(T238:Z238)</f>
        <v>174</v>
      </c>
      <c r="AC238" s="93">
        <f>SUM(I238+R238+AA238)</f>
        <v>367</v>
      </c>
    </row>
    <row r="239" spans="1:29" ht="15.75" customHeight="1">
      <c r="A239" s="94">
        <v>0.48958333333333331</v>
      </c>
      <c r="B239" s="33">
        <f t="shared" si="141"/>
        <v>131</v>
      </c>
      <c r="C239" s="34">
        <f t="shared" si="141"/>
        <v>25</v>
      </c>
      <c r="D239" s="34">
        <f t="shared" si="141"/>
        <v>4</v>
      </c>
      <c r="E239" s="34">
        <f t="shared" si="141"/>
        <v>4</v>
      </c>
      <c r="F239" s="34">
        <f t="shared" si="141"/>
        <v>5</v>
      </c>
      <c r="G239" s="34">
        <f t="shared" si="141"/>
        <v>1</v>
      </c>
      <c r="H239" s="35">
        <f t="shared" si="141"/>
        <v>0</v>
      </c>
      <c r="I239" s="95">
        <f>SUM(B239:H239)</f>
        <v>170</v>
      </c>
      <c r="K239" s="33">
        <f t="shared" si="142"/>
        <v>4</v>
      </c>
      <c r="L239" s="34">
        <f t="shared" si="142"/>
        <v>1</v>
      </c>
      <c r="M239" s="34">
        <f t="shared" si="142"/>
        <v>0</v>
      </c>
      <c r="N239" s="34">
        <f t="shared" si="142"/>
        <v>0</v>
      </c>
      <c r="O239" s="34">
        <f t="shared" si="142"/>
        <v>0</v>
      </c>
      <c r="P239" s="34">
        <f t="shared" si="142"/>
        <v>0</v>
      </c>
      <c r="Q239" s="35">
        <f t="shared" si="142"/>
        <v>0</v>
      </c>
      <c r="R239" s="95">
        <f>SUM(K239:Q239)</f>
        <v>5</v>
      </c>
      <c r="T239" s="33">
        <f t="shared" si="143"/>
        <v>132</v>
      </c>
      <c r="U239" s="34">
        <f t="shared" si="143"/>
        <v>24</v>
      </c>
      <c r="V239" s="34">
        <f t="shared" si="143"/>
        <v>7</v>
      </c>
      <c r="W239" s="34">
        <f t="shared" si="143"/>
        <v>2</v>
      </c>
      <c r="X239" s="34">
        <f t="shared" si="143"/>
        <v>4</v>
      </c>
      <c r="Y239" s="34">
        <f t="shared" si="143"/>
        <v>0</v>
      </c>
      <c r="Z239" s="35">
        <f t="shared" si="143"/>
        <v>0</v>
      </c>
      <c r="AA239" s="95">
        <f>SUM(T239:Z239)</f>
        <v>169</v>
      </c>
      <c r="AC239" s="95">
        <f>SUM(I239+R239+AA239)</f>
        <v>344</v>
      </c>
    </row>
    <row r="240" spans="1:29" ht="15.75" customHeight="1">
      <c r="A240" s="40" t="s">
        <v>24</v>
      </c>
      <c r="B240" s="37">
        <f t="shared" ref="B240:I240" si="144">SUM(B236:B239)</f>
        <v>526</v>
      </c>
      <c r="C240" s="38">
        <f t="shared" si="144"/>
        <v>95</v>
      </c>
      <c r="D240" s="38">
        <f t="shared" si="144"/>
        <v>17</v>
      </c>
      <c r="E240" s="38">
        <f t="shared" si="144"/>
        <v>9</v>
      </c>
      <c r="F240" s="38">
        <f t="shared" si="144"/>
        <v>24</v>
      </c>
      <c r="G240" s="38">
        <f t="shared" si="144"/>
        <v>1</v>
      </c>
      <c r="H240" s="39">
        <f t="shared" si="144"/>
        <v>4</v>
      </c>
      <c r="I240" s="40">
        <f t="shared" si="144"/>
        <v>676</v>
      </c>
      <c r="K240" s="37">
        <f t="shared" ref="K240:R240" si="145">SUM(K236:K239)</f>
        <v>19</v>
      </c>
      <c r="L240" s="38">
        <f t="shared" si="145"/>
        <v>3</v>
      </c>
      <c r="M240" s="38">
        <f t="shared" si="145"/>
        <v>2</v>
      </c>
      <c r="N240" s="38">
        <f t="shared" si="145"/>
        <v>0</v>
      </c>
      <c r="O240" s="38">
        <f t="shared" si="145"/>
        <v>0</v>
      </c>
      <c r="P240" s="38">
        <f t="shared" si="145"/>
        <v>0</v>
      </c>
      <c r="Q240" s="39">
        <f t="shared" si="145"/>
        <v>1</v>
      </c>
      <c r="R240" s="40">
        <f t="shared" si="145"/>
        <v>25</v>
      </c>
      <c r="T240" s="37">
        <f t="shared" ref="T240:AA240" si="146">SUM(T236:T239)</f>
        <v>482</v>
      </c>
      <c r="U240" s="38">
        <f t="shared" si="146"/>
        <v>99</v>
      </c>
      <c r="V240" s="38">
        <f t="shared" si="146"/>
        <v>23</v>
      </c>
      <c r="W240" s="38">
        <f t="shared" si="146"/>
        <v>6</v>
      </c>
      <c r="X240" s="38">
        <f t="shared" si="146"/>
        <v>25</v>
      </c>
      <c r="Y240" s="38">
        <f t="shared" si="146"/>
        <v>3</v>
      </c>
      <c r="Z240" s="39">
        <f t="shared" si="146"/>
        <v>2</v>
      </c>
      <c r="AA240" s="40">
        <f t="shared" si="146"/>
        <v>640</v>
      </c>
      <c r="AC240" s="40">
        <f>SUM(AC236:AC239)</f>
        <v>1341</v>
      </c>
    </row>
    <row r="241" spans="1:29" ht="15.75" customHeight="1">
      <c r="A241" s="90">
        <v>0.5</v>
      </c>
      <c r="B241" s="27">
        <f t="shared" ref="B241:H244" si="147">SUM(B37+K37+T37)</f>
        <v>140</v>
      </c>
      <c r="C241" s="28">
        <f t="shared" si="147"/>
        <v>24</v>
      </c>
      <c r="D241" s="28">
        <f t="shared" si="147"/>
        <v>5</v>
      </c>
      <c r="E241" s="28">
        <f t="shared" si="147"/>
        <v>3</v>
      </c>
      <c r="F241" s="28">
        <f t="shared" si="147"/>
        <v>6</v>
      </c>
      <c r="G241" s="28">
        <f t="shared" si="147"/>
        <v>0</v>
      </c>
      <c r="H241" s="29">
        <f t="shared" si="147"/>
        <v>3</v>
      </c>
      <c r="I241" s="91">
        <f>SUM(B241:H241)</f>
        <v>181</v>
      </c>
      <c r="K241" s="27">
        <f t="shared" ref="K241:Q244" si="148">SUM(B105+K105+T105)</f>
        <v>4</v>
      </c>
      <c r="L241" s="28">
        <f t="shared" si="148"/>
        <v>0</v>
      </c>
      <c r="M241" s="28">
        <f t="shared" si="148"/>
        <v>0</v>
      </c>
      <c r="N241" s="28">
        <f t="shared" si="148"/>
        <v>0</v>
      </c>
      <c r="O241" s="28">
        <f t="shared" si="148"/>
        <v>0</v>
      </c>
      <c r="P241" s="28">
        <f t="shared" si="148"/>
        <v>0</v>
      </c>
      <c r="Q241" s="29">
        <f t="shared" si="148"/>
        <v>1</v>
      </c>
      <c r="R241" s="91">
        <f>SUM(K241:Q241)</f>
        <v>5</v>
      </c>
      <c r="T241" s="27">
        <f t="shared" ref="T241:Z244" si="149">SUM(B173+K173+T173)</f>
        <v>147</v>
      </c>
      <c r="U241" s="28">
        <f t="shared" si="149"/>
        <v>21</v>
      </c>
      <c r="V241" s="28">
        <f t="shared" si="149"/>
        <v>5</v>
      </c>
      <c r="W241" s="28">
        <f t="shared" si="149"/>
        <v>2</v>
      </c>
      <c r="X241" s="28">
        <f t="shared" si="149"/>
        <v>5</v>
      </c>
      <c r="Y241" s="28">
        <f t="shared" si="149"/>
        <v>2</v>
      </c>
      <c r="Z241" s="29">
        <f t="shared" si="149"/>
        <v>0</v>
      </c>
      <c r="AA241" s="91">
        <f>SUM(T241:Z241)</f>
        <v>182</v>
      </c>
      <c r="AC241" s="91">
        <f>SUM(I241+R241+AA241)</f>
        <v>368</v>
      </c>
    </row>
    <row r="242" spans="1:29" ht="15.75" customHeight="1">
      <c r="A242" s="92">
        <v>0.51041666666666663</v>
      </c>
      <c r="B242" s="30">
        <f t="shared" si="147"/>
        <v>126</v>
      </c>
      <c r="C242" s="31">
        <f t="shared" si="147"/>
        <v>20</v>
      </c>
      <c r="D242" s="31">
        <f t="shared" si="147"/>
        <v>5</v>
      </c>
      <c r="E242" s="31">
        <f t="shared" si="147"/>
        <v>3</v>
      </c>
      <c r="F242" s="31">
        <f t="shared" si="147"/>
        <v>5</v>
      </c>
      <c r="G242" s="31">
        <f t="shared" si="147"/>
        <v>1</v>
      </c>
      <c r="H242" s="32">
        <f t="shared" si="147"/>
        <v>3</v>
      </c>
      <c r="I242" s="93">
        <f>SUM(B242:H242)</f>
        <v>163</v>
      </c>
      <c r="K242" s="30">
        <f t="shared" si="148"/>
        <v>3</v>
      </c>
      <c r="L242" s="31">
        <f t="shared" si="148"/>
        <v>1</v>
      </c>
      <c r="M242" s="31">
        <f t="shared" si="148"/>
        <v>0</v>
      </c>
      <c r="N242" s="31">
        <f t="shared" si="148"/>
        <v>0</v>
      </c>
      <c r="O242" s="31">
        <f t="shared" si="148"/>
        <v>0</v>
      </c>
      <c r="P242" s="31">
        <f t="shared" si="148"/>
        <v>1</v>
      </c>
      <c r="Q242" s="32">
        <f t="shared" si="148"/>
        <v>0</v>
      </c>
      <c r="R242" s="93">
        <f>SUM(K242:Q242)</f>
        <v>5</v>
      </c>
      <c r="T242" s="30">
        <f t="shared" si="149"/>
        <v>129</v>
      </c>
      <c r="U242" s="31">
        <f t="shared" si="149"/>
        <v>21</v>
      </c>
      <c r="V242" s="31">
        <f t="shared" si="149"/>
        <v>7</v>
      </c>
      <c r="W242" s="31">
        <f t="shared" si="149"/>
        <v>1</v>
      </c>
      <c r="X242" s="31">
        <f t="shared" si="149"/>
        <v>8</v>
      </c>
      <c r="Y242" s="31">
        <f t="shared" si="149"/>
        <v>2</v>
      </c>
      <c r="Z242" s="32">
        <f t="shared" si="149"/>
        <v>3</v>
      </c>
      <c r="AA242" s="93">
        <f>SUM(T242:Z242)</f>
        <v>171</v>
      </c>
      <c r="AC242" s="93">
        <f>SUM(I242+R242+AA242)</f>
        <v>339</v>
      </c>
    </row>
    <row r="243" spans="1:29" ht="15.75" customHeight="1">
      <c r="A243" s="92">
        <v>0.52083333333333337</v>
      </c>
      <c r="B243" s="30">
        <f t="shared" si="147"/>
        <v>141</v>
      </c>
      <c r="C243" s="31">
        <f t="shared" si="147"/>
        <v>40</v>
      </c>
      <c r="D243" s="31">
        <f t="shared" si="147"/>
        <v>2</v>
      </c>
      <c r="E243" s="31">
        <f t="shared" si="147"/>
        <v>1</v>
      </c>
      <c r="F243" s="31">
        <f t="shared" si="147"/>
        <v>4</v>
      </c>
      <c r="G243" s="31">
        <f t="shared" si="147"/>
        <v>3</v>
      </c>
      <c r="H243" s="32">
        <f t="shared" si="147"/>
        <v>1</v>
      </c>
      <c r="I243" s="93">
        <f>SUM(B243:H243)</f>
        <v>192</v>
      </c>
      <c r="K243" s="30">
        <f t="shared" si="148"/>
        <v>2</v>
      </c>
      <c r="L243" s="31">
        <f t="shared" si="148"/>
        <v>1</v>
      </c>
      <c r="M243" s="31">
        <f t="shared" si="148"/>
        <v>0</v>
      </c>
      <c r="N243" s="31">
        <f t="shared" si="148"/>
        <v>0</v>
      </c>
      <c r="O243" s="31">
        <f t="shared" si="148"/>
        <v>0</v>
      </c>
      <c r="P243" s="31">
        <f t="shared" si="148"/>
        <v>0</v>
      </c>
      <c r="Q243" s="32">
        <f t="shared" si="148"/>
        <v>0</v>
      </c>
      <c r="R243" s="93">
        <f>SUM(K243:Q243)</f>
        <v>3</v>
      </c>
      <c r="T243" s="30">
        <f t="shared" si="149"/>
        <v>105</v>
      </c>
      <c r="U243" s="31">
        <f t="shared" si="149"/>
        <v>31</v>
      </c>
      <c r="V243" s="31">
        <f t="shared" si="149"/>
        <v>4</v>
      </c>
      <c r="W243" s="31">
        <f t="shared" si="149"/>
        <v>5</v>
      </c>
      <c r="X243" s="31">
        <f t="shared" si="149"/>
        <v>8</v>
      </c>
      <c r="Y243" s="31">
        <f t="shared" si="149"/>
        <v>3</v>
      </c>
      <c r="Z243" s="32">
        <f t="shared" si="149"/>
        <v>3</v>
      </c>
      <c r="AA243" s="93">
        <f>SUM(T243:Z243)</f>
        <v>159</v>
      </c>
      <c r="AC243" s="93">
        <f>SUM(I243+R243+AA243)</f>
        <v>354</v>
      </c>
    </row>
    <row r="244" spans="1:29" ht="15.75" customHeight="1">
      <c r="A244" s="94">
        <v>0.53125</v>
      </c>
      <c r="B244" s="33">
        <f t="shared" si="147"/>
        <v>123</v>
      </c>
      <c r="C244" s="34">
        <f t="shared" si="147"/>
        <v>15</v>
      </c>
      <c r="D244" s="34">
        <f t="shared" si="147"/>
        <v>5</v>
      </c>
      <c r="E244" s="34">
        <f t="shared" si="147"/>
        <v>3</v>
      </c>
      <c r="F244" s="34">
        <f t="shared" si="147"/>
        <v>11</v>
      </c>
      <c r="G244" s="34">
        <f t="shared" si="147"/>
        <v>1</v>
      </c>
      <c r="H244" s="35">
        <f t="shared" si="147"/>
        <v>3</v>
      </c>
      <c r="I244" s="95">
        <f>SUM(B244:H244)</f>
        <v>161</v>
      </c>
      <c r="K244" s="33">
        <f t="shared" si="148"/>
        <v>1</v>
      </c>
      <c r="L244" s="34">
        <f t="shared" si="148"/>
        <v>1</v>
      </c>
      <c r="M244" s="34">
        <f t="shared" si="148"/>
        <v>0</v>
      </c>
      <c r="N244" s="34">
        <f t="shared" si="148"/>
        <v>0</v>
      </c>
      <c r="O244" s="34">
        <f t="shared" si="148"/>
        <v>0</v>
      </c>
      <c r="P244" s="34">
        <f t="shared" si="148"/>
        <v>0</v>
      </c>
      <c r="Q244" s="35">
        <f t="shared" si="148"/>
        <v>0</v>
      </c>
      <c r="R244" s="95">
        <f>SUM(K244:Q244)</f>
        <v>2</v>
      </c>
      <c r="T244" s="33">
        <f t="shared" si="149"/>
        <v>145</v>
      </c>
      <c r="U244" s="34">
        <f t="shared" si="149"/>
        <v>27</v>
      </c>
      <c r="V244" s="34">
        <f t="shared" si="149"/>
        <v>2</v>
      </c>
      <c r="W244" s="34">
        <f t="shared" si="149"/>
        <v>2</v>
      </c>
      <c r="X244" s="34">
        <f t="shared" si="149"/>
        <v>8</v>
      </c>
      <c r="Y244" s="34">
        <f t="shared" si="149"/>
        <v>1</v>
      </c>
      <c r="Z244" s="35">
        <f t="shared" si="149"/>
        <v>3</v>
      </c>
      <c r="AA244" s="95">
        <f>SUM(T244:Z244)</f>
        <v>188</v>
      </c>
      <c r="AC244" s="95">
        <f>SUM(I244+R244+AA244)</f>
        <v>351</v>
      </c>
    </row>
    <row r="245" spans="1:29" ht="15.75" customHeight="1">
      <c r="A245" s="40" t="s">
        <v>24</v>
      </c>
      <c r="B245" s="37">
        <f t="shared" ref="B245:I245" si="150">SUM(B241:B244)</f>
        <v>530</v>
      </c>
      <c r="C245" s="38">
        <f t="shared" si="150"/>
        <v>99</v>
      </c>
      <c r="D245" s="38">
        <f t="shared" si="150"/>
        <v>17</v>
      </c>
      <c r="E245" s="38">
        <f t="shared" si="150"/>
        <v>10</v>
      </c>
      <c r="F245" s="38">
        <f t="shared" si="150"/>
        <v>26</v>
      </c>
      <c r="G245" s="38">
        <f t="shared" si="150"/>
        <v>5</v>
      </c>
      <c r="H245" s="39">
        <f t="shared" si="150"/>
        <v>10</v>
      </c>
      <c r="I245" s="40">
        <f t="shared" si="150"/>
        <v>697</v>
      </c>
      <c r="K245" s="37">
        <f t="shared" ref="K245:R245" si="151">SUM(K241:K244)</f>
        <v>10</v>
      </c>
      <c r="L245" s="38">
        <f t="shared" si="151"/>
        <v>3</v>
      </c>
      <c r="M245" s="38">
        <f t="shared" si="151"/>
        <v>0</v>
      </c>
      <c r="N245" s="38">
        <f t="shared" si="151"/>
        <v>0</v>
      </c>
      <c r="O245" s="38">
        <f t="shared" si="151"/>
        <v>0</v>
      </c>
      <c r="P245" s="38">
        <f t="shared" si="151"/>
        <v>1</v>
      </c>
      <c r="Q245" s="39">
        <f t="shared" si="151"/>
        <v>1</v>
      </c>
      <c r="R245" s="40">
        <f t="shared" si="151"/>
        <v>15</v>
      </c>
      <c r="T245" s="37">
        <f t="shared" ref="T245:AA245" si="152">SUM(T241:T244)</f>
        <v>526</v>
      </c>
      <c r="U245" s="38">
        <f t="shared" si="152"/>
        <v>100</v>
      </c>
      <c r="V245" s="38">
        <f t="shared" si="152"/>
        <v>18</v>
      </c>
      <c r="W245" s="38">
        <f t="shared" si="152"/>
        <v>10</v>
      </c>
      <c r="X245" s="38">
        <f t="shared" si="152"/>
        <v>29</v>
      </c>
      <c r="Y245" s="38">
        <f t="shared" si="152"/>
        <v>8</v>
      </c>
      <c r="Z245" s="39">
        <f t="shared" si="152"/>
        <v>9</v>
      </c>
      <c r="AA245" s="40">
        <f t="shared" si="152"/>
        <v>700</v>
      </c>
      <c r="AC245" s="40">
        <f>SUM(AC241:AC244)</f>
        <v>1412</v>
      </c>
    </row>
    <row r="246" spans="1:29" ht="15.75" customHeight="1">
      <c r="A246" s="90">
        <v>0.54166666666666663</v>
      </c>
      <c r="B246" s="27">
        <f t="shared" ref="B246:H249" si="153">SUM(B42+K42+T42)</f>
        <v>132</v>
      </c>
      <c r="C246" s="28">
        <f t="shared" si="153"/>
        <v>16</v>
      </c>
      <c r="D246" s="28">
        <f t="shared" si="153"/>
        <v>0</v>
      </c>
      <c r="E246" s="28">
        <f t="shared" si="153"/>
        <v>1</v>
      </c>
      <c r="F246" s="28">
        <f t="shared" si="153"/>
        <v>6</v>
      </c>
      <c r="G246" s="28">
        <f t="shared" si="153"/>
        <v>1</v>
      </c>
      <c r="H246" s="29">
        <f t="shared" si="153"/>
        <v>5</v>
      </c>
      <c r="I246" s="91">
        <f>SUM(B246:H246)</f>
        <v>161</v>
      </c>
      <c r="K246" s="27">
        <f t="shared" ref="K246:Q249" si="154">SUM(B110+K110+T110)</f>
        <v>2</v>
      </c>
      <c r="L246" s="28">
        <f t="shared" si="154"/>
        <v>1</v>
      </c>
      <c r="M246" s="28">
        <f t="shared" si="154"/>
        <v>0</v>
      </c>
      <c r="N246" s="28">
        <f t="shared" si="154"/>
        <v>0</v>
      </c>
      <c r="O246" s="28">
        <f t="shared" si="154"/>
        <v>0</v>
      </c>
      <c r="P246" s="28">
        <f t="shared" si="154"/>
        <v>0</v>
      </c>
      <c r="Q246" s="29">
        <f t="shared" si="154"/>
        <v>0</v>
      </c>
      <c r="R246" s="91">
        <f>SUM(K246:Q246)</f>
        <v>3</v>
      </c>
      <c r="T246" s="27">
        <f t="shared" ref="T246:Z249" si="155">SUM(B178+K178+T178)</f>
        <v>152</v>
      </c>
      <c r="U246" s="28">
        <f t="shared" si="155"/>
        <v>26</v>
      </c>
      <c r="V246" s="28">
        <f t="shared" si="155"/>
        <v>6</v>
      </c>
      <c r="W246" s="28">
        <f t="shared" si="155"/>
        <v>2</v>
      </c>
      <c r="X246" s="28">
        <f t="shared" si="155"/>
        <v>3</v>
      </c>
      <c r="Y246" s="28">
        <f t="shared" si="155"/>
        <v>1</v>
      </c>
      <c r="Z246" s="29">
        <f t="shared" si="155"/>
        <v>0</v>
      </c>
      <c r="AA246" s="91">
        <f>SUM(T246:Z246)</f>
        <v>190</v>
      </c>
      <c r="AC246" s="91">
        <f>SUM(I246+R246+AA246)</f>
        <v>354</v>
      </c>
    </row>
    <row r="247" spans="1:29" ht="15.75" customHeight="1">
      <c r="A247" s="92">
        <v>0.55208333333333337</v>
      </c>
      <c r="B247" s="30">
        <f t="shared" si="153"/>
        <v>145</v>
      </c>
      <c r="C247" s="31">
        <f t="shared" si="153"/>
        <v>28</v>
      </c>
      <c r="D247" s="31">
        <f t="shared" si="153"/>
        <v>2</v>
      </c>
      <c r="E247" s="31">
        <f t="shared" si="153"/>
        <v>2</v>
      </c>
      <c r="F247" s="31">
        <f t="shared" si="153"/>
        <v>6</v>
      </c>
      <c r="G247" s="31">
        <f t="shared" si="153"/>
        <v>0</v>
      </c>
      <c r="H247" s="32">
        <f t="shared" si="153"/>
        <v>1</v>
      </c>
      <c r="I247" s="93">
        <f>SUM(B247:H247)</f>
        <v>184</v>
      </c>
      <c r="K247" s="30">
        <f t="shared" si="154"/>
        <v>5</v>
      </c>
      <c r="L247" s="31">
        <f t="shared" si="154"/>
        <v>1</v>
      </c>
      <c r="M247" s="31">
        <f t="shared" si="154"/>
        <v>0</v>
      </c>
      <c r="N247" s="31">
        <f t="shared" si="154"/>
        <v>0</v>
      </c>
      <c r="O247" s="31">
        <f t="shared" si="154"/>
        <v>0</v>
      </c>
      <c r="P247" s="31">
        <f t="shared" si="154"/>
        <v>0</v>
      </c>
      <c r="Q247" s="32">
        <f t="shared" si="154"/>
        <v>0</v>
      </c>
      <c r="R247" s="93">
        <f>SUM(K247:Q247)</f>
        <v>6</v>
      </c>
      <c r="T247" s="30">
        <f t="shared" si="155"/>
        <v>141</v>
      </c>
      <c r="U247" s="31">
        <f t="shared" si="155"/>
        <v>24</v>
      </c>
      <c r="V247" s="31">
        <f t="shared" si="155"/>
        <v>4</v>
      </c>
      <c r="W247" s="31">
        <f t="shared" si="155"/>
        <v>1</v>
      </c>
      <c r="X247" s="31">
        <f t="shared" si="155"/>
        <v>6</v>
      </c>
      <c r="Y247" s="31">
        <f t="shared" si="155"/>
        <v>1</v>
      </c>
      <c r="Z247" s="32">
        <f t="shared" si="155"/>
        <v>3</v>
      </c>
      <c r="AA247" s="93">
        <f>SUM(T247:Z247)</f>
        <v>180</v>
      </c>
      <c r="AC247" s="93">
        <f>SUM(I247+R247+AA247)</f>
        <v>370</v>
      </c>
    </row>
    <row r="248" spans="1:29" ht="15.75" customHeight="1">
      <c r="A248" s="92">
        <v>0.5625</v>
      </c>
      <c r="B248" s="30">
        <f t="shared" si="153"/>
        <v>136</v>
      </c>
      <c r="C248" s="31">
        <f t="shared" si="153"/>
        <v>21</v>
      </c>
      <c r="D248" s="31">
        <f t="shared" si="153"/>
        <v>3</v>
      </c>
      <c r="E248" s="31">
        <f t="shared" si="153"/>
        <v>3</v>
      </c>
      <c r="F248" s="31">
        <f t="shared" si="153"/>
        <v>4</v>
      </c>
      <c r="G248" s="31">
        <f t="shared" si="153"/>
        <v>3</v>
      </c>
      <c r="H248" s="32">
        <f t="shared" si="153"/>
        <v>2</v>
      </c>
      <c r="I248" s="93">
        <f>SUM(B248:H248)</f>
        <v>172</v>
      </c>
      <c r="K248" s="30">
        <f t="shared" si="154"/>
        <v>4</v>
      </c>
      <c r="L248" s="31">
        <f t="shared" si="154"/>
        <v>0</v>
      </c>
      <c r="M248" s="31">
        <f t="shared" si="154"/>
        <v>0</v>
      </c>
      <c r="N248" s="31">
        <f t="shared" si="154"/>
        <v>0</v>
      </c>
      <c r="O248" s="31">
        <f t="shared" si="154"/>
        <v>0</v>
      </c>
      <c r="P248" s="31">
        <f t="shared" si="154"/>
        <v>0</v>
      </c>
      <c r="Q248" s="32">
        <f t="shared" si="154"/>
        <v>0</v>
      </c>
      <c r="R248" s="93">
        <f>SUM(K248:Q248)</f>
        <v>4</v>
      </c>
      <c r="T248" s="30">
        <f t="shared" si="155"/>
        <v>147</v>
      </c>
      <c r="U248" s="31">
        <f t="shared" si="155"/>
        <v>22</v>
      </c>
      <c r="V248" s="31">
        <f t="shared" si="155"/>
        <v>1</v>
      </c>
      <c r="W248" s="31">
        <f t="shared" si="155"/>
        <v>2</v>
      </c>
      <c r="X248" s="31">
        <f t="shared" si="155"/>
        <v>7</v>
      </c>
      <c r="Y248" s="31">
        <f t="shared" si="155"/>
        <v>1</v>
      </c>
      <c r="Z248" s="32">
        <f t="shared" si="155"/>
        <v>1</v>
      </c>
      <c r="AA248" s="93">
        <f>SUM(T248:Z248)</f>
        <v>181</v>
      </c>
      <c r="AC248" s="93">
        <f>SUM(I248+R248+AA248)</f>
        <v>357</v>
      </c>
    </row>
    <row r="249" spans="1:29" ht="15.75" customHeight="1">
      <c r="A249" s="94">
        <v>0.57291666666666663</v>
      </c>
      <c r="B249" s="33">
        <f t="shared" si="153"/>
        <v>124</v>
      </c>
      <c r="C249" s="34">
        <f t="shared" si="153"/>
        <v>19</v>
      </c>
      <c r="D249" s="34">
        <f t="shared" si="153"/>
        <v>5</v>
      </c>
      <c r="E249" s="34">
        <f t="shared" si="153"/>
        <v>0</v>
      </c>
      <c r="F249" s="34">
        <f t="shared" si="153"/>
        <v>8</v>
      </c>
      <c r="G249" s="34">
        <f t="shared" si="153"/>
        <v>1</v>
      </c>
      <c r="H249" s="35">
        <f t="shared" si="153"/>
        <v>0</v>
      </c>
      <c r="I249" s="95">
        <f>SUM(B249:H249)</f>
        <v>157</v>
      </c>
      <c r="K249" s="33">
        <f t="shared" si="154"/>
        <v>3</v>
      </c>
      <c r="L249" s="34">
        <f t="shared" si="154"/>
        <v>3</v>
      </c>
      <c r="M249" s="34">
        <f t="shared" si="154"/>
        <v>0</v>
      </c>
      <c r="N249" s="34">
        <f t="shared" si="154"/>
        <v>0</v>
      </c>
      <c r="O249" s="34">
        <f t="shared" si="154"/>
        <v>0</v>
      </c>
      <c r="P249" s="34">
        <f t="shared" si="154"/>
        <v>0</v>
      </c>
      <c r="Q249" s="35">
        <f t="shared" si="154"/>
        <v>0</v>
      </c>
      <c r="R249" s="95">
        <f>SUM(K249:Q249)</f>
        <v>6</v>
      </c>
      <c r="T249" s="33">
        <f t="shared" si="155"/>
        <v>150</v>
      </c>
      <c r="U249" s="34">
        <f t="shared" si="155"/>
        <v>14</v>
      </c>
      <c r="V249" s="34">
        <f t="shared" si="155"/>
        <v>4</v>
      </c>
      <c r="W249" s="34">
        <f t="shared" si="155"/>
        <v>2</v>
      </c>
      <c r="X249" s="34">
        <f t="shared" si="155"/>
        <v>5</v>
      </c>
      <c r="Y249" s="34">
        <f t="shared" si="155"/>
        <v>1</v>
      </c>
      <c r="Z249" s="35">
        <f t="shared" si="155"/>
        <v>5</v>
      </c>
      <c r="AA249" s="95">
        <f>SUM(T249:Z249)</f>
        <v>181</v>
      </c>
      <c r="AC249" s="95">
        <f>SUM(I249+R249+AA249)</f>
        <v>344</v>
      </c>
    </row>
    <row r="250" spans="1:29" ht="15.75" customHeight="1">
      <c r="A250" s="40" t="s">
        <v>24</v>
      </c>
      <c r="B250" s="37">
        <f t="shared" ref="B250:I250" si="156">SUM(B246:B249)</f>
        <v>537</v>
      </c>
      <c r="C250" s="38">
        <f t="shared" si="156"/>
        <v>84</v>
      </c>
      <c r="D250" s="38">
        <f t="shared" si="156"/>
        <v>10</v>
      </c>
      <c r="E250" s="38">
        <f t="shared" si="156"/>
        <v>6</v>
      </c>
      <c r="F250" s="38">
        <f t="shared" si="156"/>
        <v>24</v>
      </c>
      <c r="G250" s="38">
        <f t="shared" si="156"/>
        <v>5</v>
      </c>
      <c r="H250" s="39">
        <f t="shared" si="156"/>
        <v>8</v>
      </c>
      <c r="I250" s="40">
        <f t="shared" si="156"/>
        <v>674</v>
      </c>
      <c r="K250" s="37">
        <f t="shared" ref="K250:R250" si="157">SUM(K246:K249)</f>
        <v>14</v>
      </c>
      <c r="L250" s="38">
        <f t="shared" si="157"/>
        <v>5</v>
      </c>
      <c r="M250" s="38">
        <f t="shared" si="157"/>
        <v>0</v>
      </c>
      <c r="N250" s="38">
        <f t="shared" si="157"/>
        <v>0</v>
      </c>
      <c r="O250" s="38">
        <f t="shared" si="157"/>
        <v>0</v>
      </c>
      <c r="P250" s="38">
        <f t="shared" si="157"/>
        <v>0</v>
      </c>
      <c r="Q250" s="39">
        <f t="shared" si="157"/>
        <v>0</v>
      </c>
      <c r="R250" s="40">
        <f t="shared" si="157"/>
        <v>19</v>
      </c>
      <c r="T250" s="37">
        <f t="shared" ref="T250:AA250" si="158">SUM(T246:T249)</f>
        <v>590</v>
      </c>
      <c r="U250" s="38">
        <f t="shared" si="158"/>
        <v>86</v>
      </c>
      <c r="V250" s="38">
        <f t="shared" si="158"/>
        <v>15</v>
      </c>
      <c r="W250" s="38">
        <f t="shared" si="158"/>
        <v>7</v>
      </c>
      <c r="X250" s="38">
        <f t="shared" si="158"/>
        <v>21</v>
      </c>
      <c r="Y250" s="38">
        <f t="shared" si="158"/>
        <v>4</v>
      </c>
      <c r="Z250" s="39">
        <f t="shared" si="158"/>
        <v>9</v>
      </c>
      <c r="AA250" s="40">
        <f t="shared" si="158"/>
        <v>732</v>
      </c>
      <c r="AC250" s="40">
        <f>SUM(AC246:AC249)</f>
        <v>1425</v>
      </c>
    </row>
    <row r="251" spans="1:29" ht="15.75" customHeight="1">
      <c r="A251" s="90">
        <v>0.58333333333333337</v>
      </c>
      <c r="B251" s="27">
        <f t="shared" ref="B251:H254" si="159">SUM(B47+K47+T47)</f>
        <v>155</v>
      </c>
      <c r="C251" s="28">
        <f t="shared" si="159"/>
        <v>9</v>
      </c>
      <c r="D251" s="28">
        <f t="shared" si="159"/>
        <v>6</v>
      </c>
      <c r="E251" s="28">
        <f t="shared" si="159"/>
        <v>2</v>
      </c>
      <c r="F251" s="28">
        <f t="shared" si="159"/>
        <v>7</v>
      </c>
      <c r="G251" s="28">
        <f t="shared" si="159"/>
        <v>3</v>
      </c>
      <c r="H251" s="29">
        <f t="shared" si="159"/>
        <v>4</v>
      </c>
      <c r="I251" s="91">
        <f>SUM(B251:H251)</f>
        <v>186</v>
      </c>
      <c r="K251" s="27">
        <f t="shared" ref="K251:Q254" si="160">SUM(B115+K115+T115)</f>
        <v>2</v>
      </c>
      <c r="L251" s="28">
        <f t="shared" si="160"/>
        <v>0</v>
      </c>
      <c r="M251" s="28">
        <f t="shared" si="160"/>
        <v>0</v>
      </c>
      <c r="N251" s="28">
        <f t="shared" si="160"/>
        <v>0</v>
      </c>
      <c r="O251" s="28">
        <f t="shared" si="160"/>
        <v>0</v>
      </c>
      <c r="P251" s="28">
        <f t="shared" si="160"/>
        <v>0</v>
      </c>
      <c r="Q251" s="29">
        <f t="shared" si="160"/>
        <v>0</v>
      </c>
      <c r="R251" s="91">
        <f>SUM(K251:Q251)</f>
        <v>2</v>
      </c>
      <c r="T251" s="27">
        <f t="shared" ref="T251:Z254" si="161">SUM(B183+K183+T183)</f>
        <v>128</v>
      </c>
      <c r="U251" s="28">
        <f t="shared" si="161"/>
        <v>20</v>
      </c>
      <c r="V251" s="28">
        <f t="shared" si="161"/>
        <v>7</v>
      </c>
      <c r="W251" s="28">
        <f t="shared" si="161"/>
        <v>0</v>
      </c>
      <c r="X251" s="28">
        <f t="shared" si="161"/>
        <v>6</v>
      </c>
      <c r="Y251" s="28">
        <f t="shared" si="161"/>
        <v>1</v>
      </c>
      <c r="Z251" s="29">
        <f t="shared" si="161"/>
        <v>0</v>
      </c>
      <c r="AA251" s="91">
        <f>SUM(T251:Z251)</f>
        <v>162</v>
      </c>
      <c r="AC251" s="91">
        <f>SUM(I251+R251+AA251)</f>
        <v>350</v>
      </c>
    </row>
    <row r="252" spans="1:29" ht="15.75" customHeight="1">
      <c r="A252" s="92">
        <v>0.59375</v>
      </c>
      <c r="B252" s="30">
        <f t="shared" si="159"/>
        <v>132</v>
      </c>
      <c r="C252" s="31">
        <f t="shared" si="159"/>
        <v>20</v>
      </c>
      <c r="D252" s="31">
        <f t="shared" si="159"/>
        <v>1</v>
      </c>
      <c r="E252" s="31">
        <f t="shared" si="159"/>
        <v>1</v>
      </c>
      <c r="F252" s="31">
        <f t="shared" si="159"/>
        <v>2</v>
      </c>
      <c r="G252" s="31">
        <f t="shared" si="159"/>
        <v>2</v>
      </c>
      <c r="H252" s="32">
        <f t="shared" si="159"/>
        <v>1</v>
      </c>
      <c r="I252" s="93">
        <f>SUM(B252:H252)</f>
        <v>159</v>
      </c>
      <c r="K252" s="30">
        <f t="shared" si="160"/>
        <v>1</v>
      </c>
      <c r="L252" s="31">
        <f t="shared" si="160"/>
        <v>1</v>
      </c>
      <c r="M252" s="31">
        <f t="shared" si="160"/>
        <v>0</v>
      </c>
      <c r="N252" s="31">
        <f t="shared" si="160"/>
        <v>0</v>
      </c>
      <c r="O252" s="31">
        <f t="shared" si="160"/>
        <v>0</v>
      </c>
      <c r="P252" s="31">
        <f t="shared" si="160"/>
        <v>0</v>
      </c>
      <c r="Q252" s="32">
        <f t="shared" si="160"/>
        <v>0</v>
      </c>
      <c r="R252" s="93">
        <f>SUM(K252:Q252)</f>
        <v>2</v>
      </c>
      <c r="T252" s="30">
        <f t="shared" si="161"/>
        <v>161</v>
      </c>
      <c r="U252" s="31">
        <f t="shared" si="161"/>
        <v>26</v>
      </c>
      <c r="V252" s="31">
        <f t="shared" si="161"/>
        <v>6</v>
      </c>
      <c r="W252" s="31">
        <f t="shared" si="161"/>
        <v>2</v>
      </c>
      <c r="X252" s="31">
        <f t="shared" si="161"/>
        <v>4</v>
      </c>
      <c r="Y252" s="31">
        <f t="shared" si="161"/>
        <v>4</v>
      </c>
      <c r="Z252" s="32">
        <f t="shared" si="161"/>
        <v>0</v>
      </c>
      <c r="AA252" s="93">
        <f>SUM(T252:Z252)</f>
        <v>203</v>
      </c>
      <c r="AC252" s="93">
        <f>SUM(I252+R252+AA252)</f>
        <v>364</v>
      </c>
    </row>
    <row r="253" spans="1:29" ht="15.75" customHeight="1">
      <c r="A253" s="92">
        <v>0.60416666666666663</v>
      </c>
      <c r="B253" s="30">
        <f t="shared" si="159"/>
        <v>128</v>
      </c>
      <c r="C253" s="31">
        <f t="shared" si="159"/>
        <v>14</v>
      </c>
      <c r="D253" s="31">
        <f t="shared" si="159"/>
        <v>4</v>
      </c>
      <c r="E253" s="31">
        <f t="shared" si="159"/>
        <v>0</v>
      </c>
      <c r="F253" s="31">
        <f t="shared" si="159"/>
        <v>8</v>
      </c>
      <c r="G253" s="31">
        <f t="shared" si="159"/>
        <v>1</v>
      </c>
      <c r="H253" s="32">
        <f t="shared" si="159"/>
        <v>4</v>
      </c>
      <c r="I253" s="93">
        <f>SUM(B253:H253)</f>
        <v>159</v>
      </c>
      <c r="K253" s="30">
        <f t="shared" si="160"/>
        <v>5</v>
      </c>
      <c r="L253" s="31">
        <f t="shared" si="160"/>
        <v>2</v>
      </c>
      <c r="M253" s="31">
        <f t="shared" si="160"/>
        <v>0</v>
      </c>
      <c r="N253" s="31">
        <f t="shared" si="160"/>
        <v>0</v>
      </c>
      <c r="O253" s="31">
        <f t="shared" si="160"/>
        <v>0</v>
      </c>
      <c r="P253" s="31">
        <f t="shared" si="160"/>
        <v>0</v>
      </c>
      <c r="Q253" s="32">
        <f t="shared" si="160"/>
        <v>0</v>
      </c>
      <c r="R253" s="93">
        <f>SUM(K253:Q253)</f>
        <v>7</v>
      </c>
      <c r="T253" s="30">
        <f t="shared" si="161"/>
        <v>153</v>
      </c>
      <c r="U253" s="31">
        <f t="shared" si="161"/>
        <v>26</v>
      </c>
      <c r="V253" s="31">
        <f t="shared" si="161"/>
        <v>5</v>
      </c>
      <c r="W253" s="31">
        <f t="shared" si="161"/>
        <v>1</v>
      </c>
      <c r="X253" s="31">
        <f t="shared" si="161"/>
        <v>7</v>
      </c>
      <c r="Y253" s="31">
        <f t="shared" si="161"/>
        <v>2</v>
      </c>
      <c r="Z253" s="32">
        <f t="shared" si="161"/>
        <v>1</v>
      </c>
      <c r="AA253" s="93">
        <f>SUM(T253:Z253)</f>
        <v>195</v>
      </c>
      <c r="AC253" s="93">
        <f>SUM(I253+R253+AA253)</f>
        <v>361</v>
      </c>
    </row>
    <row r="254" spans="1:29" ht="15.75" customHeight="1">
      <c r="A254" s="94">
        <v>0.61458333333333337</v>
      </c>
      <c r="B254" s="33">
        <f t="shared" si="159"/>
        <v>131</v>
      </c>
      <c r="C254" s="34">
        <f t="shared" si="159"/>
        <v>22</v>
      </c>
      <c r="D254" s="34">
        <f t="shared" si="159"/>
        <v>1</v>
      </c>
      <c r="E254" s="34">
        <f t="shared" si="159"/>
        <v>3</v>
      </c>
      <c r="F254" s="34">
        <f t="shared" si="159"/>
        <v>4</v>
      </c>
      <c r="G254" s="34">
        <f t="shared" si="159"/>
        <v>1</v>
      </c>
      <c r="H254" s="35">
        <f t="shared" si="159"/>
        <v>3</v>
      </c>
      <c r="I254" s="95">
        <f>SUM(B254:H254)</f>
        <v>165</v>
      </c>
      <c r="K254" s="33">
        <f t="shared" si="160"/>
        <v>2</v>
      </c>
      <c r="L254" s="34">
        <f t="shared" si="160"/>
        <v>0</v>
      </c>
      <c r="M254" s="34">
        <f t="shared" si="160"/>
        <v>0</v>
      </c>
      <c r="N254" s="34">
        <f t="shared" si="160"/>
        <v>0</v>
      </c>
      <c r="O254" s="34">
        <f t="shared" si="160"/>
        <v>0</v>
      </c>
      <c r="P254" s="34">
        <f t="shared" si="160"/>
        <v>0</v>
      </c>
      <c r="Q254" s="35">
        <f t="shared" si="160"/>
        <v>0</v>
      </c>
      <c r="R254" s="95">
        <f>SUM(K254:Q254)</f>
        <v>2</v>
      </c>
      <c r="T254" s="33">
        <f t="shared" si="161"/>
        <v>166</v>
      </c>
      <c r="U254" s="34">
        <f t="shared" si="161"/>
        <v>26</v>
      </c>
      <c r="V254" s="34">
        <f t="shared" si="161"/>
        <v>7</v>
      </c>
      <c r="W254" s="34">
        <f t="shared" si="161"/>
        <v>1</v>
      </c>
      <c r="X254" s="34">
        <f t="shared" si="161"/>
        <v>5</v>
      </c>
      <c r="Y254" s="34">
        <f t="shared" si="161"/>
        <v>4</v>
      </c>
      <c r="Z254" s="35">
        <f t="shared" si="161"/>
        <v>1</v>
      </c>
      <c r="AA254" s="95">
        <f>SUM(T254:Z254)</f>
        <v>210</v>
      </c>
      <c r="AC254" s="95">
        <f>SUM(I254+R254+AA254)</f>
        <v>377</v>
      </c>
    </row>
    <row r="255" spans="1:29" ht="15.75" customHeight="1">
      <c r="A255" s="40" t="s">
        <v>24</v>
      </c>
      <c r="B255" s="37">
        <f t="shared" ref="B255:I255" si="162">SUM(B251:B254)</f>
        <v>546</v>
      </c>
      <c r="C255" s="38">
        <f t="shared" si="162"/>
        <v>65</v>
      </c>
      <c r="D255" s="38">
        <f t="shared" si="162"/>
        <v>12</v>
      </c>
      <c r="E255" s="38">
        <f t="shared" si="162"/>
        <v>6</v>
      </c>
      <c r="F255" s="38">
        <f t="shared" si="162"/>
        <v>21</v>
      </c>
      <c r="G255" s="38">
        <f t="shared" si="162"/>
        <v>7</v>
      </c>
      <c r="H255" s="39">
        <f t="shared" si="162"/>
        <v>12</v>
      </c>
      <c r="I255" s="40">
        <f t="shared" si="162"/>
        <v>669</v>
      </c>
      <c r="K255" s="37">
        <f t="shared" ref="K255:R255" si="163">SUM(K251:K254)</f>
        <v>10</v>
      </c>
      <c r="L255" s="38">
        <f t="shared" si="163"/>
        <v>3</v>
      </c>
      <c r="M255" s="38">
        <f t="shared" si="163"/>
        <v>0</v>
      </c>
      <c r="N255" s="38">
        <f t="shared" si="163"/>
        <v>0</v>
      </c>
      <c r="O255" s="38">
        <f t="shared" si="163"/>
        <v>0</v>
      </c>
      <c r="P255" s="38">
        <f t="shared" si="163"/>
        <v>0</v>
      </c>
      <c r="Q255" s="39">
        <f t="shared" si="163"/>
        <v>0</v>
      </c>
      <c r="R255" s="40">
        <f t="shared" si="163"/>
        <v>13</v>
      </c>
      <c r="T255" s="37">
        <f t="shared" ref="T255:AA255" si="164">SUM(T251:T254)</f>
        <v>608</v>
      </c>
      <c r="U255" s="38">
        <f t="shared" si="164"/>
        <v>98</v>
      </c>
      <c r="V255" s="38">
        <f t="shared" si="164"/>
        <v>25</v>
      </c>
      <c r="W255" s="38">
        <f t="shared" si="164"/>
        <v>4</v>
      </c>
      <c r="X255" s="38">
        <f t="shared" si="164"/>
        <v>22</v>
      </c>
      <c r="Y255" s="38">
        <f t="shared" si="164"/>
        <v>11</v>
      </c>
      <c r="Z255" s="39">
        <f t="shared" si="164"/>
        <v>2</v>
      </c>
      <c r="AA255" s="40">
        <f t="shared" si="164"/>
        <v>770</v>
      </c>
      <c r="AC255" s="40">
        <f>SUM(AC251:AC254)</f>
        <v>1452</v>
      </c>
    </row>
    <row r="256" spans="1:29" ht="15.75" customHeight="1">
      <c r="A256" s="90">
        <v>0.625</v>
      </c>
      <c r="B256" s="27">
        <f t="shared" ref="B256:H259" si="165">SUM(B52+K52+T52)</f>
        <v>143</v>
      </c>
      <c r="C256" s="28">
        <f t="shared" si="165"/>
        <v>20</v>
      </c>
      <c r="D256" s="28">
        <f t="shared" si="165"/>
        <v>3</v>
      </c>
      <c r="E256" s="28">
        <f t="shared" si="165"/>
        <v>1</v>
      </c>
      <c r="F256" s="28">
        <f t="shared" si="165"/>
        <v>3</v>
      </c>
      <c r="G256" s="28">
        <f t="shared" si="165"/>
        <v>0</v>
      </c>
      <c r="H256" s="29">
        <f t="shared" si="165"/>
        <v>1</v>
      </c>
      <c r="I256" s="91">
        <f>SUM(B256:H256)</f>
        <v>171</v>
      </c>
      <c r="K256" s="27">
        <f t="shared" ref="K256:Q259" si="166">SUM(B120+K120+T120)</f>
        <v>8</v>
      </c>
      <c r="L256" s="28">
        <f t="shared" si="166"/>
        <v>0</v>
      </c>
      <c r="M256" s="28">
        <f t="shared" si="166"/>
        <v>0</v>
      </c>
      <c r="N256" s="28">
        <f t="shared" si="166"/>
        <v>0</v>
      </c>
      <c r="O256" s="28">
        <f t="shared" si="166"/>
        <v>0</v>
      </c>
      <c r="P256" s="28">
        <f t="shared" si="166"/>
        <v>0</v>
      </c>
      <c r="Q256" s="29">
        <f t="shared" si="166"/>
        <v>0</v>
      </c>
      <c r="R256" s="91">
        <f>SUM(K256:Q256)</f>
        <v>8</v>
      </c>
      <c r="T256" s="27">
        <f t="shared" ref="T256:Z259" si="167">SUM(B188+K188+T188)</f>
        <v>168</v>
      </c>
      <c r="U256" s="28">
        <f t="shared" si="167"/>
        <v>38</v>
      </c>
      <c r="V256" s="28">
        <f t="shared" si="167"/>
        <v>7</v>
      </c>
      <c r="W256" s="28">
        <f t="shared" si="167"/>
        <v>1</v>
      </c>
      <c r="X256" s="28">
        <f t="shared" si="167"/>
        <v>2</v>
      </c>
      <c r="Y256" s="28">
        <f t="shared" si="167"/>
        <v>0</v>
      </c>
      <c r="Z256" s="29">
        <f t="shared" si="167"/>
        <v>1</v>
      </c>
      <c r="AA256" s="91">
        <f>SUM(T256:Z256)</f>
        <v>217</v>
      </c>
      <c r="AC256" s="91">
        <f>SUM(I256+R256+AA256)</f>
        <v>396</v>
      </c>
    </row>
    <row r="257" spans="1:29" ht="15.75" customHeight="1">
      <c r="A257" s="92">
        <v>0.63541666666666663</v>
      </c>
      <c r="B257" s="30">
        <f t="shared" si="165"/>
        <v>151</v>
      </c>
      <c r="C257" s="31">
        <f t="shared" si="165"/>
        <v>16</v>
      </c>
      <c r="D257" s="31">
        <f t="shared" si="165"/>
        <v>4</v>
      </c>
      <c r="E257" s="31">
        <f t="shared" si="165"/>
        <v>0</v>
      </c>
      <c r="F257" s="31">
        <f t="shared" si="165"/>
        <v>7</v>
      </c>
      <c r="G257" s="31">
        <f t="shared" si="165"/>
        <v>3</v>
      </c>
      <c r="H257" s="32">
        <f t="shared" si="165"/>
        <v>5</v>
      </c>
      <c r="I257" s="93">
        <f>SUM(B257:H257)</f>
        <v>186</v>
      </c>
      <c r="K257" s="30">
        <f t="shared" si="166"/>
        <v>2</v>
      </c>
      <c r="L257" s="31">
        <f t="shared" si="166"/>
        <v>2</v>
      </c>
      <c r="M257" s="31">
        <f t="shared" si="166"/>
        <v>0</v>
      </c>
      <c r="N257" s="31">
        <f t="shared" si="166"/>
        <v>0</v>
      </c>
      <c r="O257" s="31">
        <f t="shared" si="166"/>
        <v>0</v>
      </c>
      <c r="P257" s="31">
        <f t="shared" si="166"/>
        <v>0</v>
      </c>
      <c r="Q257" s="32">
        <f t="shared" si="166"/>
        <v>1</v>
      </c>
      <c r="R257" s="93">
        <f>SUM(K257:Q257)</f>
        <v>5</v>
      </c>
      <c r="T257" s="30">
        <f t="shared" si="167"/>
        <v>140</v>
      </c>
      <c r="U257" s="31">
        <f t="shared" si="167"/>
        <v>29</v>
      </c>
      <c r="V257" s="31">
        <f t="shared" si="167"/>
        <v>7</v>
      </c>
      <c r="W257" s="31">
        <f t="shared" si="167"/>
        <v>0</v>
      </c>
      <c r="X257" s="31">
        <f t="shared" si="167"/>
        <v>9</v>
      </c>
      <c r="Y257" s="31">
        <f t="shared" si="167"/>
        <v>3</v>
      </c>
      <c r="Z257" s="32">
        <f t="shared" si="167"/>
        <v>3</v>
      </c>
      <c r="AA257" s="93">
        <f>SUM(T257:Z257)</f>
        <v>191</v>
      </c>
      <c r="AC257" s="93">
        <f>SUM(I257+R257+AA257)</f>
        <v>382</v>
      </c>
    </row>
    <row r="258" spans="1:29" ht="15.75" customHeight="1">
      <c r="A258" s="92">
        <v>0.64583333333333337</v>
      </c>
      <c r="B258" s="30">
        <f t="shared" si="165"/>
        <v>180</v>
      </c>
      <c r="C258" s="31">
        <f t="shared" si="165"/>
        <v>24</v>
      </c>
      <c r="D258" s="31">
        <f t="shared" si="165"/>
        <v>3</v>
      </c>
      <c r="E258" s="31">
        <f t="shared" si="165"/>
        <v>0</v>
      </c>
      <c r="F258" s="31">
        <f t="shared" si="165"/>
        <v>4</v>
      </c>
      <c r="G258" s="31">
        <f t="shared" si="165"/>
        <v>1</v>
      </c>
      <c r="H258" s="32">
        <f t="shared" si="165"/>
        <v>2</v>
      </c>
      <c r="I258" s="93">
        <f>SUM(B258:H258)</f>
        <v>214</v>
      </c>
      <c r="K258" s="30">
        <f t="shared" si="166"/>
        <v>1</v>
      </c>
      <c r="L258" s="31">
        <f t="shared" si="166"/>
        <v>1</v>
      </c>
      <c r="M258" s="31">
        <f t="shared" si="166"/>
        <v>0</v>
      </c>
      <c r="N258" s="31">
        <f t="shared" si="166"/>
        <v>0</v>
      </c>
      <c r="O258" s="31">
        <f t="shared" si="166"/>
        <v>0</v>
      </c>
      <c r="P258" s="31">
        <f t="shared" si="166"/>
        <v>1</v>
      </c>
      <c r="Q258" s="32">
        <f t="shared" si="166"/>
        <v>0</v>
      </c>
      <c r="R258" s="93">
        <f>SUM(K258:Q258)</f>
        <v>3</v>
      </c>
      <c r="T258" s="30">
        <f t="shared" si="167"/>
        <v>138</v>
      </c>
      <c r="U258" s="31">
        <f t="shared" si="167"/>
        <v>21</v>
      </c>
      <c r="V258" s="31">
        <f t="shared" si="167"/>
        <v>2</v>
      </c>
      <c r="W258" s="31">
        <f t="shared" si="167"/>
        <v>0</v>
      </c>
      <c r="X258" s="31">
        <f t="shared" si="167"/>
        <v>5</v>
      </c>
      <c r="Y258" s="31">
        <f t="shared" si="167"/>
        <v>4</v>
      </c>
      <c r="Z258" s="32">
        <f t="shared" si="167"/>
        <v>1</v>
      </c>
      <c r="AA258" s="93">
        <f>SUM(T258:Z258)</f>
        <v>171</v>
      </c>
      <c r="AC258" s="93">
        <f>SUM(I258+R258+AA258)</f>
        <v>388</v>
      </c>
    </row>
    <row r="259" spans="1:29" ht="15.75" customHeight="1">
      <c r="A259" s="94">
        <v>0.65625</v>
      </c>
      <c r="B259" s="33">
        <f t="shared" si="165"/>
        <v>171</v>
      </c>
      <c r="C259" s="34">
        <f t="shared" si="165"/>
        <v>22</v>
      </c>
      <c r="D259" s="34">
        <f t="shared" si="165"/>
        <v>0</v>
      </c>
      <c r="E259" s="34">
        <f t="shared" si="165"/>
        <v>1</v>
      </c>
      <c r="F259" s="34">
        <f t="shared" si="165"/>
        <v>7</v>
      </c>
      <c r="G259" s="34">
        <f t="shared" si="165"/>
        <v>2</v>
      </c>
      <c r="H259" s="35">
        <f t="shared" si="165"/>
        <v>4</v>
      </c>
      <c r="I259" s="95">
        <f>SUM(B259:H259)</f>
        <v>207</v>
      </c>
      <c r="K259" s="33">
        <f t="shared" si="166"/>
        <v>3</v>
      </c>
      <c r="L259" s="34">
        <f t="shared" si="166"/>
        <v>2</v>
      </c>
      <c r="M259" s="34">
        <f t="shared" si="166"/>
        <v>0</v>
      </c>
      <c r="N259" s="34">
        <f t="shared" si="166"/>
        <v>0</v>
      </c>
      <c r="O259" s="34">
        <f t="shared" si="166"/>
        <v>0</v>
      </c>
      <c r="P259" s="34">
        <f t="shared" si="166"/>
        <v>0</v>
      </c>
      <c r="Q259" s="35">
        <f t="shared" si="166"/>
        <v>0</v>
      </c>
      <c r="R259" s="95">
        <f>SUM(K259:Q259)</f>
        <v>5</v>
      </c>
      <c r="T259" s="33">
        <f t="shared" si="167"/>
        <v>136</v>
      </c>
      <c r="U259" s="34">
        <f t="shared" si="167"/>
        <v>28</v>
      </c>
      <c r="V259" s="34">
        <f t="shared" si="167"/>
        <v>1</v>
      </c>
      <c r="W259" s="34">
        <f t="shared" si="167"/>
        <v>0</v>
      </c>
      <c r="X259" s="34">
        <f t="shared" si="167"/>
        <v>4</v>
      </c>
      <c r="Y259" s="34">
        <f t="shared" si="167"/>
        <v>2</v>
      </c>
      <c r="Z259" s="35">
        <f t="shared" si="167"/>
        <v>2</v>
      </c>
      <c r="AA259" s="95">
        <f>SUM(T259:Z259)</f>
        <v>173</v>
      </c>
      <c r="AC259" s="95">
        <f>SUM(I259+R259+AA259)</f>
        <v>385</v>
      </c>
    </row>
    <row r="260" spans="1:29" ht="15.75" customHeight="1">
      <c r="A260" s="40" t="s">
        <v>24</v>
      </c>
      <c r="B260" s="37">
        <f t="shared" ref="B260:I260" si="168">SUM(B256:B259)</f>
        <v>645</v>
      </c>
      <c r="C260" s="38">
        <f t="shared" si="168"/>
        <v>82</v>
      </c>
      <c r="D260" s="38">
        <f t="shared" si="168"/>
        <v>10</v>
      </c>
      <c r="E260" s="38">
        <f t="shared" si="168"/>
        <v>2</v>
      </c>
      <c r="F260" s="38">
        <f t="shared" si="168"/>
        <v>21</v>
      </c>
      <c r="G260" s="38">
        <f t="shared" si="168"/>
        <v>6</v>
      </c>
      <c r="H260" s="39">
        <f t="shared" si="168"/>
        <v>12</v>
      </c>
      <c r="I260" s="40">
        <f t="shared" si="168"/>
        <v>778</v>
      </c>
      <c r="K260" s="37">
        <f t="shared" ref="K260:R260" si="169">SUM(K256:K259)</f>
        <v>14</v>
      </c>
      <c r="L260" s="38">
        <f t="shared" si="169"/>
        <v>5</v>
      </c>
      <c r="M260" s="38">
        <f t="shared" si="169"/>
        <v>0</v>
      </c>
      <c r="N260" s="38">
        <f t="shared" si="169"/>
        <v>0</v>
      </c>
      <c r="O260" s="38">
        <f t="shared" si="169"/>
        <v>0</v>
      </c>
      <c r="P260" s="38">
        <f t="shared" si="169"/>
        <v>1</v>
      </c>
      <c r="Q260" s="39">
        <f t="shared" si="169"/>
        <v>1</v>
      </c>
      <c r="R260" s="40">
        <f t="shared" si="169"/>
        <v>21</v>
      </c>
      <c r="T260" s="37">
        <f t="shared" ref="T260:AA260" si="170">SUM(T256:T259)</f>
        <v>582</v>
      </c>
      <c r="U260" s="38">
        <f t="shared" si="170"/>
        <v>116</v>
      </c>
      <c r="V260" s="38">
        <f t="shared" si="170"/>
        <v>17</v>
      </c>
      <c r="W260" s="38">
        <f t="shared" si="170"/>
        <v>1</v>
      </c>
      <c r="X260" s="38">
        <f t="shared" si="170"/>
        <v>20</v>
      </c>
      <c r="Y260" s="38">
        <f t="shared" si="170"/>
        <v>9</v>
      </c>
      <c r="Z260" s="39">
        <f t="shared" si="170"/>
        <v>7</v>
      </c>
      <c r="AA260" s="40">
        <f t="shared" si="170"/>
        <v>752</v>
      </c>
      <c r="AC260" s="40">
        <f>SUM(AC256:AC259)</f>
        <v>1551</v>
      </c>
    </row>
    <row r="261" spans="1:29" ht="15.75" customHeight="1">
      <c r="A261" s="90">
        <v>0.66666666666666663</v>
      </c>
      <c r="B261" s="27">
        <f t="shared" ref="B261:H264" si="171">SUM(B57+K57+T57)</f>
        <v>149</v>
      </c>
      <c r="C261" s="28">
        <f t="shared" si="171"/>
        <v>25</v>
      </c>
      <c r="D261" s="28">
        <f t="shared" si="171"/>
        <v>1</v>
      </c>
      <c r="E261" s="28">
        <f t="shared" si="171"/>
        <v>1</v>
      </c>
      <c r="F261" s="28">
        <f t="shared" si="171"/>
        <v>8</v>
      </c>
      <c r="G261" s="28">
        <f t="shared" si="171"/>
        <v>3</v>
      </c>
      <c r="H261" s="29">
        <f t="shared" si="171"/>
        <v>2</v>
      </c>
      <c r="I261" s="91">
        <f>SUM(B261:H261)</f>
        <v>189</v>
      </c>
      <c r="K261" s="27">
        <f t="shared" ref="K261:Q264" si="172">SUM(B125+K125+T125)</f>
        <v>4</v>
      </c>
      <c r="L261" s="28">
        <f t="shared" si="172"/>
        <v>1</v>
      </c>
      <c r="M261" s="28">
        <f t="shared" si="172"/>
        <v>0</v>
      </c>
      <c r="N261" s="28">
        <f t="shared" si="172"/>
        <v>0</v>
      </c>
      <c r="O261" s="28">
        <f t="shared" si="172"/>
        <v>0</v>
      </c>
      <c r="P261" s="28">
        <f t="shared" si="172"/>
        <v>0</v>
      </c>
      <c r="Q261" s="29">
        <f t="shared" si="172"/>
        <v>0</v>
      </c>
      <c r="R261" s="91">
        <f>SUM(K261:Q261)</f>
        <v>5</v>
      </c>
      <c r="T261" s="27">
        <f t="shared" ref="T261:Z264" si="173">SUM(B193+K193+T193)</f>
        <v>149</v>
      </c>
      <c r="U261" s="28">
        <f t="shared" si="173"/>
        <v>22</v>
      </c>
      <c r="V261" s="28">
        <f t="shared" si="173"/>
        <v>0</v>
      </c>
      <c r="W261" s="28">
        <f t="shared" si="173"/>
        <v>1</v>
      </c>
      <c r="X261" s="28">
        <f t="shared" si="173"/>
        <v>8</v>
      </c>
      <c r="Y261" s="28">
        <f t="shared" si="173"/>
        <v>2</v>
      </c>
      <c r="Z261" s="29">
        <f t="shared" si="173"/>
        <v>5</v>
      </c>
      <c r="AA261" s="91">
        <f>SUM(T261:Z261)</f>
        <v>187</v>
      </c>
      <c r="AC261" s="91">
        <f>SUM(I261+R261+AA261)</f>
        <v>381</v>
      </c>
    </row>
    <row r="262" spans="1:29" ht="15.75" customHeight="1">
      <c r="A262" s="92">
        <v>0.67708333333333337</v>
      </c>
      <c r="B262" s="30">
        <f t="shared" si="171"/>
        <v>145</v>
      </c>
      <c r="C262" s="31">
        <f t="shared" si="171"/>
        <v>26</v>
      </c>
      <c r="D262" s="31">
        <f t="shared" si="171"/>
        <v>1</v>
      </c>
      <c r="E262" s="31">
        <f t="shared" si="171"/>
        <v>1</v>
      </c>
      <c r="F262" s="31">
        <f t="shared" si="171"/>
        <v>7</v>
      </c>
      <c r="G262" s="31">
        <f t="shared" si="171"/>
        <v>7</v>
      </c>
      <c r="H262" s="32">
        <f t="shared" si="171"/>
        <v>6</v>
      </c>
      <c r="I262" s="93">
        <f>SUM(B262:H262)</f>
        <v>193</v>
      </c>
      <c r="K262" s="30">
        <f t="shared" si="172"/>
        <v>2</v>
      </c>
      <c r="L262" s="31">
        <f t="shared" si="172"/>
        <v>1</v>
      </c>
      <c r="M262" s="31">
        <f t="shared" si="172"/>
        <v>0</v>
      </c>
      <c r="N262" s="31">
        <f t="shared" si="172"/>
        <v>0</v>
      </c>
      <c r="O262" s="31">
        <f t="shared" si="172"/>
        <v>0</v>
      </c>
      <c r="P262" s="31">
        <f t="shared" si="172"/>
        <v>0</v>
      </c>
      <c r="Q262" s="32">
        <f t="shared" si="172"/>
        <v>0</v>
      </c>
      <c r="R262" s="93">
        <f>SUM(K262:Q262)</f>
        <v>3</v>
      </c>
      <c r="T262" s="30">
        <f t="shared" si="173"/>
        <v>168</v>
      </c>
      <c r="U262" s="31">
        <f t="shared" si="173"/>
        <v>37</v>
      </c>
      <c r="V262" s="31">
        <f t="shared" si="173"/>
        <v>3</v>
      </c>
      <c r="W262" s="31">
        <f t="shared" si="173"/>
        <v>0</v>
      </c>
      <c r="X262" s="31">
        <f t="shared" si="173"/>
        <v>6</v>
      </c>
      <c r="Y262" s="31">
        <f t="shared" si="173"/>
        <v>5</v>
      </c>
      <c r="Z262" s="32">
        <f t="shared" si="173"/>
        <v>6</v>
      </c>
      <c r="AA262" s="93">
        <f>SUM(T262:Z262)</f>
        <v>225</v>
      </c>
      <c r="AC262" s="93">
        <f>SUM(I262+R262+AA262)</f>
        <v>421</v>
      </c>
    </row>
    <row r="263" spans="1:29" ht="15.75" customHeight="1">
      <c r="A263" s="92">
        <v>0.6875</v>
      </c>
      <c r="B263" s="30">
        <f t="shared" si="171"/>
        <v>163</v>
      </c>
      <c r="C263" s="31">
        <f t="shared" si="171"/>
        <v>25</v>
      </c>
      <c r="D263" s="31">
        <f t="shared" si="171"/>
        <v>1</v>
      </c>
      <c r="E263" s="31">
        <f t="shared" si="171"/>
        <v>2</v>
      </c>
      <c r="F263" s="31">
        <f t="shared" si="171"/>
        <v>5</v>
      </c>
      <c r="G263" s="31">
        <f t="shared" si="171"/>
        <v>3</v>
      </c>
      <c r="H263" s="32">
        <f t="shared" si="171"/>
        <v>4</v>
      </c>
      <c r="I263" s="93">
        <f>SUM(B263:H263)</f>
        <v>203</v>
      </c>
      <c r="K263" s="30">
        <f t="shared" si="172"/>
        <v>1</v>
      </c>
      <c r="L263" s="31">
        <f t="shared" si="172"/>
        <v>1</v>
      </c>
      <c r="M263" s="31">
        <f t="shared" si="172"/>
        <v>0</v>
      </c>
      <c r="N263" s="31">
        <f t="shared" si="172"/>
        <v>0</v>
      </c>
      <c r="O263" s="31">
        <f t="shared" si="172"/>
        <v>0</v>
      </c>
      <c r="P263" s="31">
        <f t="shared" si="172"/>
        <v>0</v>
      </c>
      <c r="Q263" s="32">
        <f t="shared" si="172"/>
        <v>1</v>
      </c>
      <c r="R263" s="93">
        <f>SUM(K263:Q263)</f>
        <v>3</v>
      </c>
      <c r="T263" s="30">
        <f t="shared" si="173"/>
        <v>153</v>
      </c>
      <c r="U263" s="31">
        <f t="shared" si="173"/>
        <v>20</v>
      </c>
      <c r="V263" s="31">
        <f t="shared" si="173"/>
        <v>2</v>
      </c>
      <c r="W263" s="31">
        <f t="shared" si="173"/>
        <v>0</v>
      </c>
      <c r="X263" s="31">
        <f t="shared" si="173"/>
        <v>7</v>
      </c>
      <c r="Y263" s="31">
        <f t="shared" si="173"/>
        <v>3</v>
      </c>
      <c r="Z263" s="32">
        <f t="shared" si="173"/>
        <v>3</v>
      </c>
      <c r="AA263" s="93">
        <f>SUM(T263:Z263)</f>
        <v>188</v>
      </c>
      <c r="AC263" s="93">
        <f>SUM(I263+R263+AA263)</f>
        <v>394</v>
      </c>
    </row>
    <row r="264" spans="1:29" ht="15.75" customHeight="1">
      <c r="A264" s="94">
        <v>0.69791666666666663</v>
      </c>
      <c r="B264" s="33">
        <f t="shared" si="171"/>
        <v>170</v>
      </c>
      <c r="C264" s="34">
        <f t="shared" si="171"/>
        <v>19</v>
      </c>
      <c r="D264" s="34">
        <f t="shared" si="171"/>
        <v>1</v>
      </c>
      <c r="E264" s="34">
        <f t="shared" si="171"/>
        <v>0</v>
      </c>
      <c r="F264" s="34">
        <f t="shared" si="171"/>
        <v>6</v>
      </c>
      <c r="G264" s="34">
        <f t="shared" si="171"/>
        <v>1</v>
      </c>
      <c r="H264" s="35">
        <f t="shared" si="171"/>
        <v>1</v>
      </c>
      <c r="I264" s="95">
        <f>SUM(B264:H264)</f>
        <v>198</v>
      </c>
      <c r="K264" s="33">
        <f t="shared" si="172"/>
        <v>2</v>
      </c>
      <c r="L264" s="34">
        <f t="shared" si="172"/>
        <v>0</v>
      </c>
      <c r="M264" s="34">
        <f t="shared" si="172"/>
        <v>0</v>
      </c>
      <c r="N264" s="34">
        <f t="shared" si="172"/>
        <v>0</v>
      </c>
      <c r="O264" s="34">
        <f t="shared" si="172"/>
        <v>0</v>
      </c>
      <c r="P264" s="34">
        <f t="shared" si="172"/>
        <v>0</v>
      </c>
      <c r="Q264" s="35">
        <f t="shared" si="172"/>
        <v>0</v>
      </c>
      <c r="R264" s="95">
        <f>SUM(K264:Q264)</f>
        <v>2</v>
      </c>
      <c r="T264" s="33">
        <f t="shared" si="173"/>
        <v>160</v>
      </c>
      <c r="U264" s="34">
        <f t="shared" si="173"/>
        <v>23</v>
      </c>
      <c r="V264" s="34">
        <f t="shared" si="173"/>
        <v>5</v>
      </c>
      <c r="W264" s="34">
        <f t="shared" si="173"/>
        <v>1</v>
      </c>
      <c r="X264" s="34">
        <f t="shared" si="173"/>
        <v>3</v>
      </c>
      <c r="Y264" s="34">
        <f t="shared" si="173"/>
        <v>8</v>
      </c>
      <c r="Z264" s="35">
        <f t="shared" si="173"/>
        <v>5</v>
      </c>
      <c r="AA264" s="95">
        <f>SUM(T264:Z264)</f>
        <v>205</v>
      </c>
      <c r="AC264" s="95">
        <f>SUM(I264+R264+AA264)</f>
        <v>405</v>
      </c>
    </row>
    <row r="265" spans="1:29" ht="15.75" customHeight="1">
      <c r="A265" s="40" t="s">
        <v>24</v>
      </c>
      <c r="B265" s="37">
        <f t="shared" ref="B265:I265" si="174">SUM(B261:B264)</f>
        <v>627</v>
      </c>
      <c r="C265" s="38">
        <f t="shared" si="174"/>
        <v>95</v>
      </c>
      <c r="D265" s="38">
        <f t="shared" si="174"/>
        <v>4</v>
      </c>
      <c r="E265" s="38">
        <f t="shared" si="174"/>
        <v>4</v>
      </c>
      <c r="F265" s="38">
        <f t="shared" si="174"/>
        <v>26</v>
      </c>
      <c r="G265" s="38">
        <f t="shared" si="174"/>
        <v>14</v>
      </c>
      <c r="H265" s="39">
        <f t="shared" si="174"/>
        <v>13</v>
      </c>
      <c r="I265" s="40">
        <f t="shared" si="174"/>
        <v>783</v>
      </c>
      <c r="K265" s="37">
        <f t="shared" ref="K265:R265" si="175">SUM(K261:K264)</f>
        <v>9</v>
      </c>
      <c r="L265" s="38">
        <f t="shared" si="175"/>
        <v>3</v>
      </c>
      <c r="M265" s="38">
        <f t="shared" si="175"/>
        <v>0</v>
      </c>
      <c r="N265" s="38">
        <f t="shared" si="175"/>
        <v>0</v>
      </c>
      <c r="O265" s="38">
        <f t="shared" si="175"/>
        <v>0</v>
      </c>
      <c r="P265" s="38">
        <f t="shared" si="175"/>
        <v>0</v>
      </c>
      <c r="Q265" s="39">
        <f t="shared" si="175"/>
        <v>1</v>
      </c>
      <c r="R265" s="40">
        <f t="shared" si="175"/>
        <v>13</v>
      </c>
      <c r="T265" s="37">
        <f t="shared" ref="T265:AA265" si="176">SUM(T261:T264)</f>
        <v>630</v>
      </c>
      <c r="U265" s="38">
        <f t="shared" si="176"/>
        <v>102</v>
      </c>
      <c r="V265" s="38">
        <f t="shared" si="176"/>
        <v>10</v>
      </c>
      <c r="W265" s="38">
        <f t="shared" si="176"/>
        <v>2</v>
      </c>
      <c r="X265" s="38">
        <f t="shared" si="176"/>
        <v>24</v>
      </c>
      <c r="Y265" s="38">
        <f t="shared" si="176"/>
        <v>18</v>
      </c>
      <c r="Z265" s="39">
        <f t="shared" si="176"/>
        <v>19</v>
      </c>
      <c r="AA265" s="40">
        <f t="shared" si="176"/>
        <v>805</v>
      </c>
      <c r="AC265" s="40">
        <f>SUM(AC261:AC264)</f>
        <v>1601</v>
      </c>
    </row>
    <row r="266" spans="1:29" ht="15.75" customHeight="1">
      <c r="A266" s="90">
        <v>0.70833333333333337</v>
      </c>
      <c r="B266" s="27">
        <f t="shared" ref="B266:H269" si="177">SUM(B62+K62+T62)</f>
        <v>189</v>
      </c>
      <c r="C266" s="28">
        <f t="shared" si="177"/>
        <v>18</v>
      </c>
      <c r="D266" s="28">
        <f t="shared" si="177"/>
        <v>2</v>
      </c>
      <c r="E266" s="28">
        <f t="shared" si="177"/>
        <v>0</v>
      </c>
      <c r="F266" s="28">
        <f t="shared" si="177"/>
        <v>5</v>
      </c>
      <c r="G266" s="28">
        <f t="shared" si="177"/>
        <v>4</v>
      </c>
      <c r="H266" s="29">
        <f t="shared" si="177"/>
        <v>7</v>
      </c>
      <c r="I266" s="91">
        <f>SUM(B266:H266)</f>
        <v>225</v>
      </c>
      <c r="K266" s="27">
        <f t="shared" ref="K266:Q269" si="178">SUM(B130+K130+T130)</f>
        <v>8</v>
      </c>
      <c r="L266" s="28">
        <f t="shared" si="178"/>
        <v>0</v>
      </c>
      <c r="M266" s="28">
        <f t="shared" si="178"/>
        <v>0</v>
      </c>
      <c r="N266" s="28">
        <f t="shared" si="178"/>
        <v>0</v>
      </c>
      <c r="O266" s="28">
        <f t="shared" si="178"/>
        <v>0</v>
      </c>
      <c r="P266" s="28">
        <f t="shared" si="178"/>
        <v>0</v>
      </c>
      <c r="Q266" s="29">
        <f t="shared" si="178"/>
        <v>0</v>
      </c>
      <c r="R266" s="91">
        <f>SUM(K266:Q266)</f>
        <v>8</v>
      </c>
      <c r="T266" s="27">
        <f t="shared" ref="T266:Z269" si="179">SUM(B198+K198+T198)</f>
        <v>171</v>
      </c>
      <c r="U266" s="28">
        <f t="shared" si="179"/>
        <v>9</v>
      </c>
      <c r="V266" s="28">
        <f t="shared" si="179"/>
        <v>1</v>
      </c>
      <c r="W266" s="28">
        <f t="shared" si="179"/>
        <v>1</v>
      </c>
      <c r="X266" s="28">
        <f t="shared" si="179"/>
        <v>5</v>
      </c>
      <c r="Y266" s="28">
        <f t="shared" si="179"/>
        <v>5</v>
      </c>
      <c r="Z266" s="29">
        <f t="shared" si="179"/>
        <v>4</v>
      </c>
      <c r="AA266" s="91">
        <f>SUM(T266:Z266)</f>
        <v>196</v>
      </c>
      <c r="AC266" s="91">
        <f>SUM(I266+R266+AA266)</f>
        <v>429</v>
      </c>
    </row>
    <row r="267" spans="1:29" ht="15.75" customHeight="1">
      <c r="A267" s="92">
        <v>0.71875</v>
      </c>
      <c r="B267" s="30">
        <f t="shared" si="177"/>
        <v>165</v>
      </c>
      <c r="C267" s="31">
        <f t="shared" si="177"/>
        <v>16</v>
      </c>
      <c r="D267" s="31">
        <f t="shared" si="177"/>
        <v>2</v>
      </c>
      <c r="E267" s="31">
        <f t="shared" si="177"/>
        <v>0</v>
      </c>
      <c r="F267" s="31">
        <f t="shared" si="177"/>
        <v>5</v>
      </c>
      <c r="G267" s="31">
        <f t="shared" si="177"/>
        <v>3</v>
      </c>
      <c r="H267" s="32">
        <f t="shared" si="177"/>
        <v>7</v>
      </c>
      <c r="I267" s="93">
        <f>SUM(B267:H267)</f>
        <v>198</v>
      </c>
      <c r="K267" s="30">
        <f t="shared" si="178"/>
        <v>4</v>
      </c>
      <c r="L267" s="31">
        <f t="shared" si="178"/>
        <v>3</v>
      </c>
      <c r="M267" s="31">
        <f t="shared" si="178"/>
        <v>0</v>
      </c>
      <c r="N267" s="31">
        <f t="shared" si="178"/>
        <v>0</v>
      </c>
      <c r="O267" s="31">
        <f t="shared" si="178"/>
        <v>0</v>
      </c>
      <c r="P267" s="31">
        <f t="shared" si="178"/>
        <v>0</v>
      </c>
      <c r="Q267" s="32">
        <f t="shared" si="178"/>
        <v>0</v>
      </c>
      <c r="R267" s="93">
        <f>SUM(K267:Q267)</f>
        <v>7</v>
      </c>
      <c r="T267" s="30">
        <f t="shared" si="179"/>
        <v>151</v>
      </c>
      <c r="U267" s="31">
        <f t="shared" si="179"/>
        <v>20</v>
      </c>
      <c r="V267" s="31">
        <f t="shared" si="179"/>
        <v>1</v>
      </c>
      <c r="W267" s="31">
        <f t="shared" si="179"/>
        <v>0</v>
      </c>
      <c r="X267" s="31">
        <f t="shared" si="179"/>
        <v>5</v>
      </c>
      <c r="Y267" s="31">
        <f t="shared" si="179"/>
        <v>7</v>
      </c>
      <c r="Z267" s="32">
        <f t="shared" si="179"/>
        <v>6</v>
      </c>
      <c r="AA267" s="93">
        <f>SUM(T267:Z267)</f>
        <v>190</v>
      </c>
      <c r="AC267" s="93">
        <f>SUM(I267+R267+AA267)</f>
        <v>395</v>
      </c>
    </row>
    <row r="268" spans="1:29" ht="15.75" customHeight="1">
      <c r="A268" s="92">
        <v>0.72916666666666663</v>
      </c>
      <c r="B268" s="30">
        <f t="shared" si="177"/>
        <v>159</v>
      </c>
      <c r="C268" s="31">
        <f t="shared" si="177"/>
        <v>9</v>
      </c>
      <c r="D268" s="31">
        <f t="shared" si="177"/>
        <v>0</v>
      </c>
      <c r="E268" s="31">
        <f t="shared" si="177"/>
        <v>0</v>
      </c>
      <c r="F268" s="31">
        <f t="shared" si="177"/>
        <v>4</v>
      </c>
      <c r="G268" s="31">
        <f t="shared" si="177"/>
        <v>0</v>
      </c>
      <c r="H268" s="32">
        <f t="shared" si="177"/>
        <v>7</v>
      </c>
      <c r="I268" s="93">
        <f>SUM(B268:H268)</f>
        <v>179</v>
      </c>
      <c r="K268" s="30">
        <f t="shared" si="178"/>
        <v>5</v>
      </c>
      <c r="L268" s="31">
        <f t="shared" si="178"/>
        <v>0</v>
      </c>
      <c r="M268" s="31">
        <f t="shared" si="178"/>
        <v>0</v>
      </c>
      <c r="N268" s="31">
        <f t="shared" si="178"/>
        <v>0</v>
      </c>
      <c r="O268" s="31">
        <f t="shared" si="178"/>
        <v>0</v>
      </c>
      <c r="P268" s="31">
        <f t="shared" si="178"/>
        <v>0</v>
      </c>
      <c r="Q268" s="32">
        <f t="shared" si="178"/>
        <v>1</v>
      </c>
      <c r="R268" s="93">
        <f>SUM(K268:Q268)</f>
        <v>6</v>
      </c>
      <c r="T268" s="30">
        <f t="shared" si="179"/>
        <v>134</v>
      </c>
      <c r="U268" s="31">
        <f t="shared" si="179"/>
        <v>15</v>
      </c>
      <c r="V268" s="31">
        <f t="shared" si="179"/>
        <v>2</v>
      </c>
      <c r="W268" s="31">
        <f t="shared" si="179"/>
        <v>0</v>
      </c>
      <c r="X268" s="31">
        <f t="shared" si="179"/>
        <v>4</v>
      </c>
      <c r="Y268" s="31">
        <f t="shared" si="179"/>
        <v>12</v>
      </c>
      <c r="Z268" s="32">
        <f t="shared" si="179"/>
        <v>4</v>
      </c>
      <c r="AA268" s="93">
        <f>SUM(T268:Z268)</f>
        <v>171</v>
      </c>
      <c r="AC268" s="93">
        <f>SUM(I268+R268+AA268)</f>
        <v>356</v>
      </c>
    </row>
    <row r="269" spans="1:29" ht="15.75" customHeight="1">
      <c r="A269" s="94">
        <v>0.73958333333333337</v>
      </c>
      <c r="B269" s="33">
        <f t="shared" si="177"/>
        <v>147</v>
      </c>
      <c r="C269" s="34">
        <f t="shared" si="177"/>
        <v>12</v>
      </c>
      <c r="D269" s="34">
        <f t="shared" si="177"/>
        <v>0</v>
      </c>
      <c r="E269" s="34">
        <f t="shared" si="177"/>
        <v>1</v>
      </c>
      <c r="F269" s="34">
        <f t="shared" si="177"/>
        <v>5</v>
      </c>
      <c r="G269" s="34">
        <f t="shared" si="177"/>
        <v>2</v>
      </c>
      <c r="H269" s="35">
        <f t="shared" si="177"/>
        <v>7</v>
      </c>
      <c r="I269" s="95">
        <f>SUM(B269:H269)</f>
        <v>174</v>
      </c>
      <c r="K269" s="33">
        <f t="shared" si="178"/>
        <v>7</v>
      </c>
      <c r="L269" s="34">
        <f t="shared" si="178"/>
        <v>0</v>
      </c>
      <c r="M269" s="34">
        <f t="shared" si="178"/>
        <v>0</v>
      </c>
      <c r="N269" s="34">
        <f t="shared" si="178"/>
        <v>0</v>
      </c>
      <c r="O269" s="34">
        <f t="shared" si="178"/>
        <v>0</v>
      </c>
      <c r="P269" s="34">
        <f t="shared" si="178"/>
        <v>0</v>
      </c>
      <c r="Q269" s="35">
        <f t="shared" si="178"/>
        <v>0</v>
      </c>
      <c r="R269" s="95">
        <f>SUM(K269:Q269)</f>
        <v>7</v>
      </c>
      <c r="T269" s="33">
        <f t="shared" si="179"/>
        <v>183</v>
      </c>
      <c r="U269" s="34">
        <f t="shared" si="179"/>
        <v>16</v>
      </c>
      <c r="V269" s="34">
        <f t="shared" si="179"/>
        <v>1</v>
      </c>
      <c r="W269" s="34">
        <f t="shared" si="179"/>
        <v>1</v>
      </c>
      <c r="X269" s="34">
        <f t="shared" si="179"/>
        <v>5</v>
      </c>
      <c r="Y269" s="34">
        <f t="shared" si="179"/>
        <v>5</v>
      </c>
      <c r="Z269" s="35">
        <f t="shared" si="179"/>
        <v>9</v>
      </c>
      <c r="AA269" s="95">
        <f>SUM(T269:Z269)</f>
        <v>220</v>
      </c>
      <c r="AC269" s="95">
        <f>SUM(I269+R269+AA269)</f>
        <v>401</v>
      </c>
    </row>
    <row r="270" spans="1:29" ht="15.75" customHeight="1">
      <c r="A270" s="40" t="s">
        <v>24</v>
      </c>
      <c r="B270" s="37">
        <f t="shared" ref="B270:I270" si="180">SUM(B266:B269)</f>
        <v>660</v>
      </c>
      <c r="C270" s="38">
        <f t="shared" si="180"/>
        <v>55</v>
      </c>
      <c r="D270" s="38">
        <f t="shared" si="180"/>
        <v>4</v>
      </c>
      <c r="E270" s="38">
        <f t="shared" si="180"/>
        <v>1</v>
      </c>
      <c r="F270" s="38">
        <f t="shared" si="180"/>
        <v>19</v>
      </c>
      <c r="G270" s="38">
        <f t="shared" si="180"/>
        <v>9</v>
      </c>
      <c r="H270" s="39">
        <f t="shared" si="180"/>
        <v>28</v>
      </c>
      <c r="I270" s="40">
        <f t="shared" si="180"/>
        <v>776</v>
      </c>
      <c r="K270" s="37">
        <f t="shared" ref="K270:R270" si="181">SUM(K266:K269)</f>
        <v>24</v>
      </c>
      <c r="L270" s="38">
        <f t="shared" si="181"/>
        <v>3</v>
      </c>
      <c r="M270" s="38">
        <f t="shared" si="181"/>
        <v>0</v>
      </c>
      <c r="N270" s="38">
        <f t="shared" si="181"/>
        <v>0</v>
      </c>
      <c r="O270" s="38">
        <f t="shared" si="181"/>
        <v>0</v>
      </c>
      <c r="P270" s="38">
        <f t="shared" si="181"/>
        <v>0</v>
      </c>
      <c r="Q270" s="39">
        <f t="shared" si="181"/>
        <v>1</v>
      </c>
      <c r="R270" s="40">
        <f t="shared" si="181"/>
        <v>28</v>
      </c>
      <c r="T270" s="37">
        <f t="shared" ref="T270:AA270" si="182">SUM(T266:T269)</f>
        <v>639</v>
      </c>
      <c r="U270" s="38">
        <f t="shared" si="182"/>
        <v>60</v>
      </c>
      <c r="V270" s="38">
        <f t="shared" si="182"/>
        <v>5</v>
      </c>
      <c r="W270" s="38">
        <f t="shared" si="182"/>
        <v>2</v>
      </c>
      <c r="X270" s="38">
        <f t="shared" si="182"/>
        <v>19</v>
      </c>
      <c r="Y270" s="38">
        <f t="shared" si="182"/>
        <v>29</v>
      </c>
      <c r="Z270" s="39">
        <f t="shared" si="182"/>
        <v>23</v>
      </c>
      <c r="AA270" s="40">
        <f t="shared" si="182"/>
        <v>777</v>
      </c>
      <c r="AC270" s="40">
        <f>SUM(AC266:AC269)</f>
        <v>1581</v>
      </c>
    </row>
    <row r="271" spans="1:29" ht="15.75" customHeight="1">
      <c r="A271" s="90">
        <v>0.75</v>
      </c>
      <c r="B271" s="27">
        <f t="shared" ref="B271:H274" si="183">SUM(B67+K67+T67)</f>
        <v>143</v>
      </c>
      <c r="C271" s="28">
        <f t="shared" si="183"/>
        <v>13</v>
      </c>
      <c r="D271" s="28">
        <f t="shared" si="183"/>
        <v>1</v>
      </c>
      <c r="E271" s="28">
        <f t="shared" si="183"/>
        <v>0</v>
      </c>
      <c r="F271" s="28">
        <f t="shared" si="183"/>
        <v>5</v>
      </c>
      <c r="G271" s="28">
        <f t="shared" si="183"/>
        <v>5</v>
      </c>
      <c r="H271" s="29">
        <f t="shared" si="183"/>
        <v>7</v>
      </c>
      <c r="I271" s="91">
        <f>SUM(B271:H271)</f>
        <v>174</v>
      </c>
      <c r="K271" s="27">
        <f t="shared" ref="K271:Q274" si="184">SUM(B135+K135+T135)</f>
        <v>2</v>
      </c>
      <c r="L271" s="28">
        <f t="shared" si="184"/>
        <v>1</v>
      </c>
      <c r="M271" s="28">
        <f t="shared" si="184"/>
        <v>0</v>
      </c>
      <c r="N271" s="28">
        <f t="shared" si="184"/>
        <v>0</v>
      </c>
      <c r="O271" s="28">
        <f t="shared" si="184"/>
        <v>0</v>
      </c>
      <c r="P271" s="28">
        <f t="shared" si="184"/>
        <v>0</v>
      </c>
      <c r="Q271" s="29">
        <f t="shared" si="184"/>
        <v>0</v>
      </c>
      <c r="R271" s="91">
        <f>SUM(K271:Q271)</f>
        <v>3</v>
      </c>
      <c r="T271" s="27">
        <f t="shared" ref="T271:Z274" si="185">SUM(B203+K203+T203)</f>
        <v>175</v>
      </c>
      <c r="U271" s="28">
        <f t="shared" si="185"/>
        <v>13</v>
      </c>
      <c r="V271" s="28">
        <f t="shared" si="185"/>
        <v>0</v>
      </c>
      <c r="W271" s="28">
        <f t="shared" si="185"/>
        <v>0</v>
      </c>
      <c r="X271" s="28">
        <f t="shared" si="185"/>
        <v>6</v>
      </c>
      <c r="Y271" s="28">
        <f t="shared" si="185"/>
        <v>2</v>
      </c>
      <c r="Z271" s="29">
        <f t="shared" si="185"/>
        <v>3</v>
      </c>
      <c r="AA271" s="91">
        <f>SUM(T271:Z271)</f>
        <v>199</v>
      </c>
      <c r="AC271" s="91">
        <f>SUM(I271+R271+AA271)</f>
        <v>376</v>
      </c>
    </row>
    <row r="272" spans="1:29" ht="15.75" customHeight="1">
      <c r="A272" s="92">
        <v>0.76041666666666663</v>
      </c>
      <c r="B272" s="30">
        <f t="shared" si="183"/>
        <v>141</v>
      </c>
      <c r="C272" s="31">
        <f t="shared" si="183"/>
        <v>9</v>
      </c>
      <c r="D272" s="31">
        <f t="shared" si="183"/>
        <v>1</v>
      </c>
      <c r="E272" s="31">
        <f t="shared" si="183"/>
        <v>0</v>
      </c>
      <c r="F272" s="31">
        <f t="shared" si="183"/>
        <v>7</v>
      </c>
      <c r="G272" s="31">
        <f t="shared" si="183"/>
        <v>2</v>
      </c>
      <c r="H272" s="32">
        <f t="shared" si="183"/>
        <v>6</v>
      </c>
      <c r="I272" s="93">
        <f>SUM(B272:H272)</f>
        <v>166</v>
      </c>
      <c r="K272" s="30">
        <f t="shared" si="184"/>
        <v>11</v>
      </c>
      <c r="L272" s="31">
        <f t="shared" si="184"/>
        <v>0</v>
      </c>
      <c r="M272" s="31">
        <f t="shared" si="184"/>
        <v>0</v>
      </c>
      <c r="N272" s="31">
        <f t="shared" si="184"/>
        <v>0</v>
      </c>
      <c r="O272" s="31">
        <f t="shared" si="184"/>
        <v>0</v>
      </c>
      <c r="P272" s="31">
        <f t="shared" si="184"/>
        <v>1</v>
      </c>
      <c r="Q272" s="32">
        <f t="shared" si="184"/>
        <v>0</v>
      </c>
      <c r="R272" s="93">
        <f>SUM(K272:Q272)</f>
        <v>12</v>
      </c>
      <c r="T272" s="30">
        <f t="shared" si="185"/>
        <v>183</v>
      </c>
      <c r="U272" s="31">
        <f t="shared" si="185"/>
        <v>11</v>
      </c>
      <c r="V272" s="31">
        <f t="shared" si="185"/>
        <v>0</v>
      </c>
      <c r="W272" s="31">
        <f t="shared" si="185"/>
        <v>1</v>
      </c>
      <c r="X272" s="31">
        <f t="shared" si="185"/>
        <v>7</v>
      </c>
      <c r="Y272" s="31">
        <f t="shared" si="185"/>
        <v>3</v>
      </c>
      <c r="Z272" s="32">
        <f t="shared" si="185"/>
        <v>2</v>
      </c>
      <c r="AA272" s="93">
        <f>SUM(T272:Z272)</f>
        <v>207</v>
      </c>
      <c r="AC272" s="93">
        <f>SUM(I272+R272+AA272)</f>
        <v>385</v>
      </c>
    </row>
    <row r="273" spans="1:29" ht="15.75" customHeight="1">
      <c r="A273" s="92">
        <v>0.77083333333333337</v>
      </c>
      <c r="B273" s="30">
        <f t="shared" si="183"/>
        <v>170</v>
      </c>
      <c r="C273" s="31">
        <f t="shared" si="183"/>
        <v>8</v>
      </c>
      <c r="D273" s="31">
        <f t="shared" si="183"/>
        <v>2</v>
      </c>
      <c r="E273" s="31">
        <f t="shared" si="183"/>
        <v>0</v>
      </c>
      <c r="F273" s="31">
        <f t="shared" si="183"/>
        <v>5</v>
      </c>
      <c r="G273" s="31">
        <f t="shared" si="183"/>
        <v>3</v>
      </c>
      <c r="H273" s="32">
        <f t="shared" si="183"/>
        <v>4</v>
      </c>
      <c r="I273" s="93">
        <f>SUM(B273:H273)</f>
        <v>192</v>
      </c>
      <c r="K273" s="30">
        <f t="shared" si="184"/>
        <v>10</v>
      </c>
      <c r="L273" s="31">
        <f t="shared" si="184"/>
        <v>0</v>
      </c>
      <c r="M273" s="31">
        <f t="shared" si="184"/>
        <v>0</v>
      </c>
      <c r="N273" s="31">
        <f t="shared" si="184"/>
        <v>0</v>
      </c>
      <c r="O273" s="31">
        <f t="shared" si="184"/>
        <v>0</v>
      </c>
      <c r="P273" s="31">
        <f t="shared" si="184"/>
        <v>0</v>
      </c>
      <c r="Q273" s="32">
        <f t="shared" si="184"/>
        <v>0</v>
      </c>
      <c r="R273" s="93">
        <f>SUM(K273:Q273)</f>
        <v>10</v>
      </c>
      <c r="T273" s="30">
        <f t="shared" si="185"/>
        <v>158</v>
      </c>
      <c r="U273" s="31">
        <f t="shared" si="185"/>
        <v>9</v>
      </c>
      <c r="V273" s="31">
        <f t="shared" si="185"/>
        <v>0</v>
      </c>
      <c r="W273" s="31">
        <f t="shared" si="185"/>
        <v>1</v>
      </c>
      <c r="X273" s="31">
        <f t="shared" si="185"/>
        <v>6</v>
      </c>
      <c r="Y273" s="31">
        <f t="shared" si="185"/>
        <v>2</v>
      </c>
      <c r="Z273" s="32">
        <f t="shared" si="185"/>
        <v>3</v>
      </c>
      <c r="AA273" s="93">
        <f>SUM(T273:Z273)</f>
        <v>179</v>
      </c>
      <c r="AC273" s="93">
        <f>SUM(I273+R273+AA273)</f>
        <v>381</v>
      </c>
    </row>
    <row r="274" spans="1:29" ht="15.75" customHeight="1">
      <c r="A274" s="94">
        <v>0.78125</v>
      </c>
      <c r="B274" s="33">
        <f t="shared" si="183"/>
        <v>140</v>
      </c>
      <c r="C274" s="34">
        <f t="shared" si="183"/>
        <v>7</v>
      </c>
      <c r="D274" s="34">
        <f t="shared" si="183"/>
        <v>0</v>
      </c>
      <c r="E274" s="34">
        <f t="shared" si="183"/>
        <v>0</v>
      </c>
      <c r="F274" s="34">
        <f t="shared" si="183"/>
        <v>6</v>
      </c>
      <c r="G274" s="34">
        <f t="shared" si="183"/>
        <v>0</v>
      </c>
      <c r="H274" s="35">
        <f t="shared" si="183"/>
        <v>1</v>
      </c>
      <c r="I274" s="95">
        <f>SUM(B274:H274)</f>
        <v>154</v>
      </c>
      <c r="K274" s="33">
        <f t="shared" si="184"/>
        <v>5</v>
      </c>
      <c r="L274" s="34">
        <f t="shared" si="184"/>
        <v>0</v>
      </c>
      <c r="M274" s="34">
        <f t="shared" si="184"/>
        <v>0</v>
      </c>
      <c r="N274" s="34">
        <f t="shared" si="184"/>
        <v>0</v>
      </c>
      <c r="O274" s="34">
        <f t="shared" si="184"/>
        <v>0</v>
      </c>
      <c r="P274" s="34">
        <f t="shared" si="184"/>
        <v>0</v>
      </c>
      <c r="Q274" s="35">
        <f t="shared" si="184"/>
        <v>0</v>
      </c>
      <c r="R274" s="95">
        <f>SUM(K274:Q274)</f>
        <v>5</v>
      </c>
      <c r="T274" s="33">
        <f t="shared" si="185"/>
        <v>156</v>
      </c>
      <c r="U274" s="34">
        <f t="shared" si="185"/>
        <v>9</v>
      </c>
      <c r="V274" s="34">
        <f t="shared" si="185"/>
        <v>0</v>
      </c>
      <c r="W274" s="34">
        <f t="shared" si="185"/>
        <v>0</v>
      </c>
      <c r="X274" s="34">
        <f t="shared" si="185"/>
        <v>4</v>
      </c>
      <c r="Y274" s="34">
        <f t="shared" si="185"/>
        <v>2</v>
      </c>
      <c r="Z274" s="35">
        <f t="shared" si="185"/>
        <v>7</v>
      </c>
      <c r="AA274" s="95">
        <f>SUM(T274:Z274)</f>
        <v>178</v>
      </c>
      <c r="AC274" s="95">
        <f>SUM(I274+R274+AA274)</f>
        <v>337</v>
      </c>
    </row>
    <row r="275" spans="1:29" ht="15.75" customHeight="1">
      <c r="A275" s="40" t="s">
        <v>24</v>
      </c>
      <c r="B275" s="37">
        <f t="shared" ref="B275:I275" si="186">SUM(B271:B274)</f>
        <v>594</v>
      </c>
      <c r="C275" s="38">
        <f t="shared" si="186"/>
        <v>37</v>
      </c>
      <c r="D275" s="38">
        <f t="shared" si="186"/>
        <v>4</v>
      </c>
      <c r="E275" s="38">
        <f t="shared" si="186"/>
        <v>0</v>
      </c>
      <c r="F275" s="38">
        <f t="shared" si="186"/>
        <v>23</v>
      </c>
      <c r="G275" s="38">
        <f t="shared" si="186"/>
        <v>10</v>
      </c>
      <c r="H275" s="39">
        <f t="shared" si="186"/>
        <v>18</v>
      </c>
      <c r="I275" s="40">
        <f t="shared" si="186"/>
        <v>686</v>
      </c>
      <c r="K275" s="37">
        <f t="shared" ref="K275:R275" si="187">SUM(K271:K274)</f>
        <v>28</v>
      </c>
      <c r="L275" s="38">
        <f t="shared" si="187"/>
        <v>1</v>
      </c>
      <c r="M275" s="38">
        <f t="shared" si="187"/>
        <v>0</v>
      </c>
      <c r="N275" s="38">
        <f t="shared" si="187"/>
        <v>0</v>
      </c>
      <c r="O275" s="38">
        <f t="shared" si="187"/>
        <v>0</v>
      </c>
      <c r="P275" s="38">
        <f t="shared" si="187"/>
        <v>1</v>
      </c>
      <c r="Q275" s="39">
        <f t="shared" si="187"/>
        <v>0</v>
      </c>
      <c r="R275" s="40">
        <f t="shared" si="187"/>
        <v>30</v>
      </c>
      <c r="T275" s="37">
        <f t="shared" ref="T275:AA275" si="188">SUM(T271:T274)</f>
        <v>672</v>
      </c>
      <c r="U275" s="38">
        <f t="shared" si="188"/>
        <v>42</v>
      </c>
      <c r="V275" s="38">
        <f t="shared" si="188"/>
        <v>0</v>
      </c>
      <c r="W275" s="38">
        <f t="shared" si="188"/>
        <v>2</v>
      </c>
      <c r="X275" s="38">
        <f t="shared" si="188"/>
        <v>23</v>
      </c>
      <c r="Y275" s="38">
        <f t="shared" si="188"/>
        <v>9</v>
      </c>
      <c r="Z275" s="39">
        <f t="shared" si="188"/>
        <v>15</v>
      </c>
      <c r="AA275" s="40">
        <f t="shared" si="188"/>
        <v>763</v>
      </c>
      <c r="AC275" s="40">
        <f>SUM(AC271:AC274)</f>
        <v>1479</v>
      </c>
    </row>
    <row r="277" spans="1:29" ht="15.75" customHeight="1">
      <c r="A277" s="40" t="s">
        <v>31</v>
      </c>
      <c r="B277" s="37">
        <f t="shared" ref="B277:I277" si="189">SUM(B275+B270+B265+B260+B255+B250+B245+B240+B235+B230+B225+B220)</f>
        <v>6583</v>
      </c>
      <c r="C277" s="38">
        <f t="shared" si="189"/>
        <v>970</v>
      </c>
      <c r="D277" s="38">
        <f t="shared" si="189"/>
        <v>121</v>
      </c>
      <c r="E277" s="38">
        <f t="shared" si="189"/>
        <v>68</v>
      </c>
      <c r="F277" s="38">
        <f t="shared" si="189"/>
        <v>270</v>
      </c>
      <c r="G277" s="38">
        <f t="shared" si="189"/>
        <v>155</v>
      </c>
      <c r="H277" s="39">
        <f t="shared" si="189"/>
        <v>184</v>
      </c>
      <c r="I277" s="40">
        <f t="shared" si="189"/>
        <v>8351</v>
      </c>
      <c r="K277" s="37">
        <f t="shared" ref="K277:R277" si="190">SUM(K275+K270+K265+K260+K255+K250+K245+K240+K235+K230+K225+K220)</f>
        <v>184</v>
      </c>
      <c r="L277" s="38">
        <f t="shared" si="190"/>
        <v>42</v>
      </c>
      <c r="M277" s="38">
        <f t="shared" si="190"/>
        <v>2</v>
      </c>
      <c r="N277" s="38">
        <f t="shared" si="190"/>
        <v>0</v>
      </c>
      <c r="O277" s="38">
        <f t="shared" si="190"/>
        <v>0</v>
      </c>
      <c r="P277" s="38">
        <f t="shared" si="190"/>
        <v>3</v>
      </c>
      <c r="Q277" s="39">
        <f t="shared" si="190"/>
        <v>10</v>
      </c>
      <c r="R277" s="40">
        <f t="shared" si="190"/>
        <v>241</v>
      </c>
      <c r="T277" s="37">
        <f t="shared" ref="T277:AA277" si="191">SUM(T275+T270+T265+T260+T255+T250+T245+T240+T235+T230+T225+T220)</f>
        <v>6773</v>
      </c>
      <c r="U277" s="38">
        <f t="shared" si="191"/>
        <v>1052</v>
      </c>
      <c r="V277" s="38">
        <f t="shared" si="191"/>
        <v>162</v>
      </c>
      <c r="W277" s="38">
        <f t="shared" si="191"/>
        <v>70</v>
      </c>
      <c r="X277" s="38">
        <f t="shared" si="191"/>
        <v>258</v>
      </c>
      <c r="Y277" s="38">
        <f t="shared" si="191"/>
        <v>118</v>
      </c>
      <c r="Z277" s="39">
        <f t="shared" si="191"/>
        <v>135</v>
      </c>
      <c r="AA277" s="40">
        <f t="shared" si="191"/>
        <v>8568</v>
      </c>
      <c r="AC277" s="40">
        <f>SUM(AC275+AC270+AC265+AC260+AC255+AC250+AC245+AC240+AC235+AC230+AC225+AC220)</f>
        <v>17160</v>
      </c>
    </row>
    <row r="278" spans="1:29" s="88" customFormat="1" ht="15.75" customHeight="1">
      <c r="A278" s="88" t="s">
        <v>51</v>
      </c>
      <c r="I278" s="88">
        <f>SUM(B216:H219,B221:H224,B226:H229,B231:H234,B236:H239,B241:H244,B246:H249,B251:H254,B256:H259,B261:H264,B266:H269,B271:H274)</f>
        <v>8351</v>
      </c>
      <c r="R278" s="88">
        <f>SUM(K216:Q219,K221:Q224,K226:Q229,K231:Q234,K236:Q239,K241:Q244,K246:Q249,K251:Q254,K256:Q259,K261:Q264,K266:Q269,K271:Q274)</f>
        <v>241</v>
      </c>
      <c r="AA278" s="88">
        <f>SUM(T216:Z219,T221:Z224,T226:Z229,T231:Z234,T236:Z239,T241:Z244,T246:Z249,T251:Z254,T256:Z259,T261:Z264,T266:Z269,T271:Z274)</f>
        <v>8568</v>
      </c>
      <c r="AC278" s="88">
        <f>SUM(B278:AA278)</f>
        <v>17160</v>
      </c>
    </row>
    <row r="280" spans="1:29" ht="15.75" customHeight="1">
      <c r="A280" s="36" t="s">
        <v>28</v>
      </c>
    </row>
    <row r="281" spans="1:29" ht="15.75" customHeight="1">
      <c r="B281" s="37" t="s">
        <v>14</v>
      </c>
      <c r="C281" s="38"/>
      <c r="D281" s="38" t="str">
        <f>$D$9</f>
        <v>A - Fishponds Road (E)</v>
      </c>
      <c r="E281" s="38"/>
      <c r="F281" s="38"/>
      <c r="G281" s="38"/>
      <c r="H281" s="39"/>
      <c r="I281" s="40"/>
      <c r="K281" s="37" t="s">
        <v>14</v>
      </c>
      <c r="L281" s="38"/>
      <c r="M281" s="38" t="str">
        <f>$M$9</f>
        <v xml:space="preserve">B - Drummond Road </v>
      </c>
      <c r="N281" s="38"/>
      <c r="O281" s="38"/>
      <c r="P281" s="38"/>
      <c r="Q281" s="39"/>
      <c r="R281" s="40"/>
      <c r="T281" s="37" t="s">
        <v>14</v>
      </c>
      <c r="U281" s="38"/>
      <c r="V281" s="38" t="str">
        <f>$V$9</f>
        <v>C - Fishponds Road (W)</v>
      </c>
      <c r="W281" s="38"/>
      <c r="X281" s="38"/>
      <c r="Y281" s="38"/>
      <c r="Z281" s="39"/>
      <c r="AA281" s="40"/>
      <c r="AC281" s="105" t="s">
        <v>29</v>
      </c>
    </row>
    <row r="282" spans="1:29" s="41" customFormat="1" ht="15.75" customHeight="1">
      <c r="B282" s="42" t="str">
        <f>$B$10</f>
        <v>CAR</v>
      </c>
      <c r="C282" s="43" t="str">
        <f>$C$10</f>
        <v>LGV</v>
      </c>
      <c r="D282" s="43" t="str">
        <f>$D$10</f>
        <v>OGV1</v>
      </c>
      <c r="E282" s="43" t="str">
        <f>$E$10</f>
        <v>OGV2</v>
      </c>
      <c r="F282" s="43" t="str">
        <f>$F$10</f>
        <v>PSV</v>
      </c>
      <c r="G282" s="43" t="str">
        <f>$G$10</f>
        <v>MC</v>
      </c>
      <c r="H282" s="44" t="str">
        <f>$H$10</f>
        <v>PC</v>
      </c>
      <c r="I282" s="89" t="s">
        <v>22</v>
      </c>
      <c r="K282" s="42" t="str">
        <f>$B$10</f>
        <v>CAR</v>
      </c>
      <c r="L282" s="43" t="str">
        <f>$C$10</f>
        <v>LGV</v>
      </c>
      <c r="M282" s="43" t="str">
        <f>$D$10</f>
        <v>OGV1</v>
      </c>
      <c r="N282" s="43" t="str">
        <f>$E$10</f>
        <v>OGV2</v>
      </c>
      <c r="O282" s="43" t="str">
        <f>$F$10</f>
        <v>PSV</v>
      </c>
      <c r="P282" s="43" t="str">
        <f>$G$10</f>
        <v>MC</v>
      </c>
      <c r="Q282" s="44" t="str">
        <f>$H$10</f>
        <v>PC</v>
      </c>
      <c r="R282" s="89" t="s">
        <v>22</v>
      </c>
      <c r="T282" s="42" t="str">
        <f>$B$10</f>
        <v>CAR</v>
      </c>
      <c r="U282" s="43" t="str">
        <f>$C$10</f>
        <v>LGV</v>
      </c>
      <c r="V282" s="43" t="str">
        <f>$D$10</f>
        <v>OGV1</v>
      </c>
      <c r="W282" s="43" t="str">
        <f>$E$10</f>
        <v>OGV2</v>
      </c>
      <c r="X282" s="43" t="str">
        <f>$F$10</f>
        <v>PSV</v>
      </c>
      <c r="Y282" s="43" t="str">
        <f>$G$10</f>
        <v>MC</v>
      </c>
      <c r="Z282" s="44" t="str">
        <f>$H$10</f>
        <v>PC</v>
      </c>
      <c r="AA282" s="89" t="s">
        <v>22</v>
      </c>
      <c r="AC282" s="106"/>
    </row>
    <row r="284" spans="1:29" ht="15.75" customHeight="1">
      <c r="A284" s="90">
        <v>0.29166666666666669</v>
      </c>
      <c r="B284" s="27">
        <f t="shared" ref="B284:H287" si="192">SUM(B12+B80+B148)</f>
        <v>95</v>
      </c>
      <c r="C284" s="28">
        <f t="shared" si="192"/>
        <v>17</v>
      </c>
      <c r="D284" s="28">
        <f t="shared" si="192"/>
        <v>1</v>
      </c>
      <c r="E284" s="28">
        <f t="shared" si="192"/>
        <v>5</v>
      </c>
      <c r="F284" s="28">
        <f t="shared" si="192"/>
        <v>4</v>
      </c>
      <c r="G284" s="28">
        <f t="shared" si="192"/>
        <v>2</v>
      </c>
      <c r="H284" s="29">
        <f t="shared" si="192"/>
        <v>1</v>
      </c>
      <c r="I284" s="91">
        <f>SUM(B284:H284)</f>
        <v>125</v>
      </c>
      <c r="K284" s="27">
        <f t="shared" ref="K284:Q287" si="193">SUM(K12+K80+K148)</f>
        <v>0</v>
      </c>
      <c r="L284" s="28">
        <f t="shared" si="193"/>
        <v>2</v>
      </c>
      <c r="M284" s="28">
        <f t="shared" si="193"/>
        <v>0</v>
      </c>
      <c r="N284" s="28">
        <f t="shared" si="193"/>
        <v>0</v>
      </c>
      <c r="O284" s="28">
        <f t="shared" si="193"/>
        <v>0</v>
      </c>
      <c r="P284" s="28">
        <f t="shared" si="193"/>
        <v>0</v>
      </c>
      <c r="Q284" s="29">
        <f t="shared" si="193"/>
        <v>1</v>
      </c>
      <c r="R284" s="91">
        <f>SUM(K284:Q284)</f>
        <v>3</v>
      </c>
      <c r="T284" s="27">
        <f t="shared" ref="T284:Z287" si="194">SUM(T12+T80+T148)</f>
        <v>164</v>
      </c>
      <c r="U284" s="28">
        <f t="shared" si="194"/>
        <v>31</v>
      </c>
      <c r="V284" s="28">
        <f t="shared" si="194"/>
        <v>3</v>
      </c>
      <c r="W284" s="28">
        <f t="shared" si="194"/>
        <v>0</v>
      </c>
      <c r="X284" s="28">
        <f t="shared" si="194"/>
        <v>4</v>
      </c>
      <c r="Y284" s="28">
        <f t="shared" si="194"/>
        <v>6</v>
      </c>
      <c r="Z284" s="29">
        <f t="shared" si="194"/>
        <v>4</v>
      </c>
      <c r="AA284" s="91">
        <f>SUM(T284:Z284)</f>
        <v>212</v>
      </c>
      <c r="AC284" s="91">
        <f>SUM(I284+R284+AA284)</f>
        <v>340</v>
      </c>
    </row>
    <row r="285" spans="1:29" ht="15.75" customHeight="1">
      <c r="A285" s="92">
        <v>0.30208333333333331</v>
      </c>
      <c r="B285" s="30">
        <f t="shared" si="192"/>
        <v>109</v>
      </c>
      <c r="C285" s="31">
        <f t="shared" si="192"/>
        <v>15</v>
      </c>
      <c r="D285" s="31">
        <f t="shared" si="192"/>
        <v>2</v>
      </c>
      <c r="E285" s="31">
        <f t="shared" si="192"/>
        <v>2</v>
      </c>
      <c r="F285" s="31">
        <f t="shared" si="192"/>
        <v>4</v>
      </c>
      <c r="G285" s="31">
        <f t="shared" si="192"/>
        <v>5</v>
      </c>
      <c r="H285" s="32">
        <f t="shared" si="192"/>
        <v>3</v>
      </c>
      <c r="I285" s="93">
        <f>SUM(B285:H285)</f>
        <v>140</v>
      </c>
      <c r="K285" s="30">
        <f t="shared" si="193"/>
        <v>3</v>
      </c>
      <c r="L285" s="31">
        <f t="shared" si="193"/>
        <v>0</v>
      </c>
      <c r="M285" s="31">
        <f t="shared" si="193"/>
        <v>0</v>
      </c>
      <c r="N285" s="31">
        <f t="shared" si="193"/>
        <v>0</v>
      </c>
      <c r="O285" s="31">
        <f t="shared" si="193"/>
        <v>0</v>
      </c>
      <c r="P285" s="31">
        <f t="shared" si="193"/>
        <v>0</v>
      </c>
      <c r="Q285" s="32">
        <f t="shared" si="193"/>
        <v>0</v>
      </c>
      <c r="R285" s="93">
        <f>SUM(K285:Q285)</f>
        <v>3</v>
      </c>
      <c r="T285" s="30">
        <f t="shared" si="194"/>
        <v>153</v>
      </c>
      <c r="U285" s="31">
        <f t="shared" si="194"/>
        <v>31</v>
      </c>
      <c r="V285" s="31">
        <f t="shared" si="194"/>
        <v>2</v>
      </c>
      <c r="W285" s="31">
        <f t="shared" si="194"/>
        <v>0</v>
      </c>
      <c r="X285" s="31">
        <f t="shared" si="194"/>
        <v>4</v>
      </c>
      <c r="Y285" s="31">
        <f t="shared" si="194"/>
        <v>7</v>
      </c>
      <c r="Z285" s="32">
        <f t="shared" si="194"/>
        <v>3</v>
      </c>
      <c r="AA285" s="93">
        <f>SUM(T285:Z285)</f>
        <v>200</v>
      </c>
      <c r="AC285" s="93">
        <f>SUM(I285+R285+AA285)</f>
        <v>343</v>
      </c>
    </row>
    <row r="286" spans="1:29" ht="15.75" customHeight="1">
      <c r="A286" s="92">
        <v>0.3125</v>
      </c>
      <c r="B286" s="30">
        <f t="shared" si="192"/>
        <v>130</v>
      </c>
      <c r="C286" s="31">
        <f t="shared" si="192"/>
        <v>13</v>
      </c>
      <c r="D286" s="31">
        <f t="shared" si="192"/>
        <v>3</v>
      </c>
      <c r="E286" s="31">
        <f t="shared" si="192"/>
        <v>0</v>
      </c>
      <c r="F286" s="31">
        <f t="shared" si="192"/>
        <v>2</v>
      </c>
      <c r="G286" s="31">
        <f t="shared" si="192"/>
        <v>1</v>
      </c>
      <c r="H286" s="32">
        <f t="shared" si="192"/>
        <v>0</v>
      </c>
      <c r="I286" s="93">
        <f>SUM(B286:H286)</f>
        <v>149</v>
      </c>
      <c r="K286" s="30">
        <f t="shared" si="193"/>
        <v>2</v>
      </c>
      <c r="L286" s="31">
        <f t="shared" si="193"/>
        <v>0</v>
      </c>
      <c r="M286" s="31">
        <f t="shared" si="193"/>
        <v>0</v>
      </c>
      <c r="N286" s="31">
        <f t="shared" si="193"/>
        <v>0</v>
      </c>
      <c r="O286" s="31">
        <f t="shared" si="193"/>
        <v>0</v>
      </c>
      <c r="P286" s="31">
        <f t="shared" si="193"/>
        <v>0</v>
      </c>
      <c r="Q286" s="32">
        <f t="shared" si="193"/>
        <v>1</v>
      </c>
      <c r="R286" s="93">
        <f>SUM(K286:Q286)</f>
        <v>3</v>
      </c>
      <c r="T286" s="30">
        <f t="shared" si="194"/>
        <v>100</v>
      </c>
      <c r="U286" s="31">
        <f t="shared" si="194"/>
        <v>20</v>
      </c>
      <c r="V286" s="31">
        <f t="shared" si="194"/>
        <v>4</v>
      </c>
      <c r="W286" s="31">
        <f t="shared" si="194"/>
        <v>0</v>
      </c>
      <c r="X286" s="31">
        <f t="shared" si="194"/>
        <v>7</v>
      </c>
      <c r="Y286" s="31">
        <f t="shared" si="194"/>
        <v>8</v>
      </c>
      <c r="Z286" s="32">
        <f t="shared" si="194"/>
        <v>6</v>
      </c>
      <c r="AA286" s="93">
        <f>SUM(T286:Z286)</f>
        <v>145</v>
      </c>
      <c r="AC286" s="93">
        <f>SUM(I286+R286+AA286)</f>
        <v>297</v>
      </c>
    </row>
    <row r="287" spans="1:29" ht="15.75" customHeight="1">
      <c r="A287" s="94">
        <v>0.32291666666666669</v>
      </c>
      <c r="B287" s="33">
        <f t="shared" si="192"/>
        <v>148</v>
      </c>
      <c r="C287" s="34">
        <f t="shared" si="192"/>
        <v>19</v>
      </c>
      <c r="D287" s="34">
        <f t="shared" si="192"/>
        <v>2</v>
      </c>
      <c r="E287" s="34">
        <f t="shared" si="192"/>
        <v>3</v>
      </c>
      <c r="F287" s="34">
        <f t="shared" si="192"/>
        <v>4</v>
      </c>
      <c r="G287" s="34">
        <f t="shared" si="192"/>
        <v>5</v>
      </c>
      <c r="H287" s="35">
        <f t="shared" si="192"/>
        <v>4</v>
      </c>
      <c r="I287" s="95">
        <f>SUM(B287:H287)</f>
        <v>185</v>
      </c>
      <c r="K287" s="33">
        <f t="shared" si="193"/>
        <v>4</v>
      </c>
      <c r="L287" s="34">
        <f t="shared" si="193"/>
        <v>0</v>
      </c>
      <c r="M287" s="34">
        <f t="shared" si="193"/>
        <v>0</v>
      </c>
      <c r="N287" s="34">
        <f t="shared" si="193"/>
        <v>0</v>
      </c>
      <c r="O287" s="34">
        <f t="shared" si="193"/>
        <v>0</v>
      </c>
      <c r="P287" s="34">
        <f t="shared" si="193"/>
        <v>0</v>
      </c>
      <c r="Q287" s="35">
        <f t="shared" si="193"/>
        <v>0</v>
      </c>
      <c r="R287" s="95">
        <f>SUM(K287:Q287)</f>
        <v>4</v>
      </c>
      <c r="T287" s="33">
        <f t="shared" si="194"/>
        <v>84</v>
      </c>
      <c r="U287" s="34">
        <f t="shared" si="194"/>
        <v>17</v>
      </c>
      <c r="V287" s="34">
        <f t="shared" si="194"/>
        <v>3</v>
      </c>
      <c r="W287" s="34">
        <f t="shared" si="194"/>
        <v>0</v>
      </c>
      <c r="X287" s="34">
        <f t="shared" si="194"/>
        <v>3</v>
      </c>
      <c r="Y287" s="34">
        <f t="shared" si="194"/>
        <v>13</v>
      </c>
      <c r="Z287" s="35">
        <f t="shared" si="194"/>
        <v>10</v>
      </c>
      <c r="AA287" s="95">
        <f>SUM(T287:Z287)</f>
        <v>130</v>
      </c>
      <c r="AC287" s="95">
        <f>SUM(I287+R287+AA287)</f>
        <v>319</v>
      </c>
    </row>
    <row r="288" spans="1:29" ht="15.75" customHeight="1">
      <c r="A288" s="40" t="s">
        <v>24</v>
      </c>
      <c r="B288" s="37">
        <f t="shared" ref="B288:I288" si="195">SUM(B284:B287)</f>
        <v>482</v>
      </c>
      <c r="C288" s="38">
        <f t="shared" si="195"/>
        <v>64</v>
      </c>
      <c r="D288" s="38">
        <f t="shared" si="195"/>
        <v>8</v>
      </c>
      <c r="E288" s="38">
        <f t="shared" si="195"/>
        <v>10</v>
      </c>
      <c r="F288" s="38">
        <f t="shared" si="195"/>
        <v>14</v>
      </c>
      <c r="G288" s="38">
        <f t="shared" si="195"/>
        <v>13</v>
      </c>
      <c r="H288" s="39">
        <f t="shared" si="195"/>
        <v>8</v>
      </c>
      <c r="I288" s="40">
        <f t="shared" si="195"/>
        <v>599</v>
      </c>
      <c r="K288" s="37">
        <f t="shared" ref="K288:R288" si="196">SUM(K284:K287)</f>
        <v>9</v>
      </c>
      <c r="L288" s="38">
        <f t="shared" si="196"/>
        <v>2</v>
      </c>
      <c r="M288" s="38">
        <f t="shared" si="196"/>
        <v>0</v>
      </c>
      <c r="N288" s="38">
        <f t="shared" si="196"/>
        <v>0</v>
      </c>
      <c r="O288" s="38">
        <f t="shared" si="196"/>
        <v>0</v>
      </c>
      <c r="P288" s="38">
        <f t="shared" si="196"/>
        <v>0</v>
      </c>
      <c r="Q288" s="39">
        <f t="shared" si="196"/>
        <v>2</v>
      </c>
      <c r="R288" s="40">
        <f t="shared" si="196"/>
        <v>13</v>
      </c>
      <c r="T288" s="37">
        <f t="shared" ref="T288:AA288" si="197">SUM(T284:T287)</f>
        <v>501</v>
      </c>
      <c r="U288" s="38">
        <f t="shared" si="197"/>
        <v>99</v>
      </c>
      <c r="V288" s="38">
        <f t="shared" si="197"/>
        <v>12</v>
      </c>
      <c r="W288" s="38">
        <f t="shared" si="197"/>
        <v>0</v>
      </c>
      <c r="X288" s="38">
        <f t="shared" si="197"/>
        <v>18</v>
      </c>
      <c r="Y288" s="38">
        <f t="shared" si="197"/>
        <v>34</v>
      </c>
      <c r="Z288" s="39">
        <f t="shared" si="197"/>
        <v>23</v>
      </c>
      <c r="AA288" s="40">
        <f t="shared" si="197"/>
        <v>687</v>
      </c>
      <c r="AC288" s="40">
        <f>SUM(AC284:AC287)</f>
        <v>1299</v>
      </c>
    </row>
    <row r="289" spans="1:29" ht="15.75" customHeight="1">
      <c r="A289" s="90">
        <v>0.33333333333333331</v>
      </c>
      <c r="B289" s="27">
        <f t="shared" ref="B289:H292" si="198">SUM(B17+B85+B153)</f>
        <v>167</v>
      </c>
      <c r="C289" s="28">
        <f t="shared" si="198"/>
        <v>29</v>
      </c>
      <c r="D289" s="28">
        <f t="shared" si="198"/>
        <v>1</v>
      </c>
      <c r="E289" s="28">
        <f t="shared" si="198"/>
        <v>2</v>
      </c>
      <c r="F289" s="28">
        <f t="shared" si="198"/>
        <v>5</v>
      </c>
      <c r="G289" s="28">
        <f t="shared" si="198"/>
        <v>2</v>
      </c>
      <c r="H289" s="29">
        <f t="shared" si="198"/>
        <v>3</v>
      </c>
      <c r="I289" s="91">
        <f>SUM(B289:H289)</f>
        <v>209</v>
      </c>
      <c r="K289" s="27">
        <f t="shared" ref="K289:Q292" si="199">SUM(K17+K85+K153)</f>
        <v>7</v>
      </c>
      <c r="L289" s="28">
        <f t="shared" si="199"/>
        <v>0</v>
      </c>
      <c r="M289" s="28">
        <f t="shared" si="199"/>
        <v>0</v>
      </c>
      <c r="N289" s="28">
        <f t="shared" si="199"/>
        <v>0</v>
      </c>
      <c r="O289" s="28">
        <f t="shared" si="199"/>
        <v>0</v>
      </c>
      <c r="P289" s="28">
        <f t="shared" si="199"/>
        <v>0</v>
      </c>
      <c r="Q289" s="29">
        <f t="shared" si="199"/>
        <v>0</v>
      </c>
      <c r="R289" s="91">
        <f>SUM(K289:Q289)</f>
        <v>7</v>
      </c>
      <c r="T289" s="27">
        <f t="shared" ref="T289:Z292" si="200">SUM(T17+T85+T153)</f>
        <v>79</v>
      </c>
      <c r="U289" s="28">
        <f t="shared" si="200"/>
        <v>15</v>
      </c>
      <c r="V289" s="28">
        <f t="shared" si="200"/>
        <v>1</v>
      </c>
      <c r="W289" s="28">
        <f t="shared" si="200"/>
        <v>2</v>
      </c>
      <c r="X289" s="28">
        <f t="shared" si="200"/>
        <v>8</v>
      </c>
      <c r="Y289" s="28">
        <f t="shared" si="200"/>
        <v>10</v>
      </c>
      <c r="Z289" s="29">
        <f t="shared" si="200"/>
        <v>7</v>
      </c>
      <c r="AA289" s="91">
        <f>SUM(T289:Z289)</f>
        <v>122</v>
      </c>
      <c r="AC289" s="91">
        <f>SUM(I289+R289+AA289)</f>
        <v>338</v>
      </c>
    </row>
    <row r="290" spans="1:29" ht="15.75" customHeight="1">
      <c r="A290" s="92">
        <v>0.34375</v>
      </c>
      <c r="B290" s="30">
        <f t="shared" si="198"/>
        <v>165</v>
      </c>
      <c r="C290" s="31">
        <f t="shared" si="198"/>
        <v>19</v>
      </c>
      <c r="D290" s="31">
        <f t="shared" si="198"/>
        <v>4</v>
      </c>
      <c r="E290" s="31">
        <f t="shared" si="198"/>
        <v>4</v>
      </c>
      <c r="F290" s="31">
        <f t="shared" si="198"/>
        <v>3</v>
      </c>
      <c r="G290" s="31">
        <f t="shared" si="198"/>
        <v>3</v>
      </c>
      <c r="H290" s="32">
        <f t="shared" si="198"/>
        <v>7</v>
      </c>
      <c r="I290" s="93">
        <f>SUM(B290:H290)</f>
        <v>205</v>
      </c>
      <c r="K290" s="30">
        <f t="shared" si="199"/>
        <v>10</v>
      </c>
      <c r="L290" s="31">
        <f t="shared" si="199"/>
        <v>0</v>
      </c>
      <c r="M290" s="31">
        <f t="shared" si="199"/>
        <v>0</v>
      </c>
      <c r="N290" s="31">
        <f t="shared" si="199"/>
        <v>0</v>
      </c>
      <c r="O290" s="31">
        <f t="shared" si="199"/>
        <v>0</v>
      </c>
      <c r="P290" s="31">
        <f t="shared" si="199"/>
        <v>0</v>
      </c>
      <c r="Q290" s="32">
        <f t="shared" si="199"/>
        <v>0</v>
      </c>
      <c r="R290" s="93">
        <f>SUM(K290:Q290)</f>
        <v>10</v>
      </c>
      <c r="T290" s="30">
        <f t="shared" si="200"/>
        <v>52</v>
      </c>
      <c r="U290" s="31">
        <f t="shared" si="200"/>
        <v>16</v>
      </c>
      <c r="V290" s="31">
        <f t="shared" si="200"/>
        <v>0</v>
      </c>
      <c r="W290" s="31">
        <f t="shared" si="200"/>
        <v>1</v>
      </c>
      <c r="X290" s="31">
        <f t="shared" si="200"/>
        <v>2</v>
      </c>
      <c r="Y290" s="31">
        <f t="shared" si="200"/>
        <v>10</v>
      </c>
      <c r="Z290" s="32">
        <f t="shared" si="200"/>
        <v>11</v>
      </c>
      <c r="AA290" s="93">
        <f>SUM(T290:Z290)</f>
        <v>92</v>
      </c>
      <c r="AC290" s="93">
        <f>SUM(I290+R290+AA290)</f>
        <v>307</v>
      </c>
    </row>
    <row r="291" spans="1:29" ht="15.75" customHeight="1">
      <c r="A291" s="92">
        <v>0.35416666666666669</v>
      </c>
      <c r="B291" s="30">
        <f t="shared" si="198"/>
        <v>149</v>
      </c>
      <c r="C291" s="31">
        <f t="shared" si="198"/>
        <v>16</v>
      </c>
      <c r="D291" s="31">
        <f t="shared" si="198"/>
        <v>2</v>
      </c>
      <c r="E291" s="31">
        <f t="shared" si="198"/>
        <v>0</v>
      </c>
      <c r="F291" s="31">
        <f t="shared" si="198"/>
        <v>5</v>
      </c>
      <c r="G291" s="31">
        <f t="shared" si="198"/>
        <v>0</v>
      </c>
      <c r="H291" s="32">
        <f t="shared" si="198"/>
        <v>4</v>
      </c>
      <c r="I291" s="93">
        <f>SUM(B291:H291)</f>
        <v>176</v>
      </c>
      <c r="K291" s="30">
        <f t="shared" si="199"/>
        <v>2</v>
      </c>
      <c r="L291" s="31">
        <f t="shared" si="199"/>
        <v>1</v>
      </c>
      <c r="M291" s="31">
        <f t="shared" si="199"/>
        <v>0</v>
      </c>
      <c r="N291" s="31">
        <f t="shared" si="199"/>
        <v>0</v>
      </c>
      <c r="O291" s="31">
        <f t="shared" si="199"/>
        <v>0</v>
      </c>
      <c r="P291" s="31">
        <f t="shared" si="199"/>
        <v>0</v>
      </c>
      <c r="Q291" s="32">
        <f t="shared" si="199"/>
        <v>0</v>
      </c>
      <c r="R291" s="93">
        <f>SUM(K291:Q291)</f>
        <v>3</v>
      </c>
      <c r="T291" s="30">
        <f t="shared" si="200"/>
        <v>91</v>
      </c>
      <c r="U291" s="31">
        <f t="shared" si="200"/>
        <v>16</v>
      </c>
      <c r="V291" s="31">
        <f t="shared" si="200"/>
        <v>1</v>
      </c>
      <c r="W291" s="31">
        <f t="shared" si="200"/>
        <v>3</v>
      </c>
      <c r="X291" s="31">
        <f t="shared" si="200"/>
        <v>1</v>
      </c>
      <c r="Y291" s="31">
        <f t="shared" si="200"/>
        <v>14</v>
      </c>
      <c r="Z291" s="32">
        <f t="shared" si="200"/>
        <v>6</v>
      </c>
      <c r="AA291" s="93">
        <f>SUM(T291:Z291)</f>
        <v>132</v>
      </c>
      <c r="AC291" s="93">
        <f>SUM(I291+R291+AA291)</f>
        <v>311</v>
      </c>
    </row>
    <row r="292" spans="1:29" ht="15.75" customHeight="1">
      <c r="A292" s="94">
        <v>0.36458333333333331</v>
      </c>
      <c r="B292" s="33">
        <f t="shared" si="198"/>
        <v>140</v>
      </c>
      <c r="C292" s="34">
        <f t="shared" si="198"/>
        <v>27</v>
      </c>
      <c r="D292" s="34">
        <f t="shared" si="198"/>
        <v>1</v>
      </c>
      <c r="E292" s="34">
        <f t="shared" si="198"/>
        <v>2</v>
      </c>
      <c r="F292" s="34">
        <f t="shared" si="198"/>
        <v>7</v>
      </c>
      <c r="G292" s="34">
        <f t="shared" si="198"/>
        <v>2</v>
      </c>
      <c r="H292" s="35">
        <f t="shared" si="198"/>
        <v>11</v>
      </c>
      <c r="I292" s="95">
        <f>SUM(B292:H292)</f>
        <v>190</v>
      </c>
      <c r="K292" s="33">
        <f t="shared" si="199"/>
        <v>4</v>
      </c>
      <c r="L292" s="34">
        <f t="shared" si="199"/>
        <v>0</v>
      </c>
      <c r="M292" s="34">
        <f t="shared" si="199"/>
        <v>0</v>
      </c>
      <c r="N292" s="34">
        <f t="shared" si="199"/>
        <v>0</v>
      </c>
      <c r="O292" s="34">
        <f t="shared" si="199"/>
        <v>0</v>
      </c>
      <c r="P292" s="34">
        <f t="shared" si="199"/>
        <v>0</v>
      </c>
      <c r="Q292" s="35">
        <f t="shared" si="199"/>
        <v>1</v>
      </c>
      <c r="R292" s="95">
        <f>SUM(K292:Q292)</f>
        <v>5</v>
      </c>
      <c r="T292" s="33">
        <f t="shared" si="200"/>
        <v>137</v>
      </c>
      <c r="U292" s="34">
        <f t="shared" si="200"/>
        <v>22</v>
      </c>
      <c r="V292" s="34">
        <f t="shared" si="200"/>
        <v>3</v>
      </c>
      <c r="W292" s="34">
        <f t="shared" si="200"/>
        <v>4</v>
      </c>
      <c r="X292" s="34">
        <f t="shared" si="200"/>
        <v>9</v>
      </c>
      <c r="Y292" s="34">
        <f t="shared" si="200"/>
        <v>9</v>
      </c>
      <c r="Z292" s="35">
        <f t="shared" si="200"/>
        <v>11</v>
      </c>
      <c r="AA292" s="95">
        <f>SUM(T292:Z292)</f>
        <v>195</v>
      </c>
      <c r="AC292" s="95">
        <f>SUM(I292+R292+AA292)</f>
        <v>390</v>
      </c>
    </row>
    <row r="293" spans="1:29" ht="15.75" customHeight="1">
      <c r="A293" s="40" t="s">
        <v>24</v>
      </c>
      <c r="B293" s="37">
        <f t="shared" ref="B293:I293" si="201">SUM(B289:B292)</f>
        <v>621</v>
      </c>
      <c r="C293" s="38">
        <f t="shared" si="201"/>
        <v>91</v>
      </c>
      <c r="D293" s="38">
        <f t="shared" si="201"/>
        <v>8</v>
      </c>
      <c r="E293" s="38">
        <f t="shared" si="201"/>
        <v>8</v>
      </c>
      <c r="F293" s="38">
        <f t="shared" si="201"/>
        <v>20</v>
      </c>
      <c r="G293" s="38">
        <f t="shared" si="201"/>
        <v>7</v>
      </c>
      <c r="H293" s="39">
        <f t="shared" si="201"/>
        <v>25</v>
      </c>
      <c r="I293" s="40">
        <f t="shared" si="201"/>
        <v>780</v>
      </c>
      <c r="K293" s="37">
        <f t="shared" ref="K293:R293" si="202">SUM(K289:K292)</f>
        <v>23</v>
      </c>
      <c r="L293" s="38">
        <f t="shared" si="202"/>
        <v>1</v>
      </c>
      <c r="M293" s="38">
        <f t="shared" si="202"/>
        <v>0</v>
      </c>
      <c r="N293" s="38">
        <f t="shared" si="202"/>
        <v>0</v>
      </c>
      <c r="O293" s="38">
        <f t="shared" si="202"/>
        <v>0</v>
      </c>
      <c r="P293" s="38">
        <f t="shared" si="202"/>
        <v>0</v>
      </c>
      <c r="Q293" s="39">
        <f t="shared" si="202"/>
        <v>1</v>
      </c>
      <c r="R293" s="40">
        <f t="shared" si="202"/>
        <v>25</v>
      </c>
      <c r="T293" s="37">
        <f t="shared" ref="T293:AA293" si="203">SUM(T289:T292)</f>
        <v>359</v>
      </c>
      <c r="U293" s="38">
        <f t="shared" si="203"/>
        <v>69</v>
      </c>
      <c r="V293" s="38">
        <f t="shared" si="203"/>
        <v>5</v>
      </c>
      <c r="W293" s="38">
        <f t="shared" si="203"/>
        <v>10</v>
      </c>
      <c r="X293" s="38">
        <f t="shared" si="203"/>
        <v>20</v>
      </c>
      <c r="Y293" s="38">
        <f t="shared" si="203"/>
        <v>43</v>
      </c>
      <c r="Z293" s="39">
        <f t="shared" si="203"/>
        <v>35</v>
      </c>
      <c r="AA293" s="40">
        <f t="shared" si="203"/>
        <v>541</v>
      </c>
      <c r="AC293" s="40">
        <f>SUM(AC289:AC292)</f>
        <v>1346</v>
      </c>
    </row>
    <row r="294" spans="1:29" ht="15.75" customHeight="1">
      <c r="A294" s="90">
        <v>0.375</v>
      </c>
      <c r="B294" s="27">
        <f t="shared" ref="B294:H297" si="204">SUM(B22+B90+B158)</f>
        <v>140</v>
      </c>
      <c r="C294" s="28">
        <f t="shared" si="204"/>
        <v>27</v>
      </c>
      <c r="D294" s="28">
        <f t="shared" si="204"/>
        <v>3</v>
      </c>
      <c r="E294" s="28">
        <f t="shared" si="204"/>
        <v>3</v>
      </c>
      <c r="F294" s="28">
        <f t="shared" si="204"/>
        <v>6</v>
      </c>
      <c r="G294" s="28">
        <f t="shared" si="204"/>
        <v>0</v>
      </c>
      <c r="H294" s="29">
        <f t="shared" si="204"/>
        <v>4</v>
      </c>
      <c r="I294" s="91">
        <f>SUM(B294:H294)</f>
        <v>183</v>
      </c>
      <c r="K294" s="27">
        <f t="shared" ref="K294:Q297" si="205">SUM(K22+K90+K158)</f>
        <v>5</v>
      </c>
      <c r="L294" s="28">
        <f t="shared" si="205"/>
        <v>0</v>
      </c>
      <c r="M294" s="28">
        <f t="shared" si="205"/>
        <v>0</v>
      </c>
      <c r="N294" s="28">
        <f t="shared" si="205"/>
        <v>0</v>
      </c>
      <c r="O294" s="28">
        <f t="shared" si="205"/>
        <v>0</v>
      </c>
      <c r="P294" s="28">
        <f t="shared" si="205"/>
        <v>0</v>
      </c>
      <c r="Q294" s="29">
        <f t="shared" si="205"/>
        <v>0</v>
      </c>
      <c r="R294" s="91">
        <f>SUM(K294:Q294)</f>
        <v>5</v>
      </c>
      <c r="T294" s="27">
        <f t="shared" ref="T294:Z297" si="206">SUM(T22+T90+T158)</f>
        <v>154</v>
      </c>
      <c r="U294" s="28">
        <f t="shared" si="206"/>
        <v>17</v>
      </c>
      <c r="V294" s="28">
        <f t="shared" si="206"/>
        <v>2</v>
      </c>
      <c r="W294" s="28">
        <f t="shared" si="206"/>
        <v>1</v>
      </c>
      <c r="X294" s="28">
        <f t="shared" si="206"/>
        <v>4</v>
      </c>
      <c r="Y294" s="28">
        <f t="shared" si="206"/>
        <v>5</v>
      </c>
      <c r="Z294" s="29">
        <f t="shared" si="206"/>
        <v>3</v>
      </c>
      <c r="AA294" s="91">
        <f>SUM(T294:Z294)</f>
        <v>186</v>
      </c>
      <c r="AC294" s="91">
        <f>SUM(I294+R294+AA294)</f>
        <v>374</v>
      </c>
    </row>
    <row r="295" spans="1:29" ht="15.75" customHeight="1">
      <c r="A295" s="92">
        <v>0.38541666666666669</v>
      </c>
      <c r="B295" s="30">
        <f t="shared" si="204"/>
        <v>124</v>
      </c>
      <c r="C295" s="31">
        <f t="shared" si="204"/>
        <v>20</v>
      </c>
      <c r="D295" s="31">
        <f t="shared" si="204"/>
        <v>2</v>
      </c>
      <c r="E295" s="31">
        <f t="shared" si="204"/>
        <v>4</v>
      </c>
      <c r="F295" s="31">
        <f t="shared" si="204"/>
        <v>4</v>
      </c>
      <c r="G295" s="31">
        <f t="shared" si="204"/>
        <v>1</v>
      </c>
      <c r="H295" s="32">
        <f t="shared" si="204"/>
        <v>1</v>
      </c>
      <c r="I295" s="93">
        <f>SUM(B295:H295)</f>
        <v>156</v>
      </c>
      <c r="K295" s="30">
        <f t="shared" si="205"/>
        <v>2</v>
      </c>
      <c r="L295" s="31">
        <f t="shared" si="205"/>
        <v>0</v>
      </c>
      <c r="M295" s="31">
        <f t="shared" si="205"/>
        <v>0</v>
      </c>
      <c r="N295" s="31">
        <f t="shared" si="205"/>
        <v>0</v>
      </c>
      <c r="O295" s="31">
        <f t="shared" si="205"/>
        <v>0</v>
      </c>
      <c r="P295" s="31">
        <f t="shared" si="205"/>
        <v>0</v>
      </c>
      <c r="Q295" s="32">
        <f t="shared" si="205"/>
        <v>0</v>
      </c>
      <c r="R295" s="93">
        <f>SUM(K295:Q295)</f>
        <v>2</v>
      </c>
      <c r="T295" s="30">
        <f t="shared" si="206"/>
        <v>160</v>
      </c>
      <c r="U295" s="31">
        <f t="shared" si="206"/>
        <v>25</v>
      </c>
      <c r="V295" s="31">
        <f t="shared" si="206"/>
        <v>1</v>
      </c>
      <c r="W295" s="31">
        <f t="shared" si="206"/>
        <v>1</v>
      </c>
      <c r="X295" s="31">
        <f t="shared" si="206"/>
        <v>3</v>
      </c>
      <c r="Y295" s="31">
        <f t="shared" si="206"/>
        <v>2</v>
      </c>
      <c r="Z295" s="32">
        <f t="shared" si="206"/>
        <v>5</v>
      </c>
      <c r="AA295" s="93">
        <f>SUM(T295:Z295)</f>
        <v>197</v>
      </c>
      <c r="AC295" s="93">
        <f>SUM(I295+R295+AA295)</f>
        <v>355</v>
      </c>
    </row>
    <row r="296" spans="1:29" ht="15.75" customHeight="1">
      <c r="A296" s="92">
        <v>0.39583333333333331</v>
      </c>
      <c r="B296" s="30">
        <f t="shared" si="204"/>
        <v>114</v>
      </c>
      <c r="C296" s="31">
        <f t="shared" si="204"/>
        <v>19</v>
      </c>
      <c r="D296" s="31">
        <f t="shared" si="204"/>
        <v>5</v>
      </c>
      <c r="E296" s="31">
        <f t="shared" si="204"/>
        <v>2</v>
      </c>
      <c r="F296" s="31">
        <f t="shared" si="204"/>
        <v>8</v>
      </c>
      <c r="G296" s="31">
        <f t="shared" si="204"/>
        <v>2</v>
      </c>
      <c r="H296" s="32">
        <f t="shared" si="204"/>
        <v>5</v>
      </c>
      <c r="I296" s="93">
        <f>SUM(B296:H296)</f>
        <v>155</v>
      </c>
      <c r="K296" s="30">
        <f t="shared" si="205"/>
        <v>2</v>
      </c>
      <c r="L296" s="31">
        <f t="shared" si="205"/>
        <v>1</v>
      </c>
      <c r="M296" s="31">
        <f t="shared" si="205"/>
        <v>0</v>
      </c>
      <c r="N296" s="31">
        <f t="shared" si="205"/>
        <v>0</v>
      </c>
      <c r="O296" s="31">
        <f t="shared" si="205"/>
        <v>0</v>
      </c>
      <c r="P296" s="31">
        <f t="shared" si="205"/>
        <v>0</v>
      </c>
      <c r="Q296" s="32">
        <f t="shared" si="205"/>
        <v>0</v>
      </c>
      <c r="R296" s="93">
        <f>SUM(K296:Q296)</f>
        <v>3</v>
      </c>
      <c r="T296" s="30">
        <f t="shared" si="206"/>
        <v>121</v>
      </c>
      <c r="U296" s="31">
        <f t="shared" si="206"/>
        <v>31</v>
      </c>
      <c r="V296" s="31">
        <f t="shared" si="206"/>
        <v>1</v>
      </c>
      <c r="W296" s="31">
        <f t="shared" si="206"/>
        <v>4</v>
      </c>
      <c r="X296" s="31">
        <f t="shared" si="206"/>
        <v>12</v>
      </c>
      <c r="Y296" s="31">
        <f t="shared" si="206"/>
        <v>4</v>
      </c>
      <c r="Z296" s="32">
        <f t="shared" si="206"/>
        <v>2</v>
      </c>
      <c r="AA296" s="93">
        <f>SUM(T296:Z296)</f>
        <v>175</v>
      </c>
      <c r="AC296" s="93">
        <f>SUM(I296+R296+AA296)</f>
        <v>333</v>
      </c>
    </row>
    <row r="297" spans="1:29" ht="15.75" customHeight="1">
      <c r="A297" s="94">
        <v>0.40625</v>
      </c>
      <c r="B297" s="33">
        <f t="shared" si="204"/>
        <v>116</v>
      </c>
      <c r="C297" s="34">
        <f t="shared" si="204"/>
        <v>19</v>
      </c>
      <c r="D297" s="34">
        <f t="shared" si="204"/>
        <v>4</v>
      </c>
      <c r="E297" s="34">
        <f t="shared" si="204"/>
        <v>1</v>
      </c>
      <c r="F297" s="34">
        <f t="shared" si="204"/>
        <v>6</v>
      </c>
      <c r="G297" s="34">
        <f t="shared" si="204"/>
        <v>0</v>
      </c>
      <c r="H297" s="35">
        <f t="shared" si="204"/>
        <v>1</v>
      </c>
      <c r="I297" s="95">
        <f>SUM(B297:H297)</f>
        <v>147</v>
      </c>
      <c r="K297" s="33">
        <f t="shared" si="205"/>
        <v>2</v>
      </c>
      <c r="L297" s="34">
        <f t="shared" si="205"/>
        <v>0</v>
      </c>
      <c r="M297" s="34">
        <f t="shared" si="205"/>
        <v>0</v>
      </c>
      <c r="N297" s="34">
        <f t="shared" si="205"/>
        <v>0</v>
      </c>
      <c r="O297" s="34">
        <f t="shared" si="205"/>
        <v>0</v>
      </c>
      <c r="P297" s="34">
        <f t="shared" si="205"/>
        <v>0</v>
      </c>
      <c r="Q297" s="35">
        <f t="shared" si="205"/>
        <v>0</v>
      </c>
      <c r="R297" s="95">
        <f>SUM(K297:Q297)</f>
        <v>2</v>
      </c>
      <c r="T297" s="33">
        <f t="shared" si="206"/>
        <v>129</v>
      </c>
      <c r="U297" s="34">
        <f t="shared" si="206"/>
        <v>27</v>
      </c>
      <c r="V297" s="34">
        <f t="shared" si="206"/>
        <v>1</v>
      </c>
      <c r="W297" s="34">
        <f t="shared" si="206"/>
        <v>2</v>
      </c>
      <c r="X297" s="34">
        <f t="shared" si="206"/>
        <v>6</v>
      </c>
      <c r="Y297" s="34">
        <f t="shared" si="206"/>
        <v>2</v>
      </c>
      <c r="Z297" s="35">
        <f t="shared" si="206"/>
        <v>5</v>
      </c>
      <c r="AA297" s="95">
        <f>SUM(T297:Z297)</f>
        <v>172</v>
      </c>
      <c r="AC297" s="95">
        <f>SUM(I297+R297+AA297)</f>
        <v>321</v>
      </c>
    </row>
    <row r="298" spans="1:29" ht="15.75" customHeight="1">
      <c r="A298" s="40" t="s">
        <v>24</v>
      </c>
      <c r="B298" s="37">
        <f t="shared" ref="B298:I298" si="207">SUM(B294:B297)</f>
        <v>494</v>
      </c>
      <c r="C298" s="38">
        <f t="shared" si="207"/>
        <v>85</v>
      </c>
      <c r="D298" s="38">
        <f t="shared" si="207"/>
        <v>14</v>
      </c>
      <c r="E298" s="38">
        <f t="shared" si="207"/>
        <v>10</v>
      </c>
      <c r="F298" s="38">
        <f t="shared" si="207"/>
        <v>24</v>
      </c>
      <c r="G298" s="38">
        <f t="shared" si="207"/>
        <v>3</v>
      </c>
      <c r="H298" s="39">
        <f t="shared" si="207"/>
        <v>11</v>
      </c>
      <c r="I298" s="40">
        <f t="shared" si="207"/>
        <v>641</v>
      </c>
      <c r="K298" s="37">
        <f t="shared" ref="K298:R298" si="208">SUM(K294:K297)</f>
        <v>11</v>
      </c>
      <c r="L298" s="38">
        <f t="shared" si="208"/>
        <v>1</v>
      </c>
      <c r="M298" s="38">
        <f t="shared" si="208"/>
        <v>0</v>
      </c>
      <c r="N298" s="38">
        <f t="shared" si="208"/>
        <v>0</v>
      </c>
      <c r="O298" s="38">
        <f t="shared" si="208"/>
        <v>0</v>
      </c>
      <c r="P298" s="38">
        <f t="shared" si="208"/>
        <v>0</v>
      </c>
      <c r="Q298" s="39">
        <f t="shared" si="208"/>
        <v>0</v>
      </c>
      <c r="R298" s="40">
        <f t="shared" si="208"/>
        <v>12</v>
      </c>
      <c r="T298" s="37">
        <f t="shared" ref="T298:AA298" si="209">SUM(T294:T297)</f>
        <v>564</v>
      </c>
      <c r="U298" s="38">
        <f t="shared" si="209"/>
        <v>100</v>
      </c>
      <c r="V298" s="38">
        <f t="shared" si="209"/>
        <v>5</v>
      </c>
      <c r="W298" s="38">
        <f t="shared" si="209"/>
        <v>8</v>
      </c>
      <c r="X298" s="38">
        <f t="shared" si="209"/>
        <v>25</v>
      </c>
      <c r="Y298" s="38">
        <f t="shared" si="209"/>
        <v>13</v>
      </c>
      <c r="Z298" s="39">
        <f t="shared" si="209"/>
        <v>15</v>
      </c>
      <c r="AA298" s="40">
        <f t="shared" si="209"/>
        <v>730</v>
      </c>
      <c r="AC298" s="40">
        <f>SUM(AC294:AC297)</f>
        <v>1383</v>
      </c>
    </row>
    <row r="299" spans="1:29" ht="15.75" customHeight="1">
      <c r="A299" s="90">
        <v>0.41666666666666669</v>
      </c>
      <c r="B299" s="27">
        <f t="shared" ref="B299:H302" si="210">SUM(B27+B95+B163)</f>
        <v>123</v>
      </c>
      <c r="C299" s="28">
        <f t="shared" si="210"/>
        <v>34</v>
      </c>
      <c r="D299" s="28">
        <f t="shared" si="210"/>
        <v>4</v>
      </c>
      <c r="E299" s="28">
        <f t="shared" si="210"/>
        <v>4</v>
      </c>
      <c r="F299" s="28">
        <f t="shared" si="210"/>
        <v>4</v>
      </c>
      <c r="G299" s="28">
        <f t="shared" si="210"/>
        <v>3</v>
      </c>
      <c r="H299" s="29">
        <f t="shared" si="210"/>
        <v>3</v>
      </c>
      <c r="I299" s="91">
        <f>SUM(B299:H299)</f>
        <v>175</v>
      </c>
      <c r="K299" s="27">
        <f t="shared" ref="K299:Q302" si="211">SUM(K27+K95+K163)</f>
        <v>3</v>
      </c>
      <c r="L299" s="28">
        <f t="shared" si="211"/>
        <v>2</v>
      </c>
      <c r="M299" s="28">
        <f t="shared" si="211"/>
        <v>0</v>
      </c>
      <c r="N299" s="28">
        <f t="shared" si="211"/>
        <v>0</v>
      </c>
      <c r="O299" s="28">
        <f t="shared" si="211"/>
        <v>0</v>
      </c>
      <c r="P299" s="28">
        <f t="shared" si="211"/>
        <v>0</v>
      </c>
      <c r="Q299" s="29">
        <f t="shared" si="211"/>
        <v>0</v>
      </c>
      <c r="R299" s="91">
        <f>SUM(K299:Q299)</f>
        <v>5</v>
      </c>
      <c r="T299" s="27">
        <f t="shared" ref="T299:Z302" si="212">SUM(T27+T95+T163)</f>
        <v>128</v>
      </c>
      <c r="U299" s="28">
        <f t="shared" si="212"/>
        <v>25</v>
      </c>
      <c r="V299" s="28">
        <f t="shared" si="212"/>
        <v>6</v>
      </c>
      <c r="W299" s="28">
        <f t="shared" si="212"/>
        <v>2</v>
      </c>
      <c r="X299" s="28">
        <f t="shared" si="212"/>
        <v>2</v>
      </c>
      <c r="Y299" s="28">
        <f t="shared" si="212"/>
        <v>1</v>
      </c>
      <c r="Z299" s="29">
        <f t="shared" si="212"/>
        <v>2</v>
      </c>
      <c r="AA299" s="91">
        <f>SUM(T299:Z299)</f>
        <v>166</v>
      </c>
      <c r="AC299" s="91">
        <f>SUM(I299+R299+AA299)</f>
        <v>346</v>
      </c>
    </row>
    <row r="300" spans="1:29" ht="15.75" customHeight="1">
      <c r="A300" s="92">
        <v>0.42708333333333331</v>
      </c>
      <c r="B300" s="30">
        <f t="shared" si="210"/>
        <v>111</v>
      </c>
      <c r="C300" s="31">
        <f t="shared" si="210"/>
        <v>25</v>
      </c>
      <c r="D300" s="31">
        <f t="shared" si="210"/>
        <v>8</v>
      </c>
      <c r="E300" s="31">
        <f t="shared" si="210"/>
        <v>2</v>
      </c>
      <c r="F300" s="31">
        <f t="shared" si="210"/>
        <v>7</v>
      </c>
      <c r="G300" s="31">
        <f t="shared" si="210"/>
        <v>0</v>
      </c>
      <c r="H300" s="32">
        <f t="shared" si="210"/>
        <v>1</v>
      </c>
      <c r="I300" s="93">
        <f>SUM(B300:H300)</f>
        <v>154</v>
      </c>
      <c r="K300" s="30">
        <f t="shared" si="211"/>
        <v>4</v>
      </c>
      <c r="L300" s="31">
        <f t="shared" si="211"/>
        <v>5</v>
      </c>
      <c r="M300" s="31">
        <f t="shared" si="211"/>
        <v>0</v>
      </c>
      <c r="N300" s="31">
        <f t="shared" si="211"/>
        <v>0</v>
      </c>
      <c r="O300" s="31">
        <f t="shared" si="211"/>
        <v>0</v>
      </c>
      <c r="P300" s="31">
        <f t="shared" si="211"/>
        <v>0</v>
      </c>
      <c r="Q300" s="32">
        <f t="shared" si="211"/>
        <v>0</v>
      </c>
      <c r="R300" s="93">
        <f>SUM(K300:Q300)</f>
        <v>9</v>
      </c>
      <c r="T300" s="30">
        <f t="shared" si="212"/>
        <v>118</v>
      </c>
      <c r="U300" s="31">
        <f t="shared" si="212"/>
        <v>21</v>
      </c>
      <c r="V300" s="31">
        <f t="shared" si="212"/>
        <v>4</v>
      </c>
      <c r="W300" s="31">
        <f t="shared" si="212"/>
        <v>3</v>
      </c>
      <c r="X300" s="31">
        <f t="shared" si="212"/>
        <v>11</v>
      </c>
      <c r="Y300" s="31">
        <f t="shared" si="212"/>
        <v>3</v>
      </c>
      <c r="Z300" s="32">
        <f t="shared" si="212"/>
        <v>3</v>
      </c>
      <c r="AA300" s="93">
        <f>SUM(T300:Z300)</f>
        <v>163</v>
      </c>
      <c r="AC300" s="93">
        <f>SUM(I300+R300+AA300)</f>
        <v>326</v>
      </c>
    </row>
    <row r="301" spans="1:29" ht="15.75" customHeight="1">
      <c r="A301" s="92">
        <v>0.4375</v>
      </c>
      <c r="B301" s="30">
        <f t="shared" si="210"/>
        <v>124</v>
      </c>
      <c r="C301" s="31">
        <f t="shared" si="210"/>
        <v>25</v>
      </c>
      <c r="D301" s="31">
        <f t="shared" si="210"/>
        <v>5</v>
      </c>
      <c r="E301" s="31">
        <f t="shared" si="210"/>
        <v>0</v>
      </c>
      <c r="F301" s="31">
        <f t="shared" si="210"/>
        <v>4</v>
      </c>
      <c r="G301" s="31">
        <f t="shared" si="210"/>
        <v>0</v>
      </c>
      <c r="H301" s="32">
        <f t="shared" si="210"/>
        <v>0</v>
      </c>
      <c r="I301" s="93">
        <f>SUM(B301:H301)</f>
        <v>158</v>
      </c>
      <c r="K301" s="30">
        <f t="shared" si="211"/>
        <v>2</v>
      </c>
      <c r="L301" s="31">
        <f t="shared" si="211"/>
        <v>2</v>
      </c>
      <c r="M301" s="31">
        <f t="shared" si="211"/>
        <v>0</v>
      </c>
      <c r="N301" s="31">
        <f t="shared" si="211"/>
        <v>0</v>
      </c>
      <c r="O301" s="31">
        <f t="shared" si="211"/>
        <v>0</v>
      </c>
      <c r="P301" s="31">
        <f t="shared" si="211"/>
        <v>0</v>
      </c>
      <c r="Q301" s="32">
        <f t="shared" si="211"/>
        <v>0</v>
      </c>
      <c r="R301" s="93">
        <f>SUM(K301:Q301)</f>
        <v>4</v>
      </c>
      <c r="T301" s="30">
        <f t="shared" si="212"/>
        <v>109</v>
      </c>
      <c r="U301" s="31">
        <f t="shared" si="212"/>
        <v>23</v>
      </c>
      <c r="V301" s="31">
        <f t="shared" si="212"/>
        <v>3</v>
      </c>
      <c r="W301" s="31">
        <f t="shared" si="212"/>
        <v>5</v>
      </c>
      <c r="X301" s="31">
        <f t="shared" si="212"/>
        <v>5</v>
      </c>
      <c r="Y301" s="31">
        <f t="shared" si="212"/>
        <v>2</v>
      </c>
      <c r="Z301" s="32">
        <f t="shared" si="212"/>
        <v>1</v>
      </c>
      <c r="AA301" s="93">
        <f>SUM(T301:Z301)</f>
        <v>148</v>
      </c>
      <c r="AC301" s="93">
        <f>SUM(I301+R301+AA301)</f>
        <v>310</v>
      </c>
    </row>
    <row r="302" spans="1:29" ht="15.75" customHeight="1">
      <c r="A302" s="94">
        <v>0.44791666666666669</v>
      </c>
      <c r="B302" s="33">
        <f t="shared" si="210"/>
        <v>111</v>
      </c>
      <c r="C302" s="34">
        <f t="shared" si="210"/>
        <v>25</v>
      </c>
      <c r="D302" s="34">
        <f t="shared" si="210"/>
        <v>2</v>
      </c>
      <c r="E302" s="34">
        <f t="shared" si="210"/>
        <v>2</v>
      </c>
      <c r="F302" s="34">
        <f t="shared" si="210"/>
        <v>2</v>
      </c>
      <c r="G302" s="34">
        <f t="shared" si="210"/>
        <v>1</v>
      </c>
      <c r="H302" s="35">
        <f t="shared" si="210"/>
        <v>1</v>
      </c>
      <c r="I302" s="95">
        <f>SUM(B302:H302)</f>
        <v>144</v>
      </c>
      <c r="K302" s="33">
        <f t="shared" si="211"/>
        <v>3</v>
      </c>
      <c r="L302" s="34">
        <f t="shared" si="211"/>
        <v>1</v>
      </c>
      <c r="M302" s="34">
        <f t="shared" si="211"/>
        <v>1</v>
      </c>
      <c r="N302" s="34">
        <f t="shared" si="211"/>
        <v>0</v>
      </c>
      <c r="O302" s="34">
        <f t="shared" si="211"/>
        <v>0</v>
      </c>
      <c r="P302" s="34">
        <f t="shared" si="211"/>
        <v>0</v>
      </c>
      <c r="Q302" s="35">
        <f t="shared" si="211"/>
        <v>0</v>
      </c>
      <c r="R302" s="95">
        <f>SUM(K302:Q302)</f>
        <v>5</v>
      </c>
      <c r="T302" s="33">
        <f t="shared" si="212"/>
        <v>118</v>
      </c>
      <c r="U302" s="34">
        <f t="shared" si="212"/>
        <v>23</v>
      </c>
      <c r="V302" s="34">
        <f t="shared" si="212"/>
        <v>7</v>
      </c>
      <c r="W302" s="34">
        <f t="shared" si="212"/>
        <v>2</v>
      </c>
      <c r="X302" s="34">
        <f t="shared" si="212"/>
        <v>5</v>
      </c>
      <c r="Y302" s="34">
        <f t="shared" si="212"/>
        <v>2</v>
      </c>
      <c r="Z302" s="35">
        <f t="shared" si="212"/>
        <v>2</v>
      </c>
      <c r="AA302" s="95">
        <f>SUM(T302:Z302)</f>
        <v>159</v>
      </c>
      <c r="AC302" s="95">
        <f>SUM(I302+R302+AA302)</f>
        <v>308</v>
      </c>
    </row>
    <row r="303" spans="1:29" ht="15.75" customHeight="1">
      <c r="A303" s="40" t="s">
        <v>24</v>
      </c>
      <c r="B303" s="37">
        <f t="shared" ref="B303:I303" si="213">SUM(B299:B302)</f>
        <v>469</v>
      </c>
      <c r="C303" s="38">
        <f t="shared" si="213"/>
        <v>109</v>
      </c>
      <c r="D303" s="38">
        <f t="shared" si="213"/>
        <v>19</v>
      </c>
      <c r="E303" s="38">
        <f t="shared" si="213"/>
        <v>8</v>
      </c>
      <c r="F303" s="38">
        <f t="shared" si="213"/>
        <v>17</v>
      </c>
      <c r="G303" s="38">
        <f t="shared" si="213"/>
        <v>4</v>
      </c>
      <c r="H303" s="39">
        <f t="shared" si="213"/>
        <v>5</v>
      </c>
      <c r="I303" s="40">
        <f t="shared" si="213"/>
        <v>631</v>
      </c>
      <c r="K303" s="37">
        <f t="shared" ref="K303:R303" si="214">SUM(K299:K302)</f>
        <v>12</v>
      </c>
      <c r="L303" s="38">
        <f t="shared" si="214"/>
        <v>10</v>
      </c>
      <c r="M303" s="38">
        <f t="shared" si="214"/>
        <v>1</v>
      </c>
      <c r="N303" s="38">
        <f t="shared" si="214"/>
        <v>0</v>
      </c>
      <c r="O303" s="38">
        <f t="shared" si="214"/>
        <v>0</v>
      </c>
      <c r="P303" s="38">
        <f t="shared" si="214"/>
        <v>0</v>
      </c>
      <c r="Q303" s="39">
        <f t="shared" si="214"/>
        <v>0</v>
      </c>
      <c r="R303" s="40">
        <f t="shared" si="214"/>
        <v>23</v>
      </c>
      <c r="T303" s="37">
        <f t="shared" ref="T303:AA303" si="215">SUM(T299:T302)</f>
        <v>473</v>
      </c>
      <c r="U303" s="38">
        <f t="shared" si="215"/>
        <v>92</v>
      </c>
      <c r="V303" s="38">
        <f t="shared" si="215"/>
        <v>20</v>
      </c>
      <c r="W303" s="38">
        <f t="shared" si="215"/>
        <v>12</v>
      </c>
      <c r="X303" s="38">
        <f t="shared" si="215"/>
        <v>23</v>
      </c>
      <c r="Y303" s="38">
        <f t="shared" si="215"/>
        <v>8</v>
      </c>
      <c r="Z303" s="39">
        <f t="shared" si="215"/>
        <v>8</v>
      </c>
      <c r="AA303" s="40">
        <f t="shared" si="215"/>
        <v>636</v>
      </c>
      <c r="AC303" s="40">
        <f>SUM(AC299:AC302)</f>
        <v>1290</v>
      </c>
    </row>
    <row r="304" spans="1:29" ht="15.75" customHeight="1">
      <c r="A304" s="90">
        <v>0.45833333333333331</v>
      </c>
      <c r="B304" s="27">
        <f t="shared" ref="B304:H307" si="216">SUM(B32+B100+B168)</f>
        <v>112</v>
      </c>
      <c r="C304" s="28">
        <f t="shared" si="216"/>
        <v>21</v>
      </c>
      <c r="D304" s="28">
        <f t="shared" si="216"/>
        <v>10</v>
      </c>
      <c r="E304" s="28">
        <f t="shared" si="216"/>
        <v>1</v>
      </c>
      <c r="F304" s="28">
        <f t="shared" si="216"/>
        <v>7</v>
      </c>
      <c r="G304" s="28">
        <f t="shared" si="216"/>
        <v>2</v>
      </c>
      <c r="H304" s="29">
        <f t="shared" si="216"/>
        <v>1</v>
      </c>
      <c r="I304" s="91">
        <f>SUM(B304:H304)</f>
        <v>154</v>
      </c>
      <c r="K304" s="27">
        <f t="shared" ref="K304:Q307" si="217">SUM(K32+K100+K168)</f>
        <v>1</v>
      </c>
      <c r="L304" s="28">
        <f t="shared" si="217"/>
        <v>2</v>
      </c>
      <c r="M304" s="28">
        <f t="shared" si="217"/>
        <v>1</v>
      </c>
      <c r="N304" s="28">
        <f t="shared" si="217"/>
        <v>0</v>
      </c>
      <c r="O304" s="28">
        <f t="shared" si="217"/>
        <v>0</v>
      </c>
      <c r="P304" s="28">
        <f t="shared" si="217"/>
        <v>0</v>
      </c>
      <c r="Q304" s="29">
        <f t="shared" si="217"/>
        <v>0</v>
      </c>
      <c r="R304" s="91">
        <f>SUM(K304:Q304)</f>
        <v>4</v>
      </c>
      <c r="T304" s="27">
        <f t="shared" ref="T304:Z307" si="218">SUM(T32+T100+T168)</f>
        <v>138</v>
      </c>
      <c r="U304" s="28">
        <f t="shared" si="218"/>
        <v>26</v>
      </c>
      <c r="V304" s="28">
        <f t="shared" si="218"/>
        <v>4</v>
      </c>
      <c r="W304" s="28">
        <f t="shared" si="218"/>
        <v>0</v>
      </c>
      <c r="X304" s="28">
        <f t="shared" si="218"/>
        <v>7</v>
      </c>
      <c r="Y304" s="28">
        <f t="shared" si="218"/>
        <v>0</v>
      </c>
      <c r="Z304" s="29">
        <f t="shared" si="218"/>
        <v>3</v>
      </c>
      <c r="AA304" s="91">
        <f>SUM(T304:Z304)</f>
        <v>178</v>
      </c>
      <c r="AC304" s="91">
        <f>SUM(I304+R304+AA304)</f>
        <v>336</v>
      </c>
    </row>
    <row r="305" spans="1:29" ht="15.75" customHeight="1">
      <c r="A305" s="92">
        <v>0.46875</v>
      </c>
      <c r="B305" s="30">
        <f t="shared" si="216"/>
        <v>102</v>
      </c>
      <c r="C305" s="31">
        <f t="shared" si="216"/>
        <v>25</v>
      </c>
      <c r="D305" s="31">
        <f t="shared" si="216"/>
        <v>4</v>
      </c>
      <c r="E305" s="31">
        <f t="shared" si="216"/>
        <v>1</v>
      </c>
      <c r="F305" s="31">
        <f t="shared" si="216"/>
        <v>8</v>
      </c>
      <c r="G305" s="31">
        <f t="shared" si="216"/>
        <v>0</v>
      </c>
      <c r="H305" s="32">
        <f t="shared" si="216"/>
        <v>1</v>
      </c>
      <c r="I305" s="93">
        <f>SUM(B305:H305)</f>
        <v>141</v>
      </c>
      <c r="K305" s="30">
        <f t="shared" si="217"/>
        <v>6</v>
      </c>
      <c r="L305" s="31">
        <f t="shared" si="217"/>
        <v>1</v>
      </c>
      <c r="M305" s="31">
        <f t="shared" si="217"/>
        <v>0</v>
      </c>
      <c r="N305" s="31">
        <f t="shared" si="217"/>
        <v>0</v>
      </c>
      <c r="O305" s="31">
        <f t="shared" si="217"/>
        <v>0</v>
      </c>
      <c r="P305" s="31">
        <f t="shared" si="217"/>
        <v>0</v>
      </c>
      <c r="Q305" s="32">
        <f t="shared" si="217"/>
        <v>0</v>
      </c>
      <c r="R305" s="93">
        <f>SUM(K305:Q305)</f>
        <v>7</v>
      </c>
      <c r="T305" s="30">
        <f t="shared" si="218"/>
        <v>109</v>
      </c>
      <c r="U305" s="31">
        <f t="shared" si="218"/>
        <v>27</v>
      </c>
      <c r="V305" s="31">
        <f t="shared" si="218"/>
        <v>4</v>
      </c>
      <c r="W305" s="31">
        <f t="shared" si="218"/>
        <v>2</v>
      </c>
      <c r="X305" s="31">
        <f t="shared" si="218"/>
        <v>3</v>
      </c>
      <c r="Y305" s="31">
        <f t="shared" si="218"/>
        <v>0</v>
      </c>
      <c r="Z305" s="32">
        <f t="shared" si="218"/>
        <v>1</v>
      </c>
      <c r="AA305" s="93">
        <f>SUM(T305:Z305)</f>
        <v>146</v>
      </c>
      <c r="AC305" s="93">
        <f>SUM(I305+R305+AA305)</f>
        <v>294</v>
      </c>
    </row>
    <row r="306" spans="1:29" ht="15.75" customHeight="1">
      <c r="A306" s="92">
        <v>0.47916666666666669</v>
      </c>
      <c r="B306" s="30">
        <f t="shared" si="216"/>
        <v>135</v>
      </c>
      <c r="C306" s="31">
        <f t="shared" si="216"/>
        <v>26</v>
      </c>
      <c r="D306" s="31">
        <f t="shared" si="216"/>
        <v>3</v>
      </c>
      <c r="E306" s="31">
        <f t="shared" si="216"/>
        <v>2</v>
      </c>
      <c r="F306" s="31">
        <f t="shared" si="216"/>
        <v>6</v>
      </c>
      <c r="G306" s="31">
        <f t="shared" si="216"/>
        <v>1</v>
      </c>
      <c r="H306" s="32">
        <f t="shared" si="216"/>
        <v>0</v>
      </c>
      <c r="I306" s="93">
        <f>SUM(B306:H306)</f>
        <v>173</v>
      </c>
      <c r="K306" s="30">
        <f t="shared" si="217"/>
        <v>7</v>
      </c>
      <c r="L306" s="31">
        <f t="shared" si="217"/>
        <v>2</v>
      </c>
      <c r="M306" s="31">
        <f t="shared" si="217"/>
        <v>0</v>
      </c>
      <c r="N306" s="31">
        <f t="shared" si="217"/>
        <v>0</v>
      </c>
      <c r="O306" s="31">
        <f t="shared" si="217"/>
        <v>0</v>
      </c>
      <c r="P306" s="31">
        <f t="shared" si="217"/>
        <v>0</v>
      </c>
      <c r="Q306" s="32">
        <f t="shared" si="217"/>
        <v>0</v>
      </c>
      <c r="R306" s="93">
        <f>SUM(K306:Q306)</f>
        <v>9</v>
      </c>
      <c r="T306" s="30">
        <f t="shared" si="218"/>
        <v>150</v>
      </c>
      <c r="U306" s="31">
        <f t="shared" si="218"/>
        <v>17</v>
      </c>
      <c r="V306" s="31">
        <f t="shared" si="218"/>
        <v>5</v>
      </c>
      <c r="W306" s="31">
        <f t="shared" si="218"/>
        <v>3</v>
      </c>
      <c r="X306" s="31">
        <f t="shared" si="218"/>
        <v>9</v>
      </c>
      <c r="Y306" s="31">
        <f t="shared" si="218"/>
        <v>0</v>
      </c>
      <c r="Z306" s="32">
        <f t="shared" si="218"/>
        <v>1</v>
      </c>
      <c r="AA306" s="93">
        <f>SUM(T306:Z306)</f>
        <v>185</v>
      </c>
      <c r="AC306" s="93">
        <f>SUM(I306+R306+AA306)</f>
        <v>367</v>
      </c>
    </row>
    <row r="307" spans="1:29" ht="15.75" customHeight="1">
      <c r="A307" s="94">
        <v>0.48958333333333331</v>
      </c>
      <c r="B307" s="33">
        <f t="shared" si="216"/>
        <v>131</v>
      </c>
      <c r="C307" s="34">
        <f t="shared" si="216"/>
        <v>24</v>
      </c>
      <c r="D307" s="34">
        <f t="shared" si="216"/>
        <v>7</v>
      </c>
      <c r="E307" s="34">
        <f t="shared" si="216"/>
        <v>2</v>
      </c>
      <c r="F307" s="34">
        <f t="shared" si="216"/>
        <v>4</v>
      </c>
      <c r="G307" s="34">
        <f t="shared" si="216"/>
        <v>0</v>
      </c>
      <c r="H307" s="35">
        <f t="shared" si="216"/>
        <v>0</v>
      </c>
      <c r="I307" s="95">
        <f>SUM(B307:H307)</f>
        <v>168</v>
      </c>
      <c r="K307" s="33">
        <f t="shared" si="217"/>
        <v>5</v>
      </c>
      <c r="L307" s="34">
        <f t="shared" si="217"/>
        <v>0</v>
      </c>
      <c r="M307" s="34">
        <f t="shared" si="217"/>
        <v>0</v>
      </c>
      <c r="N307" s="34">
        <f t="shared" si="217"/>
        <v>0</v>
      </c>
      <c r="O307" s="34">
        <f t="shared" si="217"/>
        <v>0</v>
      </c>
      <c r="P307" s="34">
        <f t="shared" si="217"/>
        <v>0</v>
      </c>
      <c r="Q307" s="35">
        <f t="shared" si="217"/>
        <v>0</v>
      </c>
      <c r="R307" s="95">
        <f>SUM(K307:Q307)</f>
        <v>5</v>
      </c>
      <c r="T307" s="33">
        <f t="shared" si="218"/>
        <v>131</v>
      </c>
      <c r="U307" s="34">
        <f t="shared" si="218"/>
        <v>26</v>
      </c>
      <c r="V307" s="34">
        <f t="shared" si="218"/>
        <v>4</v>
      </c>
      <c r="W307" s="34">
        <f t="shared" si="218"/>
        <v>4</v>
      </c>
      <c r="X307" s="34">
        <f t="shared" si="218"/>
        <v>5</v>
      </c>
      <c r="Y307" s="34">
        <f t="shared" si="218"/>
        <v>1</v>
      </c>
      <c r="Z307" s="35">
        <f t="shared" si="218"/>
        <v>0</v>
      </c>
      <c r="AA307" s="95">
        <f>SUM(T307:Z307)</f>
        <v>171</v>
      </c>
      <c r="AC307" s="95">
        <f>SUM(I307+R307+AA307)</f>
        <v>344</v>
      </c>
    </row>
    <row r="308" spans="1:29" ht="15.75" customHeight="1">
      <c r="A308" s="40" t="s">
        <v>24</v>
      </c>
      <c r="B308" s="37">
        <f t="shared" ref="B308:I308" si="219">SUM(B304:B307)</f>
        <v>480</v>
      </c>
      <c r="C308" s="38">
        <f t="shared" si="219"/>
        <v>96</v>
      </c>
      <c r="D308" s="38">
        <f t="shared" si="219"/>
        <v>24</v>
      </c>
      <c r="E308" s="38">
        <f t="shared" si="219"/>
        <v>6</v>
      </c>
      <c r="F308" s="38">
        <f t="shared" si="219"/>
        <v>25</v>
      </c>
      <c r="G308" s="38">
        <f t="shared" si="219"/>
        <v>3</v>
      </c>
      <c r="H308" s="39">
        <f t="shared" si="219"/>
        <v>2</v>
      </c>
      <c r="I308" s="40">
        <f t="shared" si="219"/>
        <v>636</v>
      </c>
      <c r="K308" s="37">
        <f t="shared" ref="K308:R308" si="220">SUM(K304:K307)</f>
        <v>19</v>
      </c>
      <c r="L308" s="38">
        <f t="shared" si="220"/>
        <v>5</v>
      </c>
      <c r="M308" s="38">
        <f t="shared" si="220"/>
        <v>1</v>
      </c>
      <c r="N308" s="38">
        <f t="shared" si="220"/>
        <v>0</v>
      </c>
      <c r="O308" s="38">
        <f t="shared" si="220"/>
        <v>0</v>
      </c>
      <c r="P308" s="38">
        <f t="shared" si="220"/>
        <v>0</v>
      </c>
      <c r="Q308" s="39">
        <f t="shared" si="220"/>
        <v>0</v>
      </c>
      <c r="R308" s="40">
        <f t="shared" si="220"/>
        <v>25</v>
      </c>
      <c r="T308" s="37">
        <f t="shared" ref="T308:AA308" si="221">SUM(T304:T307)</f>
        <v>528</v>
      </c>
      <c r="U308" s="38">
        <f t="shared" si="221"/>
        <v>96</v>
      </c>
      <c r="V308" s="38">
        <f t="shared" si="221"/>
        <v>17</v>
      </c>
      <c r="W308" s="38">
        <f t="shared" si="221"/>
        <v>9</v>
      </c>
      <c r="X308" s="38">
        <f t="shared" si="221"/>
        <v>24</v>
      </c>
      <c r="Y308" s="38">
        <f t="shared" si="221"/>
        <v>1</v>
      </c>
      <c r="Z308" s="39">
        <f t="shared" si="221"/>
        <v>5</v>
      </c>
      <c r="AA308" s="40">
        <f t="shared" si="221"/>
        <v>680</v>
      </c>
      <c r="AC308" s="40">
        <f>SUM(AC304:AC307)</f>
        <v>1341</v>
      </c>
    </row>
    <row r="309" spans="1:29" ht="15.75" customHeight="1">
      <c r="A309" s="90">
        <v>0.5</v>
      </c>
      <c r="B309" s="27">
        <f t="shared" ref="B309:H312" si="222">SUM(B37+B105+B173)</f>
        <v>147</v>
      </c>
      <c r="C309" s="28">
        <f t="shared" si="222"/>
        <v>21</v>
      </c>
      <c r="D309" s="28">
        <f t="shared" si="222"/>
        <v>5</v>
      </c>
      <c r="E309" s="28">
        <f t="shared" si="222"/>
        <v>2</v>
      </c>
      <c r="F309" s="28">
        <f t="shared" si="222"/>
        <v>5</v>
      </c>
      <c r="G309" s="28">
        <f t="shared" si="222"/>
        <v>2</v>
      </c>
      <c r="H309" s="29">
        <f t="shared" si="222"/>
        <v>0</v>
      </c>
      <c r="I309" s="91">
        <f>SUM(B309:H309)</f>
        <v>182</v>
      </c>
      <c r="K309" s="27">
        <f t="shared" ref="K309:Q312" si="223">SUM(K37+K105+K173)</f>
        <v>2</v>
      </c>
      <c r="L309" s="28">
        <f t="shared" si="223"/>
        <v>0</v>
      </c>
      <c r="M309" s="28">
        <f t="shared" si="223"/>
        <v>0</v>
      </c>
      <c r="N309" s="28">
        <f t="shared" si="223"/>
        <v>0</v>
      </c>
      <c r="O309" s="28">
        <f t="shared" si="223"/>
        <v>0</v>
      </c>
      <c r="P309" s="28">
        <f t="shared" si="223"/>
        <v>0</v>
      </c>
      <c r="Q309" s="29">
        <f t="shared" si="223"/>
        <v>0</v>
      </c>
      <c r="R309" s="91">
        <f>SUM(K309:Q309)</f>
        <v>2</v>
      </c>
      <c r="T309" s="27">
        <f t="shared" ref="T309:Z312" si="224">SUM(T37+T105+T173)</f>
        <v>142</v>
      </c>
      <c r="U309" s="28">
        <f t="shared" si="224"/>
        <v>24</v>
      </c>
      <c r="V309" s="28">
        <f t="shared" si="224"/>
        <v>5</v>
      </c>
      <c r="W309" s="28">
        <f t="shared" si="224"/>
        <v>3</v>
      </c>
      <c r="X309" s="28">
        <f t="shared" si="224"/>
        <v>6</v>
      </c>
      <c r="Y309" s="28">
        <f t="shared" si="224"/>
        <v>0</v>
      </c>
      <c r="Z309" s="29">
        <f t="shared" si="224"/>
        <v>4</v>
      </c>
      <c r="AA309" s="91">
        <f>SUM(T309:Z309)</f>
        <v>184</v>
      </c>
      <c r="AC309" s="91">
        <f>SUM(I309+R309+AA309)</f>
        <v>368</v>
      </c>
    </row>
    <row r="310" spans="1:29" ht="15.75" customHeight="1">
      <c r="A310" s="92">
        <v>0.51041666666666663</v>
      </c>
      <c r="B310" s="30">
        <f t="shared" si="222"/>
        <v>130</v>
      </c>
      <c r="C310" s="31">
        <f t="shared" si="222"/>
        <v>20</v>
      </c>
      <c r="D310" s="31">
        <f t="shared" si="222"/>
        <v>7</v>
      </c>
      <c r="E310" s="31">
        <f t="shared" si="222"/>
        <v>1</v>
      </c>
      <c r="F310" s="31">
        <f t="shared" si="222"/>
        <v>8</v>
      </c>
      <c r="G310" s="31">
        <f t="shared" si="222"/>
        <v>2</v>
      </c>
      <c r="H310" s="32">
        <f t="shared" si="222"/>
        <v>3</v>
      </c>
      <c r="I310" s="93">
        <f>SUM(B310:H310)</f>
        <v>171</v>
      </c>
      <c r="K310" s="30">
        <f t="shared" si="223"/>
        <v>1</v>
      </c>
      <c r="L310" s="31">
        <f t="shared" si="223"/>
        <v>2</v>
      </c>
      <c r="M310" s="31">
        <f t="shared" si="223"/>
        <v>0</v>
      </c>
      <c r="N310" s="31">
        <f t="shared" si="223"/>
        <v>0</v>
      </c>
      <c r="O310" s="31">
        <f t="shared" si="223"/>
        <v>0</v>
      </c>
      <c r="P310" s="31">
        <f t="shared" si="223"/>
        <v>0</v>
      </c>
      <c r="Q310" s="32">
        <f t="shared" si="223"/>
        <v>0</v>
      </c>
      <c r="R310" s="93">
        <f>SUM(K310:Q310)</f>
        <v>3</v>
      </c>
      <c r="T310" s="30">
        <f t="shared" si="224"/>
        <v>127</v>
      </c>
      <c r="U310" s="31">
        <f t="shared" si="224"/>
        <v>20</v>
      </c>
      <c r="V310" s="31">
        <f t="shared" si="224"/>
        <v>5</v>
      </c>
      <c r="W310" s="31">
        <f t="shared" si="224"/>
        <v>3</v>
      </c>
      <c r="X310" s="31">
        <f t="shared" si="224"/>
        <v>5</v>
      </c>
      <c r="Y310" s="31">
        <f t="shared" si="224"/>
        <v>2</v>
      </c>
      <c r="Z310" s="32">
        <f t="shared" si="224"/>
        <v>3</v>
      </c>
      <c r="AA310" s="93">
        <f>SUM(T310:Z310)</f>
        <v>165</v>
      </c>
      <c r="AC310" s="93">
        <f>SUM(I310+R310+AA310)</f>
        <v>339</v>
      </c>
    </row>
    <row r="311" spans="1:29" ht="15.75" customHeight="1">
      <c r="A311" s="92">
        <v>0.52083333333333337</v>
      </c>
      <c r="B311" s="30">
        <f t="shared" si="222"/>
        <v>106</v>
      </c>
      <c r="C311" s="31">
        <f t="shared" si="222"/>
        <v>32</v>
      </c>
      <c r="D311" s="31">
        <f t="shared" si="222"/>
        <v>4</v>
      </c>
      <c r="E311" s="31">
        <f t="shared" si="222"/>
        <v>5</v>
      </c>
      <c r="F311" s="31">
        <f t="shared" si="222"/>
        <v>8</v>
      </c>
      <c r="G311" s="31">
        <f t="shared" si="222"/>
        <v>3</v>
      </c>
      <c r="H311" s="32">
        <f t="shared" si="222"/>
        <v>2</v>
      </c>
      <c r="I311" s="93">
        <f>SUM(B311:H311)</f>
        <v>160</v>
      </c>
      <c r="K311" s="30">
        <f t="shared" si="223"/>
        <v>3</v>
      </c>
      <c r="L311" s="31">
        <f t="shared" si="223"/>
        <v>0</v>
      </c>
      <c r="M311" s="31">
        <f t="shared" si="223"/>
        <v>0</v>
      </c>
      <c r="N311" s="31">
        <f t="shared" si="223"/>
        <v>0</v>
      </c>
      <c r="O311" s="31">
        <f t="shared" si="223"/>
        <v>0</v>
      </c>
      <c r="P311" s="31">
        <f t="shared" si="223"/>
        <v>0</v>
      </c>
      <c r="Q311" s="32">
        <f t="shared" si="223"/>
        <v>1</v>
      </c>
      <c r="R311" s="93">
        <f>SUM(K311:Q311)</f>
        <v>4</v>
      </c>
      <c r="T311" s="30">
        <f t="shared" si="224"/>
        <v>139</v>
      </c>
      <c r="U311" s="31">
        <f t="shared" si="224"/>
        <v>40</v>
      </c>
      <c r="V311" s="31">
        <f t="shared" si="224"/>
        <v>2</v>
      </c>
      <c r="W311" s="31">
        <f t="shared" si="224"/>
        <v>1</v>
      </c>
      <c r="X311" s="31">
        <f t="shared" si="224"/>
        <v>4</v>
      </c>
      <c r="Y311" s="31">
        <f t="shared" si="224"/>
        <v>3</v>
      </c>
      <c r="Z311" s="32">
        <f t="shared" si="224"/>
        <v>1</v>
      </c>
      <c r="AA311" s="93">
        <f>SUM(T311:Z311)</f>
        <v>190</v>
      </c>
      <c r="AC311" s="93">
        <f>SUM(I311+R311+AA311)</f>
        <v>354</v>
      </c>
    </row>
    <row r="312" spans="1:29" ht="15.75" customHeight="1">
      <c r="A312" s="94">
        <v>0.53125</v>
      </c>
      <c r="B312" s="33">
        <f t="shared" si="222"/>
        <v>144</v>
      </c>
      <c r="C312" s="34">
        <f t="shared" si="222"/>
        <v>27</v>
      </c>
      <c r="D312" s="34">
        <f t="shared" si="222"/>
        <v>2</v>
      </c>
      <c r="E312" s="34">
        <f t="shared" si="222"/>
        <v>2</v>
      </c>
      <c r="F312" s="34">
        <f t="shared" si="222"/>
        <v>8</v>
      </c>
      <c r="G312" s="34">
        <f t="shared" si="222"/>
        <v>1</v>
      </c>
      <c r="H312" s="35">
        <f t="shared" si="222"/>
        <v>3</v>
      </c>
      <c r="I312" s="95">
        <f>SUM(B312:H312)</f>
        <v>187</v>
      </c>
      <c r="K312" s="33">
        <f t="shared" si="223"/>
        <v>3</v>
      </c>
      <c r="L312" s="34">
        <f t="shared" si="223"/>
        <v>2</v>
      </c>
      <c r="M312" s="34">
        <f t="shared" si="223"/>
        <v>0</v>
      </c>
      <c r="N312" s="34">
        <f t="shared" si="223"/>
        <v>0</v>
      </c>
      <c r="O312" s="34">
        <f t="shared" si="223"/>
        <v>0</v>
      </c>
      <c r="P312" s="34">
        <f t="shared" si="223"/>
        <v>0</v>
      </c>
      <c r="Q312" s="35">
        <f t="shared" si="223"/>
        <v>0</v>
      </c>
      <c r="R312" s="95">
        <f>SUM(K312:Q312)</f>
        <v>5</v>
      </c>
      <c r="T312" s="33">
        <f t="shared" si="224"/>
        <v>122</v>
      </c>
      <c r="U312" s="34">
        <f t="shared" si="224"/>
        <v>14</v>
      </c>
      <c r="V312" s="34">
        <f t="shared" si="224"/>
        <v>5</v>
      </c>
      <c r="W312" s="34">
        <f t="shared" si="224"/>
        <v>3</v>
      </c>
      <c r="X312" s="34">
        <f t="shared" si="224"/>
        <v>11</v>
      </c>
      <c r="Y312" s="34">
        <f t="shared" si="224"/>
        <v>1</v>
      </c>
      <c r="Z312" s="35">
        <f t="shared" si="224"/>
        <v>3</v>
      </c>
      <c r="AA312" s="95">
        <f>SUM(T312:Z312)</f>
        <v>159</v>
      </c>
      <c r="AC312" s="95">
        <f>SUM(I312+R312+AA312)</f>
        <v>351</v>
      </c>
    </row>
    <row r="313" spans="1:29" ht="15.75" customHeight="1">
      <c r="A313" s="40" t="s">
        <v>24</v>
      </c>
      <c r="B313" s="37">
        <f t="shared" ref="B313:I313" si="225">SUM(B309:B312)</f>
        <v>527</v>
      </c>
      <c r="C313" s="38">
        <f t="shared" si="225"/>
        <v>100</v>
      </c>
      <c r="D313" s="38">
        <f t="shared" si="225"/>
        <v>18</v>
      </c>
      <c r="E313" s="38">
        <f t="shared" si="225"/>
        <v>10</v>
      </c>
      <c r="F313" s="38">
        <f t="shared" si="225"/>
        <v>29</v>
      </c>
      <c r="G313" s="38">
        <f t="shared" si="225"/>
        <v>8</v>
      </c>
      <c r="H313" s="39">
        <f t="shared" si="225"/>
        <v>8</v>
      </c>
      <c r="I313" s="40">
        <f t="shared" si="225"/>
        <v>700</v>
      </c>
      <c r="K313" s="37">
        <f t="shared" ref="K313:R313" si="226">SUM(K309:K312)</f>
        <v>9</v>
      </c>
      <c r="L313" s="38">
        <f t="shared" si="226"/>
        <v>4</v>
      </c>
      <c r="M313" s="38">
        <f t="shared" si="226"/>
        <v>0</v>
      </c>
      <c r="N313" s="38">
        <f t="shared" si="226"/>
        <v>0</v>
      </c>
      <c r="O313" s="38">
        <f t="shared" si="226"/>
        <v>0</v>
      </c>
      <c r="P313" s="38">
        <f t="shared" si="226"/>
        <v>0</v>
      </c>
      <c r="Q313" s="39">
        <f t="shared" si="226"/>
        <v>1</v>
      </c>
      <c r="R313" s="40">
        <f t="shared" si="226"/>
        <v>14</v>
      </c>
      <c r="T313" s="37">
        <f t="shared" ref="T313:AA313" si="227">SUM(T309:T312)</f>
        <v>530</v>
      </c>
      <c r="U313" s="38">
        <f t="shared" si="227"/>
        <v>98</v>
      </c>
      <c r="V313" s="38">
        <f t="shared" si="227"/>
        <v>17</v>
      </c>
      <c r="W313" s="38">
        <f t="shared" si="227"/>
        <v>10</v>
      </c>
      <c r="X313" s="38">
        <f t="shared" si="227"/>
        <v>26</v>
      </c>
      <c r="Y313" s="38">
        <f t="shared" si="227"/>
        <v>6</v>
      </c>
      <c r="Z313" s="39">
        <f t="shared" si="227"/>
        <v>11</v>
      </c>
      <c r="AA313" s="40">
        <f t="shared" si="227"/>
        <v>698</v>
      </c>
      <c r="AC313" s="40">
        <f>SUM(AC309:AC312)</f>
        <v>1412</v>
      </c>
    </row>
    <row r="314" spans="1:29" ht="15.75" customHeight="1">
      <c r="A314" s="90">
        <v>0.54166666666666663</v>
      </c>
      <c r="B314" s="27">
        <f t="shared" ref="B314:H317" si="228">SUM(B42+B110+B178)</f>
        <v>154</v>
      </c>
      <c r="C314" s="28">
        <f t="shared" si="228"/>
        <v>26</v>
      </c>
      <c r="D314" s="28">
        <f t="shared" si="228"/>
        <v>6</v>
      </c>
      <c r="E314" s="28">
        <f t="shared" si="228"/>
        <v>2</v>
      </c>
      <c r="F314" s="28">
        <f t="shared" si="228"/>
        <v>3</v>
      </c>
      <c r="G314" s="28">
        <f t="shared" si="228"/>
        <v>1</v>
      </c>
      <c r="H314" s="29">
        <f t="shared" si="228"/>
        <v>0</v>
      </c>
      <c r="I314" s="91">
        <f>SUM(B314:H314)</f>
        <v>192</v>
      </c>
      <c r="K314" s="27">
        <f t="shared" ref="K314:Q317" si="229">SUM(K42+K110+K178)</f>
        <v>1</v>
      </c>
      <c r="L314" s="28">
        <f t="shared" si="229"/>
        <v>1</v>
      </c>
      <c r="M314" s="28">
        <f t="shared" si="229"/>
        <v>0</v>
      </c>
      <c r="N314" s="28">
        <f t="shared" si="229"/>
        <v>0</v>
      </c>
      <c r="O314" s="28">
        <f t="shared" si="229"/>
        <v>0</v>
      </c>
      <c r="P314" s="28">
        <f t="shared" si="229"/>
        <v>0</v>
      </c>
      <c r="Q314" s="29">
        <f t="shared" si="229"/>
        <v>0</v>
      </c>
      <c r="R314" s="91">
        <f>SUM(K314:Q314)</f>
        <v>2</v>
      </c>
      <c r="T314" s="27">
        <f t="shared" ref="T314:Z317" si="230">SUM(T42+T110+T178)</f>
        <v>131</v>
      </c>
      <c r="U314" s="28">
        <f t="shared" si="230"/>
        <v>16</v>
      </c>
      <c r="V314" s="28">
        <f t="shared" si="230"/>
        <v>0</v>
      </c>
      <c r="W314" s="28">
        <f t="shared" si="230"/>
        <v>1</v>
      </c>
      <c r="X314" s="28">
        <f t="shared" si="230"/>
        <v>6</v>
      </c>
      <c r="Y314" s="28">
        <f t="shared" si="230"/>
        <v>1</v>
      </c>
      <c r="Z314" s="29">
        <f t="shared" si="230"/>
        <v>5</v>
      </c>
      <c r="AA314" s="91">
        <f>SUM(T314:Z314)</f>
        <v>160</v>
      </c>
      <c r="AC314" s="91">
        <f>SUM(I314+R314+AA314)</f>
        <v>354</v>
      </c>
    </row>
    <row r="315" spans="1:29" ht="15.75" customHeight="1">
      <c r="A315" s="92">
        <v>0.55208333333333337</v>
      </c>
      <c r="B315" s="30">
        <f t="shared" si="228"/>
        <v>142</v>
      </c>
      <c r="C315" s="31">
        <f t="shared" si="228"/>
        <v>25</v>
      </c>
      <c r="D315" s="31">
        <f t="shared" si="228"/>
        <v>4</v>
      </c>
      <c r="E315" s="31">
        <f t="shared" si="228"/>
        <v>1</v>
      </c>
      <c r="F315" s="31">
        <f t="shared" si="228"/>
        <v>6</v>
      </c>
      <c r="G315" s="31">
        <f t="shared" si="228"/>
        <v>1</v>
      </c>
      <c r="H315" s="32">
        <f t="shared" si="228"/>
        <v>3</v>
      </c>
      <c r="I315" s="93">
        <f>SUM(B315:H315)</f>
        <v>182</v>
      </c>
      <c r="K315" s="30">
        <f t="shared" si="229"/>
        <v>6</v>
      </c>
      <c r="L315" s="31">
        <f t="shared" si="229"/>
        <v>0</v>
      </c>
      <c r="M315" s="31">
        <f t="shared" si="229"/>
        <v>0</v>
      </c>
      <c r="N315" s="31">
        <f t="shared" si="229"/>
        <v>0</v>
      </c>
      <c r="O315" s="31">
        <f t="shared" si="229"/>
        <v>0</v>
      </c>
      <c r="P315" s="31">
        <f t="shared" si="229"/>
        <v>0</v>
      </c>
      <c r="Q315" s="32">
        <f t="shared" si="229"/>
        <v>0</v>
      </c>
      <c r="R315" s="93">
        <f>SUM(K315:Q315)</f>
        <v>6</v>
      </c>
      <c r="T315" s="30">
        <f t="shared" si="230"/>
        <v>143</v>
      </c>
      <c r="U315" s="31">
        <f t="shared" si="230"/>
        <v>28</v>
      </c>
      <c r="V315" s="31">
        <f t="shared" si="230"/>
        <v>2</v>
      </c>
      <c r="W315" s="31">
        <f t="shared" si="230"/>
        <v>2</v>
      </c>
      <c r="X315" s="31">
        <f t="shared" si="230"/>
        <v>6</v>
      </c>
      <c r="Y315" s="31">
        <f t="shared" si="230"/>
        <v>0</v>
      </c>
      <c r="Z315" s="32">
        <f t="shared" si="230"/>
        <v>1</v>
      </c>
      <c r="AA315" s="93">
        <f>SUM(T315:Z315)</f>
        <v>182</v>
      </c>
      <c r="AC315" s="93">
        <f>SUM(I315+R315+AA315)</f>
        <v>370</v>
      </c>
    </row>
    <row r="316" spans="1:29" ht="15.75" customHeight="1">
      <c r="A316" s="92">
        <v>0.5625</v>
      </c>
      <c r="B316" s="30">
        <f t="shared" si="228"/>
        <v>148</v>
      </c>
      <c r="C316" s="31">
        <f t="shared" si="228"/>
        <v>21</v>
      </c>
      <c r="D316" s="31">
        <f t="shared" si="228"/>
        <v>1</v>
      </c>
      <c r="E316" s="31">
        <f t="shared" si="228"/>
        <v>2</v>
      </c>
      <c r="F316" s="31">
        <f t="shared" si="228"/>
        <v>7</v>
      </c>
      <c r="G316" s="31">
        <f t="shared" si="228"/>
        <v>1</v>
      </c>
      <c r="H316" s="32">
        <f t="shared" si="228"/>
        <v>1</v>
      </c>
      <c r="I316" s="93">
        <f>SUM(B316:H316)</f>
        <v>181</v>
      </c>
      <c r="K316" s="30">
        <f t="shared" si="229"/>
        <v>3</v>
      </c>
      <c r="L316" s="31">
        <f t="shared" si="229"/>
        <v>1</v>
      </c>
      <c r="M316" s="31">
        <f t="shared" si="229"/>
        <v>0</v>
      </c>
      <c r="N316" s="31">
        <f t="shared" si="229"/>
        <v>0</v>
      </c>
      <c r="O316" s="31">
        <f t="shared" si="229"/>
        <v>0</v>
      </c>
      <c r="P316" s="31">
        <f t="shared" si="229"/>
        <v>0</v>
      </c>
      <c r="Q316" s="32">
        <f t="shared" si="229"/>
        <v>0</v>
      </c>
      <c r="R316" s="93">
        <f>SUM(K316:Q316)</f>
        <v>4</v>
      </c>
      <c r="T316" s="30">
        <f t="shared" si="230"/>
        <v>136</v>
      </c>
      <c r="U316" s="31">
        <f t="shared" si="230"/>
        <v>21</v>
      </c>
      <c r="V316" s="31">
        <f t="shared" si="230"/>
        <v>3</v>
      </c>
      <c r="W316" s="31">
        <f t="shared" si="230"/>
        <v>3</v>
      </c>
      <c r="X316" s="31">
        <f t="shared" si="230"/>
        <v>4</v>
      </c>
      <c r="Y316" s="31">
        <f t="shared" si="230"/>
        <v>3</v>
      </c>
      <c r="Z316" s="32">
        <f t="shared" si="230"/>
        <v>2</v>
      </c>
      <c r="AA316" s="93">
        <f>SUM(T316:Z316)</f>
        <v>172</v>
      </c>
      <c r="AC316" s="93">
        <f>SUM(I316+R316+AA316)</f>
        <v>357</v>
      </c>
    </row>
    <row r="317" spans="1:29" ht="15.75" customHeight="1">
      <c r="A317" s="94">
        <v>0.57291666666666663</v>
      </c>
      <c r="B317" s="33">
        <f t="shared" si="228"/>
        <v>151</v>
      </c>
      <c r="C317" s="34">
        <f t="shared" si="228"/>
        <v>15</v>
      </c>
      <c r="D317" s="34">
        <f t="shared" si="228"/>
        <v>4</v>
      </c>
      <c r="E317" s="34">
        <f t="shared" si="228"/>
        <v>2</v>
      </c>
      <c r="F317" s="34">
        <f t="shared" si="228"/>
        <v>5</v>
      </c>
      <c r="G317" s="34">
        <f t="shared" si="228"/>
        <v>1</v>
      </c>
      <c r="H317" s="35">
        <f t="shared" si="228"/>
        <v>5</v>
      </c>
      <c r="I317" s="95">
        <f>SUM(B317:H317)</f>
        <v>183</v>
      </c>
      <c r="K317" s="33">
        <f t="shared" si="229"/>
        <v>3</v>
      </c>
      <c r="L317" s="34">
        <f t="shared" si="229"/>
        <v>0</v>
      </c>
      <c r="M317" s="34">
        <f t="shared" si="229"/>
        <v>0</v>
      </c>
      <c r="N317" s="34">
        <f t="shared" si="229"/>
        <v>0</v>
      </c>
      <c r="O317" s="34">
        <f t="shared" si="229"/>
        <v>0</v>
      </c>
      <c r="P317" s="34">
        <f t="shared" si="229"/>
        <v>0</v>
      </c>
      <c r="Q317" s="35">
        <f t="shared" si="229"/>
        <v>0</v>
      </c>
      <c r="R317" s="95">
        <f>SUM(K317:Q317)</f>
        <v>3</v>
      </c>
      <c r="T317" s="33">
        <f t="shared" si="230"/>
        <v>123</v>
      </c>
      <c r="U317" s="34">
        <f t="shared" si="230"/>
        <v>21</v>
      </c>
      <c r="V317" s="34">
        <f t="shared" si="230"/>
        <v>5</v>
      </c>
      <c r="W317" s="34">
        <f t="shared" si="230"/>
        <v>0</v>
      </c>
      <c r="X317" s="34">
        <f t="shared" si="230"/>
        <v>8</v>
      </c>
      <c r="Y317" s="34">
        <f t="shared" si="230"/>
        <v>1</v>
      </c>
      <c r="Z317" s="35">
        <f t="shared" si="230"/>
        <v>0</v>
      </c>
      <c r="AA317" s="95">
        <f>SUM(T317:Z317)</f>
        <v>158</v>
      </c>
      <c r="AC317" s="95">
        <f>SUM(I317+R317+AA317)</f>
        <v>344</v>
      </c>
    </row>
    <row r="318" spans="1:29" ht="15.75" customHeight="1">
      <c r="A318" s="40" t="s">
        <v>24</v>
      </c>
      <c r="B318" s="37">
        <f t="shared" ref="B318:I318" si="231">SUM(B314:B317)</f>
        <v>595</v>
      </c>
      <c r="C318" s="38">
        <f t="shared" si="231"/>
        <v>87</v>
      </c>
      <c r="D318" s="38">
        <f t="shared" si="231"/>
        <v>15</v>
      </c>
      <c r="E318" s="38">
        <f t="shared" si="231"/>
        <v>7</v>
      </c>
      <c r="F318" s="38">
        <f t="shared" si="231"/>
        <v>21</v>
      </c>
      <c r="G318" s="38">
        <f t="shared" si="231"/>
        <v>4</v>
      </c>
      <c r="H318" s="39">
        <f t="shared" si="231"/>
        <v>9</v>
      </c>
      <c r="I318" s="40">
        <f t="shared" si="231"/>
        <v>738</v>
      </c>
      <c r="K318" s="37">
        <f t="shared" ref="K318:R318" si="232">SUM(K314:K317)</f>
        <v>13</v>
      </c>
      <c r="L318" s="38">
        <f t="shared" si="232"/>
        <v>2</v>
      </c>
      <c r="M318" s="38">
        <f t="shared" si="232"/>
        <v>0</v>
      </c>
      <c r="N318" s="38">
        <f t="shared" si="232"/>
        <v>0</v>
      </c>
      <c r="O318" s="38">
        <f t="shared" si="232"/>
        <v>0</v>
      </c>
      <c r="P318" s="38">
        <f t="shared" si="232"/>
        <v>0</v>
      </c>
      <c r="Q318" s="39">
        <f t="shared" si="232"/>
        <v>0</v>
      </c>
      <c r="R318" s="40">
        <f t="shared" si="232"/>
        <v>15</v>
      </c>
      <c r="T318" s="37">
        <f t="shared" ref="T318:AA318" si="233">SUM(T314:T317)</f>
        <v>533</v>
      </c>
      <c r="U318" s="38">
        <f t="shared" si="233"/>
        <v>86</v>
      </c>
      <c r="V318" s="38">
        <f t="shared" si="233"/>
        <v>10</v>
      </c>
      <c r="W318" s="38">
        <f t="shared" si="233"/>
        <v>6</v>
      </c>
      <c r="X318" s="38">
        <f t="shared" si="233"/>
        <v>24</v>
      </c>
      <c r="Y318" s="38">
        <f t="shared" si="233"/>
        <v>5</v>
      </c>
      <c r="Z318" s="39">
        <f t="shared" si="233"/>
        <v>8</v>
      </c>
      <c r="AA318" s="40">
        <f t="shared" si="233"/>
        <v>672</v>
      </c>
      <c r="AC318" s="40">
        <f>SUM(AC314:AC317)</f>
        <v>1425</v>
      </c>
    </row>
    <row r="319" spans="1:29" ht="15.75" customHeight="1">
      <c r="A319" s="90">
        <v>0.58333333333333337</v>
      </c>
      <c r="B319" s="27">
        <f t="shared" ref="B319:H322" si="234">SUM(B47+B115+B183)</f>
        <v>126</v>
      </c>
      <c r="C319" s="28">
        <f t="shared" si="234"/>
        <v>20</v>
      </c>
      <c r="D319" s="28">
        <f t="shared" si="234"/>
        <v>7</v>
      </c>
      <c r="E319" s="28">
        <f t="shared" si="234"/>
        <v>0</v>
      </c>
      <c r="F319" s="28">
        <f t="shared" si="234"/>
        <v>6</v>
      </c>
      <c r="G319" s="28">
        <f t="shared" si="234"/>
        <v>1</v>
      </c>
      <c r="H319" s="29">
        <f t="shared" si="234"/>
        <v>0</v>
      </c>
      <c r="I319" s="91">
        <f>SUM(B319:H319)</f>
        <v>160</v>
      </c>
      <c r="K319" s="27">
        <f t="shared" ref="K319:Q322" si="235">SUM(K47+K115+K183)</f>
        <v>6</v>
      </c>
      <c r="L319" s="28">
        <f t="shared" si="235"/>
        <v>1</v>
      </c>
      <c r="M319" s="28">
        <f t="shared" si="235"/>
        <v>0</v>
      </c>
      <c r="N319" s="28">
        <f t="shared" si="235"/>
        <v>0</v>
      </c>
      <c r="O319" s="28">
        <f t="shared" si="235"/>
        <v>0</v>
      </c>
      <c r="P319" s="28">
        <f t="shared" si="235"/>
        <v>0</v>
      </c>
      <c r="Q319" s="29">
        <f t="shared" si="235"/>
        <v>0</v>
      </c>
      <c r="R319" s="91">
        <f>SUM(K319:Q319)</f>
        <v>7</v>
      </c>
      <c r="T319" s="27">
        <f t="shared" ref="T319:Z322" si="236">SUM(T47+T115+T183)</f>
        <v>153</v>
      </c>
      <c r="U319" s="28">
        <f t="shared" si="236"/>
        <v>8</v>
      </c>
      <c r="V319" s="28">
        <f t="shared" si="236"/>
        <v>6</v>
      </c>
      <c r="W319" s="28">
        <f t="shared" si="236"/>
        <v>2</v>
      </c>
      <c r="X319" s="28">
        <f t="shared" si="236"/>
        <v>7</v>
      </c>
      <c r="Y319" s="28">
        <f t="shared" si="236"/>
        <v>3</v>
      </c>
      <c r="Z319" s="29">
        <f t="shared" si="236"/>
        <v>4</v>
      </c>
      <c r="AA319" s="91">
        <f>SUM(T319:Z319)</f>
        <v>183</v>
      </c>
      <c r="AC319" s="91">
        <f>SUM(I319+R319+AA319)</f>
        <v>350</v>
      </c>
    </row>
    <row r="320" spans="1:29" ht="15.75" customHeight="1">
      <c r="A320" s="92">
        <v>0.59375</v>
      </c>
      <c r="B320" s="30">
        <f t="shared" si="234"/>
        <v>158</v>
      </c>
      <c r="C320" s="31">
        <f t="shared" si="234"/>
        <v>27</v>
      </c>
      <c r="D320" s="31">
        <f t="shared" si="234"/>
        <v>6</v>
      </c>
      <c r="E320" s="31">
        <f t="shared" si="234"/>
        <v>2</v>
      </c>
      <c r="F320" s="31">
        <f t="shared" si="234"/>
        <v>4</v>
      </c>
      <c r="G320" s="31">
        <f t="shared" si="234"/>
        <v>4</v>
      </c>
      <c r="H320" s="32">
        <f t="shared" si="234"/>
        <v>0</v>
      </c>
      <c r="I320" s="93">
        <f>SUM(B320:H320)</f>
        <v>201</v>
      </c>
      <c r="K320" s="30">
        <f t="shared" si="235"/>
        <v>5</v>
      </c>
      <c r="L320" s="31">
        <f t="shared" si="235"/>
        <v>0</v>
      </c>
      <c r="M320" s="31">
        <f t="shared" si="235"/>
        <v>0</v>
      </c>
      <c r="N320" s="31">
        <f t="shared" si="235"/>
        <v>0</v>
      </c>
      <c r="O320" s="31">
        <f t="shared" si="235"/>
        <v>0</v>
      </c>
      <c r="P320" s="31">
        <f t="shared" si="235"/>
        <v>0</v>
      </c>
      <c r="Q320" s="32">
        <f t="shared" si="235"/>
        <v>0</v>
      </c>
      <c r="R320" s="93">
        <f>SUM(K320:Q320)</f>
        <v>5</v>
      </c>
      <c r="T320" s="30">
        <f t="shared" si="236"/>
        <v>131</v>
      </c>
      <c r="U320" s="31">
        <f t="shared" si="236"/>
        <v>20</v>
      </c>
      <c r="V320" s="31">
        <f t="shared" si="236"/>
        <v>1</v>
      </c>
      <c r="W320" s="31">
        <f t="shared" si="236"/>
        <v>1</v>
      </c>
      <c r="X320" s="31">
        <f t="shared" si="236"/>
        <v>2</v>
      </c>
      <c r="Y320" s="31">
        <f t="shared" si="236"/>
        <v>2</v>
      </c>
      <c r="Z320" s="32">
        <f t="shared" si="236"/>
        <v>1</v>
      </c>
      <c r="AA320" s="93">
        <f>SUM(T320:Z320)</f>
        <v>158</v>
      </c>
      <c r="AC320" s="93">
        <f>SUM(I320+R320+AA320)</f>
        <v>364</v>
      </c>
    </row>
    <row r="321" spans="1:29" ht="15.75" customHeight="1">
      <c r="A321" s="92">
        <v>0.60416666666666663</v>
      </c>
      <c r="B321" s="30">
        <f t="shared" si="234"/>
        <v>154</v>
      </c>
      <c r="C321" s="31">
        <f t="shared" si="234"/>
        <v>24</v>
      </c>
      <c r="D321" s="31">
        <f t="shared" si="234"/>
        <v>5</v>
      </c>
      <c r="E321" s="31">
        <f t="shared" si="234"/>
        <v>1</v>
      </c>
      <c r="F321" s="31">
        <f t="shared" si="234"/>
        <v>7</v>
      </c>
      <c r="G321" s="31">
        <f t="shared" si="234"/>
        <v>2</v>
      </c>
      <c r="H321" s="32">
        <f t="shared" si="234"/>
        <v>1</v>
      </c>
      <c r="I321" s="93">
        <f>SUM(B321:H321)</f>
        <v>194</v>
      </c>
      <c r="K321" s="30">
        <f t="shared" si="235"/>
        <v>3</v>
      </c>
      <c r="L321" s="31">
        <f t="shared" si="235"/>
        <v>4</v>
      </c>
      <c r="M321" s="31">
        <f t="shared" si="235"/>
        <v>0</v>
      </c>
      <c r="N321" s="31">
        <f t="shared" si="235"/>
        <v>0</v>
      </c>
      <c r="O321" s="31">
        <f t="shared" si="235"/>
        <v>0</v>
      </c>
      <c r="P321" s="31">
        <f t="shared" si="235"/>
        <v>0</v>
      </c>
      <c r="Q321" s="32">
        <f t="shared" si="235"/>
        <v>0</v>
      </c>
      <c r="R321" s="93">
        <f>SUM(K321:Q321)</f>
        <v>7</v>
      </c>
      <c r="T321" s="30">
        <f t="shared" si="236"/>
        <v>129</v>
      </c>
      <c r="U321" s="31">
        <f t="shared" si="236"/>
        <v>14</v>
      </c>
      <c r="V321" s="31">
        <f t="shared" si="236"/>
        <v>4</v>
      </c>
      <c r="W321" s="31">
        <f t="shared" si="236"/>
        <v>0</v>
      </c>
      <c r="X321" s="31">
        <f t="shared" si="236"/>
        <v>8</v>
      </c>
      <c r="Y321" s="31">
        <f t="shared" si="236"/>
        <v>1</v>
      </c>
      <c r="Z321" s="32">
        <f t="shared" si="236"/>
        <v>4</v>
      </c>
      <c r="AA321" s="93">
        <f>SUM(T321:Z321)</f>
        <v>160</v>
      </c>
      <c r="AC321" s="93">
        <f>SUM(I321+R321+AA321)</f>
        <v>361</v>
      </c>
    </row>
    <row r="322" spans="1:29" ht="15.75" customHeight="1">
      <c r="A322" s="94">
        <v>0.61458333333333337</v>
      </c>
      <c r="B322" s="33">
        <f t="shared" si="234"/>
        <v>166</v>
      </c>
      <c r="C322" s="34">
        <f t="shared" si="234"/>
        <v>26</v>
      </c>
      <c r="D322" s="34">
        <f t="shared" si="234"/>
        <v>7</v>
      </c>
      <c r="E322" s="34">
        <f t="shared" si="234"/>
        <v>1</v>
      </c>
      <c r="F322" s="34">
        <f t="shared" si="234"/>
        <v>5</v>
      </c>
      <c r="G322" s="34">
        <f t="shared" si="234"/>
        <v>3</v>
      </c>
      <c r="H322" s="35">
        <f t="shared" si="234"/>
        <v>1</v>
      </c>
      <c r="I322" s="95">
        <f>SUM(B322:H322)</f>
        <v>209</v>
      </c>
      <c r="K322" s="33">
        <f t="shared" si="235"/>
        <v>2</v>
      </c>
      <c r="L322" s="34">
        <f t="shared" si="235"/>
        <v>0</v>
      </c>
      <c r="M322" s="34">
        <f t="shared" si="235"/>
        <v>0</v>
      </c>
      <c r="N322" s="34">
        <f t="shared" si="235"/>
        <v>0</v>
      </c>
      <c r="O322" s="34">
        <f t="shared" si="235"/>
        <v>0</v>
      </c>
      <c r="P322" s="34">
        <f t="shared" si="235"/>
        <v>1</v>
      </c>
      <c r="Q322" s="35">
        <f t="shared" si="235"/>
        <v>0</v>
      </c>
      <c r="R322" s="95">
        <f>SUM(K322:Q322)</f>
        <v>3</v>
      </c>
      <c r="T322" s="33">
        <f t="shared" si="236"/>
        <v>131</v>
      </c>
      <c r="U322" s="34">
        <f t="shared" si="236"/>
        <v>22</v>
      </c>
      <c r="V322" s="34">
        <f t="shared" si="236"/>
        <v>1</v>
      </c>
      <c r="W322" s="34">
        <f t="shared" si="236"/>
        <v>3</v>
      </c>
      <c r="X322" s="34">
        <f t="shared" si="236"/>
        <v>4</v>
      </c>
      <c r="Y322" s="34">
        <f t="shared" si="236"/>
        <v>1</v>
      </c>
      <c r="Z322" s="35">
        <f t="shared" si="236"/>
        <v>3</v>
      </c>
      <c r="AA322" s="95">
        <f>SUM(T322:Z322)</f>
        <v>165</v>
      </c>
      <c r="AC322" s="95">
        <f>SUM(I322+R322+AA322)</f>
        <v>377</v>
      </c>
    </row>
    <row r="323" spans="1:29" ht="15.75" customHeight="1">
      <c r="A323" s="40" t="s">
        <v>24</v>
      </c>
      <c r="B323" s="37">
        <f t="shared" ref="B323:I323" si="237">SUM(B319:B322)</f>
        <v>604</v>
      </c>
      <c r="C323" s="38">
        <f t="shared" si="237"/>
        <v>97</v>
      </c>
      <c r="D323" s="38">
        <f t="shared" si="237"/>
        <v>25</v>
      </c>
      <c r="E323" s="38">
        <f t="shared" si="237"/>
        <v>4</v>
      </c>
      <c r="F323" s="38">
        <f t="shared" si="237"/>
        <v>22</v>
      </c>
      <c r="G323" s="38">
        <f t="shared" si="237"/>
        <v>10</v>
      </c>
      <c r="H323" s="39">
        <f t="shared" si="237"/>
        <v>2</v>
      </c>
      <c r="I323" s="40">
        <f t="shared" si="237"/>
        <v>764</v>
      </c>
      <c r="K323" s="37">
        <f t="shared" ref="K323:R323" si="238">SUM(K319:K322)</f>
        <v>16</v>
      </c>
      <c r="L323" s="38">
        <f t="shared" si="238"/>
        <v>5</v>
      </c>
      <c r="M323" s="38">
        <f t="shared" si="238"/>
        <v>0</v>
      </c>
      <c r="N323" s="38">
        <f t="shared" si="238"/>
        <v>0</v>
      </c>
      <c r="O323" s="38">
        <f t="shared" si="238"/>
        <v>0</v>
      </c>
      <c r="P323" s="38">
        <f t="shared" si="238"/>
        <v>1</v>
      </c>
      <c r="Q323" s="39">
        <f t="shared" si="238"/>
        <v>0</v>
      </c>
      <c r="R323" s="40">
        <f t="shared" si="238"/>
        <v>22</v>
      </c>
      <c r="T323" s="37">
        <f t="shared" ref="T323:AA323" si="239">SUM(T319:T322)</f>
        <v>544</v>
      </c>
      <c r="U323" s="38">
        <f t="shared" si="239"/>
        <v>64</v>
      </c>
      <c r="V323" s="38">
        <f t="shared" si="239"/>
        <v>12</v>
      </c>
      <c r="W323" s="38">
        <f t="shared" si="239"/>
        <v>6</v>
      </c>
      <c r="X323" s="38">
        <f t="shared" si="239"/>
        <v>21</v>
      </c>
      <c r="Y323" s="38">
        <f t="shared" si="239"/>
        <v>7</v>
      </c>
      <c r="Z323" s="39">
        <f t="shared" si="239"/>
        <v>12</v>
      </c>
      <c r="AA323" s="40">
        <f t="shared" si="239"/>
        <v>666</v>
      </c>
      <c r="AC323" s="40">
        <f>SUM(AC319:AC322)</f>
        <v>1452</v>
      </c>
    </row>
    <row r="324" spans="1:29" ht="15.75" customHeight="1">
      <c r="A324" s="90">
        <v>0.625</v>
      </c>
      <c r="B324" s="27">
        <f t="shared" ref="B324:H327" si="240">SUM(B52+B120+B188)</f>
        <v>173</v>
      </c>
      <c r="C324" s="28">
        <f t="shared" si="240"/>
        <v>37</v>
      </c>
      <c r="D324" s="28">
        <f t="shared" si="240"/>
        <v>7</v>
      </c>
      <c r="E324" s="28">
        <f t="shared" si="240"/>
        <v>1</v>
      </c>
      <c r="F324" s="28">
        <f t="shared" si="240"/>
        <v>2</v>
      </c>
      <c r="G324" s="28">
        <f t="shared" si="240"/>
        <v>0</v>
      </c>
      <c r="H324" s="29">
        <f t="shared" si="240"/>
        <v>1</v>
      </c>
      <c r="I324" s="91">
        <f>SUM(B324:H324)</f>
        <v>221</v>
      </c>
      <c r="K324" s="27">
        <f t="shared" ref="K324:Q327" si="241">SUM(K52+K120+K188)</f>
        <v>3</v>
      </c>
      <c r="L324" s="28">
        <f t="shared" si="241"/>
        <v>2</v>
      </c>
      <c r="M324" s="28">
        <f t="shared" si="241"/>
        <v>0</v>
      </c>
      <c r="N324" s="28">
        <f t="shared" si="241"/>
        <v>0</v>
      </c>
      <c r="O324" s="28">
        <f t="shared" si="241"/>
        <v>0</v>
      </c>
      <c r="P324" s="28">
        <f t="shared" si="241"/>
        <v>0</v>
      </c>
      <c r="Q324" s="29">
        <f t="shared" si="241"/>
        <v>0</v>
      </c>
      <c r="R324" s="91">
        <f>SUM(K324:Q324)</f>
        <v>5</v>
      </c>
      <c r="T324" s="27">
        <f t="shared" ref="T324:Z327" si="242">SUM(T52+T120+T188)</f>
        <v>143</v>
      </c>
      <c r="U324" s="28">
        <f t="shared" si="242"/>
        <v>19</v>
      </c>
      <c r="V324" s="28">
        <f t="shared" si="242"/>
        <v>3</v>
      </c>
      <c r="W324" s="28">
        <f t="shared" si="242"/>
        <v>1</v>
      </c>
      <c r="X324" s="28">
        <f t="shared" si="242"/>
        <v>3</v>
      </c>
      <c r="Y324" s="28">
        <f t="shared" si="242"/>
        <v>0</v>
      </c>
      <c r="Z324" s="29">
        <f t="shared" si="242"/>
        <v>1</v>
      </c>
      <c r="AA324" s="91">
        <f>SUM(T324:Z324)</f>
        <v>170</v>
      </c>
      <c r="AC324" s="91">
        <f>SUM(I324+R324+AA324)</f>
        <v>396</v>
      </c>
    </row>
    <row r="325" spans="1:29" ht="15.75" customHeight="1">
      <c r="A325" s="92">
        <v>0.63541666666666663</v>
      </c>
      <c r="B325" s="30">
        <f t="shared" si="240"/>
        <v>140</v>
      </c>
      <c r="C325" s="31">
        <f t="shared" si="240"/>
        <v>29</v>
      </c>
      <c r="D325" s="31">
        <f t="shared" si="240"/>
        <v>7</v>
      </c>
      <c r="E325" s="31">
        <f t="shared" si="240"/>
        <v>0</v>
      </c>
      <c r="F325" s="31">
        <f t="shared" si="240"/>
        <v>9</v>
      </c>
      <c r="G325" s="31">
        <f t="shared" si="240"/>
        <v>3</v>
      </c>
      <c r="H325" s="32">
        <f t="shared" si="240"/>
        <v>3</v>
      </c>
      <c r="I325" s="93">
        <f>SUM(B325:H325)</f>
        <v>191</v>
      </c>
      <c r="K325" s="30">
        <f t="shared" si="241"/>
        <v>3</v>
      </c>
      <c r="L325" s="31">
        <f t="shared" si="241"/>
        <v>6</v>
      </c>
      <c r="M325" s="31">
        <f t="shared" si="241"/>
        <v>0</v>
      </c>
      <c r="N325" s="31">
        <f t="shared" si="241"/>
        <v>0</v>
      </c>
      <c r="O325" s="31">
        <f t="shared" si="241"/>
        <v>0</v>
      </c>
      <c r="P325" s="31">
        <f t="shared" si="241"/>
        <v>0</v>
      </c>
      <c r="Q325" s="32">
        <f t="shared" si="241"/>
        <v>0</v>
      </c>
      <c r="R325" s="93">
        <f>SUM(K325:Q325)</f>
        <v>9</v>
      </c>
      <c r="T325" s="30">
        <f t="shared" si="242"/>
        <v>150</v>
      </c>
      <c r="U325" s="31">
        <f t="shared" si="242"/>
        <v>12</v>
      </c>
      <c r="V325" s="31">
        <f t="shared" si="242"/>
        <v>4</v>
      </c>
      <c r="W325" s="31">
        <f t="shared" si="242"/>
        <v>0</v>
      </c>
      <c r="X325" s="31">
        <f t="shared" si="242"/>
        <v>7</v>
      </c>
      <c r="Y325" s="31">
        <f t="shared" si="242"/>
        <v>3</v>
      </c>
      <c r="Z325" s="32">
        <f t="shared" si="242"/>
        <v>6</v>
      </c>
      <c r="AA325" s="93">
        <f>SUM(T325:Z325)</f>
        <v>182</v>
      </c>
      <c r="AC325" s="93">
        <f>SUM(I325+R325+AA325)</f>
        <v>382</v>
      </c>
    </row>
    <row r="326" spans="1:29" ht="15.75" customHeight="1">
      <c r="A326" s="92">
        <v>0.64583333333333337</v>
      </c>
      <c r="B326" s="30">
        <f t="shared" si="240"/>
        <v>137</v>
      </c>
      <c r="C326" s="31">
        <f t="shared" si="240"/>
        <v>22</v>
      </c>
      <c r="D326" s="31">
        <f t="shared" si="240"/>
        <v>2</v>
      </c>
      <c r="E326" s="31">
        <f t="shared" si="240"/>
        <v>0</v>
      </c>
      <c r="F326" s="31">
        <f t="shared" si="240"/>
        <v>5</v>
      </c>
      <c r="G326" s="31">
        <f t="shared" si="240"/>
        <v>4</v>
      </c>
      <c r="H326" s="32">
        <f t="shared" si="240"/>
        <v>1</v>
      </c>
      <c r="I326" s="93">
        <f>SUM(B326:H326)</f>
        <v>171</v>
      </c>
      <c r="K326" s="30">
        <f t="shared" si="241"/>
        <v>5</v>
      </c>
      <c r="L326" s="31">
        <f t="shared" si="241"/>
        <v>0</v>
      </c>
      <c r="M326" s="31">
        <f t="shared" si="241"/>
        <v>0</v>
      </c>
      <c r="N326" s="31">
        <f t="shared" si="241"/>
        <v>0</v>
      </c>
      <c r="O326" s="31">
        <f t="shared" si="241"/>
        <v>0</v>
      </c>
      <c r="P326" s="31">
        <f t="shared" si="241"/>
        <v>1</v>
      </c>
      <c r="Q326" s="32">
        <f t="shared" si="241"/>
        <v>0</v>
      </c>
      <c r="R326" s="93">
        <f>SUM(K326:Q326)</f>
        <v>6</v>
      </c>
      <c r="T326" s="30">
        <f t="shared" si="242"/>
        <v>177</v>
      </c>
      <c r="U326" s="31">
        <f t="shared" si="242"/>
        <v>24</v>
      </c>
      <c r="V326" s="31">
        <f t="shared" si="242"/>
        <v>3</v>
      </c>
      <c r="W326" s="31">
        <f t="shared" si="242"/>
        <v>0</v>
      </c>
      <c r="X326" s="31">
        <f t="shared" si="242"/>
        <v>4</v>
      </c>
      <c r="Y326" s="31">
        <f t="shared" si="242"/>
        <v>1</v>
      </c>
      <c r="Z326" s="32">
        <f t="shared" si="242"/>
        <v>2</v>
      </c>
      <c r="AA326" s="93">
        <f>SUM(T326:Z326)</f>
        <v>211</v>
      </c>
      <c r="AC326" s="93">
        <f>SUM(I326+R326+AA326)</f>
        <v>388</v>
      </c>
    </row>
    <row r="327" spans="1:29" ht="15.75" customHeight="1">
      <c r="A327" s="94">
        <v>0.65625</v>
      </c>
      <c r="B327" s="33">
        <f t="shared" si="240"/>
        <v>134</v>
      </c>
      <c r="C327" s="34">
        <f t="shared" si="240"/>
        <v>29</v>
      </c>
      <c r="D327" s="34">
        <f t="shared" si="240"/>
        <v>1</v>
      </c>
      <c r="E327" s="34">
        <f t="shared" si="240"/>
        <v>0</v>
      </c>
      <c r="F327" s="34">
        <f t="shared" si="240"/>
        <v>4</v>
      </c>
      <c r="G327" s="34">
        <f t="shared" si="240"/>
        <v>2</v>
      </c>
      <c r="H327" s="35">
        <f t="shared" si="240"/>
        <v>2</v>
      </c>
      <c r="I327" s="95">
        <f>SUM(B327:H327)</f>
        <v>172</v>
      </c>
      <c r="K327" s="33">
        <f t="shared" si="241"/>
        <v>6</v>
      </c>
      <c r="L327" s="34">
        <f t="shared" si="241"/>
        <v>0</v>
      </c>
      <c r="M327" s="34">
        <f t="shared" si="241"/>
        <v>0</v>
      </c>
      <c r="N327" s="34">
        <f t="shared" si="241"/>
        <v>0</v>
      </c>
      <c r="O327" s="34">
        <f t="shared" si="241"/>
        <v>0</v>
      </c>
      <c r="P327" s="34">
        <f t="shared" si="241"/>
        <v>0</v>
      </c>
      <c r="Q327" s="35">
        <f t="shared" si="241"/>
        <v>1</v>
      </c>
      <c r="R327" s="95">
        <f>SUM(K327:Q327)</f>
        <v>7</v>
      </c>
      <c r="T327" s="33">
        <f t="shared" si="242"/>
        <v>170</v>
      </c>
      <c r="U327" s="34">
        <f t="shared" si="242"/>
        <v>23</v>
      </c>
      <c r="V327" s="34">
        <f t="shared" si="242"/>
        <v>0</v>
      </c>
      <c r="W327" s="34">
        <f t="shared" si="242"/>
        <v>1</v>
      </c>
      <c r="X327" s="34">
        <f t="shared" si="242"/>
        <v>7</v>
      </c>
      <c r="Y327" s="34">
        <f t="shared" si="242"/>
        <v>2</v>
      </c>
      <c r="Z327" s="35">
        <f t="shared" si="242"/>
        <v>3</v>
      </c>
      <c r="AA327" s="95">
        <f>SUM(T327:Z327)</f>
        <v>206</v>
      </c>
      <c r="AC327" s="95">
        <f>SUM(I327+R327+AA327)</f>
        <v>385</v>
      </c>
    </row>
    <row r="328" spans="1:29" ht="15.75" customHeight="1">
      <c r="A328" s="40" t="s">
        <v>24</v>
      </c>
      <c r="B328" s="37">
        <f t="shared" ref="B328:I328" si="243">SUM(B324:B327)</f>
        <v>584</v>
      </c>
      <c r="C328" s="38">
        <f t="shared" si="243"/>
        <v>117</v>
      </c>
      <c r="D328" s="38">
        <f t="shared" si="243"/>
        <v>17</v>
      </c>
      <c r="E328" s="38">
        <f t="shared" si="243"/>
        <v>1</v>
      </c>
      <c r="F328" s="38">
        <f t="shared" si="243"/>
        <v>20</v>
      </c>
      <c r="G328" s="38">
        <f t="shared" si="243"/>
        <v>9</v>
      </c>
      <c r="H328" s="39">
        <f t="shared" si="243"/>
        <v>7</v>
      </c>
      <c r="I328" s="40">
        <f t="shared" si="243"/>
        <v>755</v>
      </c>
      <c r="K328" s="37">
        <f t="shared" ref="K328:R328" si="244">SUM(K324:K327)</f>
        <v>17</v>
      </c>
      <c r="L328" s="38">
        <f t="shared" si="244"/>
        <v>8</v>
      </c>
      <c r="M328" s="38">
        <f t="shared" si="244"/>
        <v>0</v>
      </c>
      <c r="N328" s="38">
        <f t="shared" si="244"/>
        <v>0</v>
      </c>
      <c r="O328" s="38">
        <f t="shared" si="244"/>
        <v>0</v>
      </c>
      <c r="P328" s="38">
        <f t="shared" si="244"/>
        <v>1</v>
      </c>
      <c r="Q328" s="39">
        <f t="shared" si="244"/>
        <v>1</v>
      </c>
      <c r="R328" s="40">
        <f t="shared" si="244"/>
        <v>27</v>
      </c>
      <c r="T328" s="37">
        <f t="shared" ref="T328:AA328" si="245">SUM(T324:T327)</f>
        <v>640</v>
      </c>
      <c r="U328" s="38">
        <f t="shared" si="245"/>
        <v>78</v>
      </c>
      <c r="V328" s="38">
        <f t="shared" si="245"/>
        <v>10</v>
      </c>
      <c r="W328" s="38">
        <f t="shared" si="245"/>
        <v>2</v>
      </c>
      <c r="X328" s="38">
        <f t="shared" si="245"/>
        <v>21</v>
      </c>
      <c r="Y328" s="38">
        <f t="shared" si="245"/>
        <v>6</v>
      </c>
      <c r="Z328" s="39">
        <f t="shared" si="245"/>
        <v>12</v>
      </c>
      <c r="AA328" s="40">
        <f t="shared" si="245"/>
        <v>769</v>
      </c>
      <c r="AC328" s="40">
        <f>SUM(AC324:AC327)</f>
        <v>1551</v>
      </c>
    </row>
    <row r="329" spans="1:29" ht="15.75" customHeight="1">
      <c r="A329" s="90">
        <v>0.66666666666666663</v>
      </c>
      <c r="B329" s="27">
        <f t="shared" ref="B329:H332" si="246">SUM(B57+B125+B193)</f>
        <v>150</v>
      </c>
      <c r="C329" s="28">
        <f t="shared" si="246"/>
        <v>23</v>
      </c>
      <c r="D329" s="28">
        <f t="shared" si="246"/>
        <v>0</v>
      </c>
      <c r="E329" s="28">
        <f t="shared" si="246"/>
        <v>1</v>
      </c>
      <c r="F329" s="28">
        <f t="shared" si="246"/>
        <v>8</v>
      </c>
      <c r="G329" s="28">
        <f t="shared" si="246"/>
        <v>2</v>
      </c>
      <c r="H329" s="29">
        <f t="shared" si="246"/>
        <v>4</v>
      </c>
      <c r="I329" s="91">
        <f>SUM(B329:H329)</f>
        <v>188</v>
      </c>
      <c r="K329" s="27">
        <f t="shared" ref="K329:Q332" si="247">SUM(K57+K125+K193)</f>
        <v>7</v>
      </c>
      <c r="L329" s="28">
        <f t="shared" si="247"/>
        <v>0</v>
      </c>
      <c r="M329" s="28">
        <f t="shared" si="247"/>
        <v>0</v>
      </c>
      <c r="N329" s="28">
        <f t="shared" si="247"/>
        <v>0</v>
      </c>
      <c r="O329" s="28">
        <f t="shared" si="247"/>
        <v>0</v>
      </c>
      <c r="P329" s="28">
        <f t="shared" si="247"/>
        <v>0</v>
      </c>
      <c r="Q329" s="29">
        <f t="shared" si="247"/>
        <v>1</v>
      </c>
      <c r="R329" s="91">
        <f>SUM(K329:Q329)</f>
        <v>8</v>
      </c>
      <c r="T329" s="27">
        <f t="shared" ref="T329:Z332" si="248">SUM(T57+T125+T193)</f>
        <v>145</v>
      </c>
      <c r="U329" s="28">
        <f t="shared" si="248"/>
        <v>25</v>
      </c>
      <c r="V329" s="28">
        <f t="shared" si="248"/>
        <v>1</v>
      </c>
      <c r="W329" s="28">
        <f t="shared" si="248"/>
        <v>1</v>
      </c>
      <c r="X329" s="28">
        <f t="shared" si="248"/>
        <v>8</v>
      </c>
      <c r="Y329" s="28">
        <f t="shared" si="248"/>
        <v>3</v>
      </c>
      <c r="Z329" s="29">
        <f t="shared" si="248"/>
        <v>2</v>
      </c>
      <c r="AA329" s="91">
        <f>SUM(T329:Z329)</f>
        <v>185</v>
      </c>
      <c r="AC329" s="91">
        <f>SUM(I329+R329+AA329)</f>
        <v>381</v>
      </c>
    </row>
    <row r="330" spans="1:29" ht="15.75" customHeight="1">
      <c r="A330" s="92">
        <v>0.67708333333333337</v>
      </c>
      <c r="B330" s="30">
        <f t="shared" si="246"/>
        <v>170</v>
      </c>
      <c r="C330" s="31">
        <f t="shared" si="246"/>
        <v>36</v>
      </c>
      <c r="D330" s="31">
        <f t="shared" si="246"/>
        <v>3</v>
      </c>
      <c r="E330" s="31">
        <f t="shared" si="246"/>
        <v>0</v>
      </c>
      <c r="F330" s="31">
        <f t="shared" si="246"/>
        <v>6</v>
      </c>
      <c r="G330" s="31">
        <f t="shared" si="246"/>
        <v>5</v>
      </c>
      <c r="H330" s="32">
        <f t="shared" si="246"/>
        <v>6</v>
      </c>
      <c r="I330" s="93">
        <f>SUM(B330:H330)</f>
        <v>226</v>
      </c>
      <c r="K330" s="30">
        <f t="shared" si="247"/>
        <v>2</v>
      </c>
      <c r="L330" s="31">
        <f t="shared" si="247"/>
        <v>1</v>
      </c>
      <c r="M330" s="31">
        <f t="shared" si="247"/>
        <v>0</v>
      </c>
      <c r="N330" s="31">
        <f t="shared" si="247"/>
        <v>0</v>
      </c>
      <c r="O330" s="31">
        <f t="shared" si="247"/>
        <v>0</v>
      </c>
      <c r="P330" s="31">
        <f t="shared" si="247"/>
        <v>0</v>
      </c>
      <c r="Q330" s="32">
        <f t="shared" si="247"/>
        <v>0</v>
      </c>
      <c r="R330" s="93">
        <f>SUM(K330:Q330)</f>
        <v>3</v>
      </c>
      <c r="T330" s="30">
        <f t="shared" si="248"/>
        <v>143</v>
      </c>
      <c r="U330" s="31">
        <f t="shared" si="248"/>
        <v>27</v>
      </c>
      <c r="V330" s="31">
        <f t="shared" si="248"/>
        <v>1</v>
      </c>
      <c r="W330" s="31">
        <f t="shared" si="248"/>
        <v>1</v>
      </c>
      <c r="X330" s="31">
        <f t="shared" si="248"/>
        <v>7</v>
      </c>
      <c r="Y330" s="31">
        <f t="shared" si="248"/>
        <v>7</v>
      </c>
      <c r="Z330" s="32">
        <f t="shared" si="248"/>
        <v>6</v>
      </c>
      <c r="AA330" s="93">
        <f>SUM(T330:Z330)</f>
        <v>192</v>
      </c>
      <c r="AC330" s="93">
        <f>SUM(I330+R330+AA330)</f>
        <v>421</v>
      </c>
    </row>
    <row r="331" spans="1:29" ht="15.75" customHeight="1">
      <c r="A331" s="92">
        <v>0.6875</v>
      </c>
      <c r="B331" s="30">
        <f t="shared" si="246"/>
        <v>152</v>
      </c>
      <c r="C331" s="31">
        <f t="shared" si="246"/>
        <v>21</v>
      </c>
      <c r="D331" s="31">
        <f t="shared" si="246"/>
        <v>2</v>
      </c>
      <c r="E331" s="31">
        <f t="shared" si="246"/>
        <v>0</v>
      </c>
      <c r="F331" s="31">
        <f t="shared" si="246"/>
        <v>7</v>
      </c>
      <c r="G331" s="31">
        <f t="shared" si="246"/>
        <v>3</v>
      </c>
      <c r="H331" s="32">
        <f t="shared" si="246"/>
        <v>3</v>
      </c>
      <c r="I331" s="93">
        <f>SUM(B331:H331)</f>
        <v>188</v>
      </c>
      <c r="K331" s="30">
        <f t="shared" si="247"/>
        <v>7</v>
      </c>
      <c r="L331" s="31">
        <f t="shared" si="247"/>
        <v>1</v>
      </c>
      <c r="M331" s="31">
        <f t="shared" si="247"/>
        <v>0</v>
      </c>
      <c r="N331" s="31">
        <f t="shared" si="247"/>
        <v>0</v>
      </c>
      <c r="O331" s="31">
        <f t="shared" si="247"/>
        <v>0</v>
      </c>
      <c r="P331" s="31">
        <f t="shared" si="247"/>
        <v>0</v>
      </c>
      <c r="Q331" s="32">
        <f t="shared" si="247"/>
        <v>0</v>
      </c>
      <c r="R331" s="93">
        <f>SUM(K331:Q331)</f>
        <v>8</v>
      </c>
      <c r="T331" s="30">
        <f t="shared" si="248"/>
        <v>158</v>
      </c>
      <c r="U331" s="31">
        <f t="shared" si="248"/>
        <v>24</v>
      </c>
      <c r="V331" s="31">
        <f t="shared" si="248"/>
        <v>1</v>
      </c>
      <c r="W331" s="31">
        <f t="shared" si="248"/>
        <v>2</v>
      </c>
      <c r="X331" s="31">
        <f t="shared" si="248"/>
        <v>5</v>
      </c>
      <c r="Y331" s="31">
        <f t="shared" si="248"/>
        <v>3</v>
      </c>
      <c r="Z331" s="32">
        <f t="shared" si="248"/>
        <v>5</v>
      </c>
      <c r="AA331" s="93">
        <f>SUM(T331:Z331)</f>
        <v>198</v>
      </c>
      <c r="AC331" s="93">
        <f>SUM(I331+R331+AA331)</f>
        <v>394</v>
      </c>
    </row>
    <row r="332" spans="1:29" ht="15.75" customHeight="1">
      <c r="A332" s="94">
        <v>0.69791666666666663</v>
      </c>
      <c r="B332" s="33">
        <f t="shared" si="246"/>
        <v>161</v>
      </c>
      <c r="C332" s="34">
        <f t="shared" si="246"/>
        <v>22</v>
      </c>
      <c r="D332" s="34">
        <f t="shared" si="246"/>
        <v>5</v>
      </c>
      <c r="E332" s="34">
        <f t="shared" si="246"/>
        <v>1</v>
      </c>
      <c r="F332" s="34">
        <f t="shared" si="246"/>
        <v>3</v>
      </c>
      <c r="G332" s="34">
        <f t="shared" si="246"/>
        <v>8</v>
      </c>
      <c r="H332" s="35">
        <f t="shared" si="246"/>
        <v>5</v>
      </c>
      <c r="I332" s="95">
        <f>SUM(B332:H332)</f>
        <v>205</v>
      </c>
      <c r="K332" s="33">
        <f t="shared" si="247"/>
        <v>3</v>
      </c>
      <c r="L332" s="34">
        <f t="shared" si="247"/>
        <v>1</v>
      </c>
      <c r="M332" s="34">
        <f t="shared" si="247"/>
        <v>0</v>
      </c>
      <c r="N332" s="34">
        <f t="shared" si="247"/>
        <v>0</v>
      </c>
      <c r="O332" s="34">
        <f t="shared" si="247"/>
        <v>0</v>
      </c>
      <c r="P332" s="34">
        <f t="shared" si="247"/>
        <v>0</v>
      </c>
      <c r="Q332" s="35">
        <f t="shared" si="247"/>
        <v>0</v>
      </c>
      <c r="R332" s="95">
        <f>SUM(K332:Q332)</f>
        <v>4</v>
      </c>
      <c r="T332" s="33">
        <f t="shared" si="248"/>
        <v>168</v>
      </c>
      <c r="U332" s="34">
        <f t="shared" si="248"/>
        <v>19</v>
      </c>
      <c r="V332" s="34">
        <f t="shared" si="248"/>
        <v>1</v>
      </c>
      <c r="W332" s="34">
        <f t="shared" si="248"/>
        <v>0</v>
      </c>
      <c r="X332" s="34">
        <f t="shared" si="248"/>
        <v>6</v>
      </c>
      <c r="Y332" s="34">
        <f t="shared" si="248"/>
        <v>1</v>
      </c>
      <c r="Z332" s="35">
        <f t="shared" si="248"/>
        <v>1</v>
      </c>
      <c r="AA332" s="95">
        <f>SUM(T332:Z332)</f>
        <v>196</v>
      </c>
      <c r="AC332" s="95">
        <f>SUM(I332+R332+AA332)</f>
        <v>405</v>
      </c>
    </row>
    <row r="333" spans="1:29" ht="15.75" customHeight="1">
      <c r="A333" s="40" t="s">
        <v>24</v>
      </c>
      <c r="B333" s="37">
        <f t="shared" ref="B333:I333" si="249">SUM(B329:B332)</f>
        <v>633</v>
      </c>
      <c r="C333" s="38">
        <f t="shared" si="249"/>
        <v>102</v>
      </c>
      <c r="D333" s="38">
        <f t="shared" si="249"/>
        <v>10</v>
      </c>
      <c r="E333" s="38">
        <f t="shared" si="249"/>
        <v>2</v>
      </c>
      <c r="F333" s="38">
        <f t="shared" si="249"/>
        <v>24</v>
      </c>
      <c r="G333" s="38">
        <f t="shared" si="249"/>
        <v>18</v>
      </c>
      <c r="H333" s="39">
        <f t="shared" si="249"/>
        <v>18</v>
      </c>
      <c r="I333" s="40">
        <f t="shared" si="249"/>
        <v>807</v>
      </c>
      <c r="K333" s="37">
        <f t="shared" ref="K333:R333" si="250">SUM(K329:K332)</f>
        <v>19</v>
      </c>
      <c r="L333" s="38">
        <f t="shared" si="250"/>
        <v>3</v>
      </c>
      <c r="M333" s="38">
        <f t="shared" si="250"/>
        <v>0</v>
      </c>
      <c r="N333" s="38">
        <f t="shared" si="250"/>
        <v>0</v>
      </c>
      <c r="O333" s="38">
        <f t="shared" si="250"/>
        <v>0</v>
      </c>
      <c r="P333" s="38">
        <f t="shared" si="250"/>
        <v>0</v>
      </c>
      <c r="Q333" s="39">
        <f t="shared" si="250"/>
        <v>1</v>
      </c>
      <c r="R333" s="40">
        <f t="shared" si="250"/>
        <v>23</v>
      </c>
      <c r="T333" s="37">
        <f t="shared" ref="T333:AA333" si="251">SUM(T329:T332)</f>
        <v>614</v>
      </c>
      <c r="U333" s="38">
        <f t="shared" si="251"/>
        <v>95</v>
      </c>
      <c r="V333" s="38">
        <f t="shared" si="251"/>
        <v>4</v>
      </c>
      <c r="W333" s="38">
        <f t="shared" si="251"/>
        <v>4</v>
      </c>
      <c r="X333" s="38">
        <f t="shared" si="251"/>
        <v>26</v>
      </c>
      <c r="Y333" s="38">
        <f t="shared" si="251"/>
        <v>14</v>
      </c>
      <c r="Z333" s="39">
        <f t="shared" si="251"/>
        <v>14</v>
      </c>
      <c r="AA333" s="40">
        <f t="shared" si="251"/>
        <v>771</v>
      </c>
      <c r="AC333" s="40">
        <f>SUM(AC329:AC332)</f>
        <v>1601</v>
      </c>
    </row>
    <row r="334" spans="1:29" ht="15.75" customHeight="1">
      <c r="A334" s="90">
        <v>0.70833333333333337</v>
      </c>
      <c r="B334" s="27">
        <f t="shared" ref="B334:H337" si="252">SUM(B62+B130+B198)</f>
        <v>173</v>
      </c>
      <c r="C334" s="28">
        <f t="shared" si="252"/>
        <v>9</v>
      </c>
      <c r="D334" s="28">
        <f t="shared" si="252"/>
        <v>1</v>
      </c>
      <c r="E334" s="28">
        <f t="shared" si="252"/>
        <v>1</v>
      </c>
      <c r="F334" s="28">
        <f t="shared" si="252"/>
        <v>5</v>
      </c>
      <c r="G334" s="28">
        <f t="shared" si="252"/>
        <v>5</v>
      </c>
      <c r="H334" s="29">
        <f t="shared" si="252"/>
        <v>4</v>
      </c>
      <c r="I334" s="91">
        <f>SUM(B334:H334)</f>
        <v>198</v>
      </c>
      <c r="K334" s="27">
        <f t="shared" ref="K334:Q337" si="253">SUM(K62+K130+K198)</f>
        <v>8</v>
      </c>
      <c r="L334" s="28">
        <f t="shared" si="253"/>
        <v>0</v>
      </c>
      <c r="M334" s="28">
        <f t="shared" si="253"/>
        <v>0</v>
      </c>
      <c r="N334" s="28">
        <f t="shared" si="253"/>
        <v>0</v>
      </c>
      <c r="O334" s="28">
        <f t="shared" si="253"/>
        <v>0</v>
      </c>
      <c r="P334" s="28">
        <f t="shared" si="253"/>
        <v>0</v>
      </c>
      <c r="Q334" s="29">
        <f t="shared" si="253"/>
        <v>0</v>
      </c>
      <c r="R334" s="91">
        <f>SUM(K334:Q334)</f>
        <v>8</v>
      </c>
      <c r="T334" s="27">
        <f t="shared" ref="T334:Z337" si="254">SUM(T62+T130+T198)</f>
        <v>187</v>
      </c>
      <c r="U334" s="28">
        <f t="shared" si="254"/>
        <v>18</v>
      </c>
      <c r="V334" s="28">
        <f t="shared" si="254"/>
        <v>2</v>
      </c>
      <c r="W334" s="28">
        <f t="shared" si="254"/>
        <v>0</v>
      </c>
      <c r="X334" s="28">
        <f t="shared" si="254"/>
        <v>5</v>
      </c>
      <c r="Y334" s="28">
        <f t="shared" si="254"/>
        <v>4</v>
      </c>
      <c r="Z334" s="29">
        <f t="shared" si="254"/>
        <v>7</v>
      </c>
      <c r="AA334" s="91">
        <f>SUM(T334:Z334)</f>
        <v>223</v>
      </c>
      <c r="AC334" s="91">
        <f>SUM(I334+R334+AA334)</f>
        <v>429</v>
      </c>
    </row>
    <row r="335" spans="1:29" ht="15.75" customHeight="1">
      <c r="A335" s="92">
        <v>0.71875</v>
      </c>
      <c r="B335" s="30">
        <f t="shared" si="252"/>
        <v>152</v>
      </c>
      <c r="C335" s="31">
        <f t="shared" si="252"/>
        <v>21</v>
      </c>
      <c r="D335" s="31">
        <f t="shared" si="252"/>
        <v>1</v>
      </c>
      <c r="E335" s="31">
        <f t="shared" si="252"/>
        <v>0</v>
      </c>
      <c r="F335" s="31">
        <f t="shared" si="252"/>
        <v>5</v>
      </c>
      <c r="G335" s="31">
        <f t="shared" si="252"/>
        <v>7</v>
      </c>
      <c r="H335" s="32">
        <f t="shared" si="252"/>
        <v>5</v>
      </c>
      <c r="I335" s="93">
        <f>SUM(B335:H335)</f>
        <v>191</v>
      </c>
      <c r="K335" s="30">
        <f t="shared" si="253"/>
        <v>7</v>
      </c>
      <c r="L335" s="31">
        <f t="shared" si="253"/>
        <v>1</v>
      </c>
      <c r="M335" s="31">
        <f t="shared" si="253"/>
        <v>0</v>
      </c>
      <c r="N335" s="31">
        <f t="shared" si="253"/>
        <v>0</v>
      </c>
      <c r="O335" s="31">
        <f t="shared" si="253"/>
        <v>0</v>
      </c>
      <c r="P335" s="31">
        <f t="shared" si="253"/>
        <v>0</v>
      </c>
      <c r="Q335" s="32">
        <f t="shared" si="253"/>
        <v>1</v>
      </c>
      <c r="R335" s="93">
        <f>SUM(K335:Q335)</f>
        <v>9</v>
      </c>
      <c r="T335" s="30">
        <f t="shared" si="254"/>
        <v>161</v>
      </c>
      <c r="U335" s="31">
        <f t="shared" si="254"/>
        <v>17</v>
      </c>
      <c r="V335" s="31">
        <f t="shared" si="254"/>
        <v>2</v>
      </c>
      <c r="W335" s="31">
        <f t="shared" si="254"/>
        <v>0</v>
      </c>
      <c r="X335" s="31">
        <f t="shared" si="254"/>
        <v>5</v>
      </c>
      <c r="Y335" s="31">
        <f t="shared" si="254"/>
        <v>3</v>
      </c>
      <c r="Z335" s="32">
        <f t="shared" si="254"/>
        <v>7</v>
      </c>
      <c r="AA335" s="93">
        <f>SUM(T335:Z335)</f>
        <v>195</v>
      </c>
      <c r="AC335" s="93">
        <f>SUM(I335+R335+AA335)</f>
        <v>395</v>
      </c>
    </row>
    <row r="336" spans="1:29" ht="15.75" customHeight="1">
      <c r="A336" s="92">
        <v>0.72916666666666663</v>
      </c>
      <c r="B336" s="30">
        <f t="shared" si="252"/>
        <v>135</v>
      </c>
      <c r="C336" s="31">
        <f t="shared" si="252"/>
        <v>13</v>
      </c>
      <c r="D336" s="31">
        <f t="shared" si="252"/>
        <v>2</v>
      </c>
      <c r="E336" s="31">
        <f t="shared" si="252"/>
        <v>0</v>
      </c>
      <c r="F336" s="31">
        <f t="shared" si="252"/>
        <v>4</v>
      </c>
      <c r="G336" s="31">
        <f t="shared" si="252"/>
        <v>12</v>
      </c>
      <c r="H336" s="32">
        <f t="shared" si="252"/>
        <v>4</v>
      </c>
      <c r="I336" s="93">
        <f>SUM(B336:H336)</f>
        <v>170</v>
      </c>
      <c r="K336" s="30">
        <f t="shared" si="253"/>
        <v>10</v>
      </c>
      <c r="L336" s="31">
        <f t="shared" si="253"/>
        <v>4</v>
      </c>
      <c r="M336" s="31">
        <f t="shared" si="253"/>
        <v>0</v>
      </c>
      <c r="N336" s="31">
        <f t="shared" si="253"/>
        <v>0</v>
      </c>
      <c r="O336" s="31">
        <f t="shared" si="253"/>
        <v>0</v>
      </c>
      <c r="P336" s="31">
        <f t="shared" si="253"/>
        <v>0</v>
      </c>
      <c r="Q336" s="32">
        <f t="shared" si="253"/>
        <v>0</v>
      </c>
      <c r="R336" s="93">
        <f>SUM(K336:Q336)</f>
        <v>14</v>
      </c>
      <c r="T336" s="30">
        <f t="shared" si="254"/>
        <v>153</v>
      </c>
      <c r="U336" s="31">
        <f t="shared" si="254"/>
        <v>7</v>
      </c>
      <c r="V336" s="31">
        <f t="shared" si="254"/>
        <v>0</v>
      </c>
      <c r="W336" s="31">
        <f t="shared" si="254"/>
        <v>0</v>
      </c>
      <c r="X336" s="31">
        <f t="shared" si="254"/>
        <v>4</v>
      </c>
      <c r="Y336" s="31">
        <f t="shared" si="254"/>
        <v>0</v>
      </c>
      <c r="Z336" s="32">
        <f t="shared" si="254"/>
        <v>8</v>
      </c>
      <c r="AA336" s="93">
        <f>SUM(T336:Z336)</f>
        <v>172</v>
      </c>
      <c r="AC336" s="93">
        <f>SUM(I336+R336+AA336)</f>
        <v>356</v>
      </c>
    </row>
    <row r="337" spans="1:29" ht="15.75" customHeight="1">
      <c r="A337" s="94">
        <v>0.73958333333333337</v>
      </c>
      <c r="B337" s="33">
        <f t="shared" si="252"/>
        <v>185</v>
      </c>
      <c r="C337" s="34">
        <f t="shared" si="252"/>
        <v>16</v>
      </c>
      <c r="D337" s="34">
        <f t="shared" si="252"/>
        <v>1</v>
      </c>
      <c r="E337" s="34">
        <f t="shared" si="252"/>
        <v>1</v>
      </c>
      <c r="F337" s="34">
        <f t="shared" si="252"/>
        <v>5</v>
      </c>
      <c r="G337" s="34">
        <f t="shared" si="252"/>
        <v>5</v>
      </c>
      <c r="H337" s="35">
        <f t="shared" si="252"/>
        <v>9</v>
      </c>
      <c r="I337" s="95">
        <f>SUM(B337:H337)</f>
        <v>222</v>
      </c>
      <c r="K337" s="33">
        <f t="shared" si="253"/>
        <v>7</v>
      </c>
      <c r="L337" s="34">
        <f t="shared" si="253"/>
        <v>0</v>
      </c>
      <c r="M337" s="34">
        <f t="shared" si="253"/>
        <v>0</v>
      </c>
      <c r="N337" s="34">
        <f t="shared" si="253"/>
        <v>0</v>
      </c>
      <c r="O337" s="34">
        <f t="shared" si="253"/>
        <v>0</v>
      </c>
      <c r="P337" s="34">
        <f t="shared" si="253"/>
        <v>0</v>
      </c>
      <c r="Q337" s="35">
        <f t="shared" si="253"/>
        <v>0</v>
      </c>
      <c r="R337" s="95">
        <f>SUM(K337:Q337)</f>
        <v>7</v>
      </c>
      <c r="T337" s="33">
        <f t="shared" si="254"/>
        <v>145</v>
      </c>
      <c r="U337" s="34">
        <f t="shared" si="254"/>
        <v>12</v>
      </c>
      <c r="V337" s="34">
        <f t="shared" si="254"/>
        <v>0</v>
      </c>
      <c r="W337" s="34">
        <f t="shared" si="254"/>
        <v>1</v>
      </c>
      <c r="X337" s="34">
        <f t="shared" si="254"/>
        <v>5</v>
      </c>
      <c r="Y337" s="34">
        <f t="shared" si="254"/>
        <v>2</v>
      </c>
      <c r="Z337" s="35">
        <f t="shared" si="254"/>
        <v>7</v>
      </c>
      <c r="AA337" s="95">
        <f>SUM(T337:Z337)</f>
        <v>172</v>
      </c>
      <c r="AC337" s="95">
        <f>SUM(I337+R337+AA337)</f>
        <v>401</v>
      </c>
    </row>
    <row r="338" spans="1:29" ht="15.75" customHeight="1">
      <c r="A338" s="40" t="s">
        <v>24</v>
      </c>
      <c r="B338" s="37">
        <f t="shared" ref="B338:I338" si="255">SUM(B334:B337)</f>
        <v>645</v>
      </c>
      <c r="C338" s="38">
        <f t="shared" si="255"/>
        <v>59</v>
      </c>
      <c r="D338" s="38">
        <f t="shared" si="255"/>
        <v>5</v>
      </c>
      <c r="E338" s="38">
        <f t="shared" si="255"/>
        <v>2</v>
      </c>
      <c r="F338" s="38">
        <f t="shared" si="255"/>
        <v>19</v>
      </c>
      <c r="G338" s="38">
        <f t="shared" si="255"/>
        <v>29</v>
      </c>
      <c r="H338" s="39">
        <f t="shared" si="255"/>
        <v>22</v>
      </c>
      <c r="I338" s="40">
        <f t="shared" si="255"/>
        <v>781</v>
      </c>
      <c r="K338" s="37">
        <f t="shared" ref="K338:R338" si="256">SUM(K334:K337)</f>
        <v>32</v>
      </c>
      <c r="L338" s="38">
        <f t="shared" si="256"/>
        <v>5</v>
      </c>
      <c r="M338" s="38">
        <f t="shared" si="256"/>
        <v>0</v>
      </c>
      <c r="N338" s="38">
        <f t="shared" si="256"/>
        <v>0</v>
      </c>
      <c r="O338" s="38">
        <f t="shared" si="256"/>
        <v>0</v>
      </c>
      <c r="P338" s="38">
        <f t="shared" si="256"/>
        <v>0</v>
      </c>
      <c r="Q338" s="39">
        <f t="shared" si="256"/>
        <v>1</v>
      </c>
      <c r="R338" s="40">
        <f t="shared" si="256"/>
        <v>38</v>
      </c>
      <c r="T338" s="37">
        <f t="shared" ref="T338:AA338" si="257">SUM(T334:T337)</f>
        <v>646</v>
      </c>
      <c r="U338" s="38">
        <f t="shared" si="257"/>
        <v>54</v>
      </c>
      <c r="V338" s="38">
        <f t="shared" si="257"/>
        <v>4</v>
      </c>
      <c r="W338" s="38">
        <f t="shared" si="257"/>
        <v>1</v>
      </c>
      <c r="X338" s="38">
        <f t="shared" si="257"/>
        <v>19</v>
      </c>
      <c r="Y338" s="38">
        <f t="shared" si="257"/>
        <v>9</v>
      </c>
      <c r="Z338" s="39">
        <f t="shared" si="257"/>
        <v>29</v>
      </c>
      <c r="AA338" s="40">
        <f t="shared" si="257"/>
        <v>762</v>
      </c>
      <c r="AC338" s="40">
        <f>SUM(AC334:AC337)</f>
        <v>1581</v>
      </c>
    </row>
    <row r="339" spans="1:29" ht="15.75" customHeight="1">
      <c r="A339" s="90">
        <v>0.75</v>
      </c>
      <c r="B339" s="27">
        <f t="shared" ref="B339:H342" si="258">SUM(B67+B135+B203)</f>
        <v>174</v>
      </c>
      <c r="C339" s="28">
        <f t="shared" si="258"/>
        <v>13</v>
      </c>
      <c r="D339" s="28">
        <f t="shared" si="258"/>
        <v>0</v>
      </c>
      <c r="E339" s="28">
        <f t="shared" si="258"/>
        <v>0</v>
      </c>
      <c r="F339" s="28">
        <f t="shared" si="258"/>
        <v>6</v>
      </c>
      <c r="G339" s="28">
        <f t="shared" si="258"/>
        <v>2</v>
      </c>
      <c r="H339" s="29">
        <f t="shared" si="258"/>
        <v>3</v>
      </c>
      <c r="I339" s="91">
        <f>SUM(B339:H339)</f>
        <v>198</v>
      </c>
      <c r="K339" s="27">
        <f t="shared" ref="K339:Q342" si="259">SUM(K67+K135+K203)</f>
        <v>6</v>
      </c>
      <c r="L339" s="28">
        <f t="shared" si="259"/>
        <v>2</v>
      </c>
      <c r="M339" s="28">
        <f t="shared" si="259"/>
        <v>0</v>
      </c>
      <c r="N339" s="28">
        <f t="shared" si="259"/>
        <v>0</v>
      </c>
      <c r="O339" s="28">
        <f t="shared" si="259"/>
        <v>0</v>
      </c>
      <c r="P339" s="28">
        <f t="shared" si="259"/>
        <v>0</v>
      </c>
      <c r="Q339" s="29">
        <f t="shared" si="259"/>
        <v>0</v>
      </c>
      <c r="R339" s="91">
        <f>SUM(K339:Q339)</f>
        <v>8</v>
      </c>
      <c r="T339" s="27">
        <f t="shared" ref="T339:Z342" si="260">SUM(T67+T135+T203)</f>
        <v>140</v>
      </c>
      <c r="U339" s="28">
        <f t="shared" si="260"/>
        <v>12</v>
      </c>
      <c r="V339" s="28">
        <f t="shared" si="260"/>
        <v>1</v>
      </c>
      <c r="W339" s="28">
        <f t="shared" si="260"/>
        <v>0</v>
      </c>
      <c r="X339" s="28">
        <f t="shared" si="260"/>
        <v>5</v>
      </c>
      <c r="Y339" s="28">
        <f t="shared" si="260"/>
        <v>5</v>
      </c>
      <c r="Z339" s="29">
        <f t="shared" si="260"/>
        <v>7</v>
      </c>
      <c r="AA339" s="91">
        <f>SUM(T339:Z339)</f>
        <v>170</v>
      </c>
      <c r="AC339" s="91">
        <f>SUM(I339+R339+AA339)</f>
        <v>376</v>
      </c>
    </row>
    <row r="340" spans="1:29" ht="15.75" customHeight="1">
      <c r="A340" s="92">
        <v>0.76041666666666663</v>
      </c>
      <c r="B340" s="30">
        <f t="shared" si="258"/>
        <v>184</v>
      </c>
      <c r="C340" s="31">
        <f t="shared" si="258"/>
        <v>11</v>
      </c>
      <c r="D340" s="31">
        <f t="shared" si="258"/>
        <v>0</v>
      </c>
      <c r="E340" s="31">
        <f t="shared" si="258"/>
        <v>1</v>
      </c>
      <c r="F340" s="31">
        <f t="shared" si="258"/>
        <v>7</v>
      </c>
      <c r="G340" s="31">
        <f t="shared" si="258"/>
        <v>4</v>
      </c>
      <c r="H340" s="32">
        <f t="shared" si="258"/>
        <v>2</v>
      </c>
      <c r="I340" s="93">
        <f>SUM(B340:H340)</f>
        <v>209</v>
      </c>
      <c r="K340" s="30">
        <f t="shared" si="259"/>
        <v>6</v>
      </c>
      <c r="L340" s="31">
        <f t="shared" si="259"/>
        <v>1</v>
      </c>
      <c r="M340" s="31">
        <f t="shared" si="259"/>
        <v>0</v>
      </c>
      <c r="N340" s="31">
        <f t="shared" si="259"/>
        <v>0</v>
      </c>
      <c r="O340" s="31">
        <f t="shared" si="259"/>
        <v>0</v>
      </c>
      <c r="P340" s="31">
        <f t="shared" si="259"/>
        <v>0</v>
      </c>
      <c r="Q340" s="32">
        <f t="shared" si="259"/>
        <v>0</v>
      </c>
      <c r="R340" s="93">
        <f>SUM(K340:Q340)</f>
        <v>7</v>
      </c>
      <c r="T340" s="30">
        <f t="shared" si="260"/>
        <v>145</v>
      </c>
      <c r="U340" s="31">
        <f t="shared" si="260"/>
        <v>8</v>
      </c>
      <c r="V340" s="31">
        <f t="shared" si="260"/>
        <v>1</v>
      </c>
      <c r="W340" s="31">
        <f t="shared" si="260"/>
        <v>0</v>
      </c>
      <c r="X340" s="31">
        <f t="shared" si="260"/>
        <v>7</v>
      </c>
      <c r="Y340" s="31">
        <f t="shared" si="260"/>
        <v>2</v>
      </c>
      <c r="Z340" s="32">
        <f t="shared" si="260"/>
        <v>6</v>
      </c>
      <c r="AA340" s="93">
        <f>SUM(T340:Z340)</f>
        <v>169</v>
      </c>
      <c r="AC340" s="93">
        <f>SUM(I340+R340+AA340)</f>
        <v>385</v>
      </c>
    </row>
    <row r="341" spans="1:29" ht="15.75" customHeight="1">
      <c r="A341" s="92">
        <v>0.77083333333333337</v>
      </c>
      <c r="B341" s="30">
        <f t="shared" si="258"/>
        <v>159</v>
      </c>
      <c r="C341" s="31">
        <f t="shared" si="258"/>
        <v>9</v>
      </c>
      <c r="D341" s="31">
        <f t="shared" si="258"/>
        <v>0</v>
      </c>
      <c r="E341" s="31">
        <f t="shared" si="258"/>
        <v>1</v>
      </c>
      <c r="F341" s="31">
        <f t="shared" si="258"/>
        <v>6</v>
      </c>
      <c r="G341" s="31">
        <f t="shared" si="258"/>
        <v>2</v>
      </c>
      <c r="H341" s="32">
        <f t="shared" si="258"/>
        <v>2</v>
      </c>
      <c r="I341" s="93">
        <f>SUM(B341:H341)</f>
        <v>179</v>
      </c>
      <c r="K341" s="30">
        <f t="shared" si="259"/>
        <v>4</v>
      </c>
      <c r="L341" s="31">
        <f t="shared" si="259"/>
        <v>0</v>
      </c>
      <c r="M341" s="31">
        <f t="shared" si="259"/>
        <v>0</v>
      </c>
      <c r="N341" s="31">
        <f t="shared" si="259"/>
        <v>0</v>
      </c>
      <c r="O341" s="31">
        <f t="shared" si="259"/>
        <v>0</v>
      </c>
      <c r="P341" s="31">
        <f t="shared" si="259"/>
        <v>0</v>
      </c>
      <c r="Q341" s="32">
        <f t="shared" si="259"/>
        <v>1</v>
      </c>
      <c r="R341" s="93">
        <f>SUM(K341:Q341)</f>
        <v>5</v>
      </c>
      <c r="T341" s="30">
        <f t="shared" si="260"/>
        <v>175</v>
      </c>
      <c r="U341" s="31">
        <f t="shared" si="260"/>
        <v>8</v>
      </c>
      <c r="V341" s="31">
        <f t="shared" si="260"/>
        <v>2</v>
      </c>
      <c r="W341" s="31">
        <f t="shared" si="260"/>
        <v>0</v>
      </c>
      <c r="X341" s="31">
        <f t="shared" si="260"/>
        <v>5</v>
      </c>
      <c r="Y341" s="31">
        <f t="shared" si="260"/>
        <v>3</v>
      </c>
      <c r="Z341" s="32">
        <f t="shared" si="260"/>
        <v>4</v>
      </c>
      <c r="AA341" s="93">
        <f>SUM(T341:Z341)</f>
        <v>197</v>
      </c>
      <c r="AC341" s="93">
        <f>SUM(I341+R341+AA341)</f>
        <v>381</v>
      </c>
    </row>
    <row r="342" spans="1:29" ht="15.75" customHeight="1">
      <c r="A342" s="94">
        <v>0.78125</v>
      </c>
      <c r="B342" s="33">
        <f t="shared" si="258"/>
        <v>154</v>
      </c>
      <c r="C342" s="34">
        <f t="shared" si="258"/>
        <v>9</v>
      </c>
      <c r="D342" s="34">
        <f t="shared" si="258"/>
        <v>0</v>
      </c>
      <c r="E342" s="34">
        <f t="shared" si="258"/>
        <v>0</v>
      </c>
      <c r="F342" s="34">
        <f t="shared" si="258"/>
        <v>4</v>
      </c>
      <c r="G342" s="34">
        <f t="shared" si="258"/>
        <v>2</v>
      </c>
      <c r="H342" s="35">
        <f t="shared" si="258"/>
        <v>6</v>
      </c>
      <c r="I342" s="95">
        <f>SUM(B342:H342)</f>
        <v>175</v>
      </c>
      <c r="K342" s="33">
        <f t="shared" si="259"/>
        <v>9</v>
      </c>
      <c r="L342" s="34">
        <f t="shared" si="259"/>
        <v>0</v>
      </c>
      <c r="M342" s="34">
        <f t="shared" si="259"/>
        <v>0</v>
      </c>
      <c r="N342" s="34">
        <f t="shared" si="259"/>
        <v>0</v>
      </c>
      <c r="O342" s="34">
        <f t="shared" si="259"/>
        <v>0</v>
      </c>
      <c r="P342" s="34">
        <f t="shared" si="259"/>
        <v>0</v>
      </c>
      <c r="Q342" s="35">
        <f t="shared" si="259"/>
        <v>1</v>
      </c>
      <c r="R342" s="95">
        <f>SUM(K342:Q342)</f>
        <v>10</v>
      </c>
      <c r="T342" s="33">
        <f t="shared" si="260"/>
        <v>138</v>
      </c>
      <c r="U342" s="34">
        <f t="shared" si="260"/>
        <v>7</v>
      </c>
      <c r="V342" s="34">
        <f t="shared" si="260"/>
        <v>0</v>
      </c>
      <c r="W342" s="34">
        <f t="shared" si="260"/>
        <v>0</v>
      </c>
      <c r="X342" s="34">
        <f t="shared" si="260"/>
        <v>6</v>
      </c>
      <c r="Y342" s="34">
        <f t="shared" si="260"/>
        <v>0</v>
      </c>
      <c r="Z342" s="35">
        <f t="shared" si="260"/>
        <v>1</v>
      </c>
      <c r="AA342" s="95">
        <f>SUM(T342:Z342)</f>
        <v>152</v>
      </c>
      <c r="AC342" s="95">
        <f>SUM(I342+R342+AA342)</f>
        <v>337</v>
      </c>
    </row>
    <row r="343" spans="1:29" ht="15.75" customHeight="1">
      <c r="A343" s="40" t="s">
        <v>24</v>
      </c>
      <c r="B343" s="37">
        <f t="shared" ref="B343:I343" si="261">SUM(B339:B342)</f>
        <v>671</v>
      </c>
      <c r="C343" s="38">
        <f t="shared" si="261"/>
        <v>42</v>
      </c>
      <c r="D343" s="38">
        <f t="shared" si="261"/>
        <v>0</v>
      </c>
      <c r="E343" s="38">
        <f t="shared" si="261"/>
        <v>2</v>
      </c>
      <c r="F343" s="38">
        <f t="shared" si="261"/>
        <v>23</v>
      </c>
      <c r="G343" s="38">
        <f t="shared" si="261"/>
        <v>10</v>
      </c>
      <c r="H343" s="39">
        <f t="shared" si="261"/>
        <v>13</v>
      </c>
      <c r="I343" s="40">
        <f t="shared" si="261"/>
        <v>761</v>
      </c>
      <c r="K343" s="37">
        <f t="shared" ref="K343:R343" si="262">SUM(K339:K342)</f>
        <v>25</v>
      </c>
      <c r="L343" s="38">
        <f t="shared" si="262"/>
        <v>3</v>
      </c>
      <c r="M343" s="38">
        <f t="shared" si="262"/>
        <v>0</v>
      </c>
      <c r="N343" s="38">
        <f t="shared" si="262"/>
        <v>0</v>
      </c>
      <c r="O343" s="38">
        <f t="shared" si="262"/>
        <v>0</v>
      </c>
      <c r="P343" s="38">
        <f t="shared" si="262"/>
        <v>0</v>
      </c>
      <c r="Q343" s="39">
        <f t="shared" si="262"/>
        <v>2</v>
      </c>
      <c r="R343" s="40">
        <f t="shared" si="262"/>
        <v>30</v>
      </c>
      <c r="T343" s="37">
        <f t="shared" ref="T343:AA343" si="263">SUM(T339:T342)</f>
        <v>598</v>
      </c>
      <c r="U343" s="38">
        <f t="shared" si="263"/>
        <v>35</v>
      </c>
      <c r="V343" s="38">
        <f t="shared" si="263"/>
        <v>4</v>
      </c>
      <c r="W343" s="38">
        <f t="shared" si="263"/>
        <v>0</v>
      </c>
      <c r="X343" s="38">
        <f t="shared" si="263"/>
        <v>23</v>
      </c>
      <c r="Y343" s="38">
        <f t="shared" si="263"/>
        <v>10</v>
      </c>
      <c r="Z343" s="39">
        <f t="shared" si="263"/>
        <v>18</v>
      </c>
      <c r="AA343" s="40">
        <f t="shared" si="263"/>
        <v>688</v>
      </c>
      <c r="AC343" s="40">
        <f>SUM(AC339:AC342)</f>
        <v>1479</v>
      </c>
    </row>
    <row r="345" spans="1:29" ht="15.75" customHeight="1">
      <c r="A345" s="40" t="s">
        <v>31</v>
      </c>
      <c r="B345" s="37">
        <f t="shared" ref="B345:I345" si="264">SUM(B343+B338+B333+B328+B323+B318+B313+B308+B303+B298+B293+B288)</f>
        <v>6805</v>
      </c>
      <c r="C345" s="38">
        <f t="shared" si="264"/>
        <v>1049</v>
      </c>
      <c r="D345" s="38">
        <f t="shared" si="264"/>
        <v>163</v>
      </c>
      <c r="E345" s="38">
        <f t="shared" si="264"/>
        <v>70</v>
      </c>
      <c r="F345" s="38">
        <f t="shared" si="264"/>
        <v>258</v>
      </c>
      <c r="G345" s="38">
        <f t="shared" si="264"/>
        <v>118</v>
      </c>
      <c r="H345" s="39">
        <f t="shared" si="264"/>
        <v>130</v>
      </c>
      <c r="I345" s="40">
        <f t="shared" si="264"/>
        <v>8593</v>
      </c>
      <c r="K345" s="37">
        <f t="shared" ref="K345:R345" si="265">SUM(K343+K338+K333+K328+K323+K318+K313+K308+K303+K298+K293+K288)</f>
        <v>205</v>
      </c>
      <c r="L345" s="38">
        <f t="shared" si="265"/>
        <v>49</v>
      </c>
      <c r="M345" s="38">
        <f t="shared" si="265"/>
        <v>2</v>
      </c>
      <c r="N345" s="38">
        <f t="shared" si="265"/>
        <v>0</v>
      </c>
      <c r="O345" s="38">
        <f t="shared" si="265"/>
        <v>0</v>
      </c>
      <c r="P345" s="38">
        <f t="shared" si="265"/>
        <v>2</v>
      </c>
      <c r="Q345" s="39">
        <f t="shared" si="265"/>
        <v>9</v>
      </c>
      <c r="R345" s="40">
        <f t="shared" si="265"/>
        <v>267</v>
      </c>
      <c r="T345" s="37">
        <f t="shared" ref="T345:AA345" si="266">SUM(T343+T338+T333+T328+T323+T318+T313+T308+T303+T298+T293+T288)</f>
        <v>6530</v>
      </c>
      <c r="U345" s="38">
        <f t="shared" si="266"/>
        <v>966</v>
      </c>
      <c r="V345" s="38">
        <f t="shared" si="266"/>
        <v>120</v>
      </c>
      <c r="W345" s="38">
        <f t="shared" si="266"/>
        <v>68</v>
      </c>
      <c r="X345" s="38">
        <f t="shared" si="266"/>
        <v>270</v>
      </c>
      <c r="Y345" s="38">
        <f t="shared" si="266"/>
        <v>156</v>
      </c>
      <c r="Z345" s="39">
        <f t="shared" si="266"/>
        <v>190</v>
      </c>
      <c r="AA345" s="40">
        <f t="shared" si="266"/>
        <v>8300</v>
      </c>
      <c r="AC345" s="40">
        <f>SUM(AC343+AC338+AC333+AC328+AC323+AC318+AC313+AC308+AC303+AC298+AC293+AC288)</f>
        <v>17160</v>
      </c>
    </row>
    <row r="346" spans="1:29" s="88" customFormat="1" ht="15.75" customHeight="1">
      <c r="A346" s="88" t="s">
        <v>51</v>
      </c>
      <c r="I346" s="88">
        <f>SUM(B284:H287,B289:H292,B294:H297,B299:H302,B304:H307,B309:H312,B314:H317,B319:H322,B324:H327,B329:H332,B334:H337,B339:H342)</f>
        <v>8593</v>
      </c>
      <c r="R346" s="88">
        <f>SUM(K284:Q287,K289:Q292,K294:Q297,K299:Q302,K304:Q307,K309:Q312,K314:Q317,K319:Q322,K324:Q327,K329:Q332,K334:Q337,K339:Q342)</f>
        <v>267</v>
      </c>
      <c r="AA346" s="88">
        <f>SUM(T284:Z287,T289:Z292,T294:Z297,T299:Z302,T304:Z307,T309:Z312,T314:Z317,T319:Z322,T324:Z327,T329:Z332,T334:Z337,T339:Z342)</f>
        <v>8300</v>
      </c>
      <c r="AC346" s="88">
        <f>SUM(B346:AA346)</f>
        <v>17160</v>
      </c>
    </row>
    <row r="348" spans="1:29" ht="15.75" customHeight="1">
      <c r="A348" s="26" t="s">
        <v>51</v>
      </c>
    </row>
    <row r="349" spans="1:29" ht="15.75" customHeight="1">
      <c r="A349" s="26" t="s">
        <v>52</v>
      </c>
      <c r="B349" s="26">
        <f>SUM(AC73+AC141+AC209)</f>
        <v>17160</v>
      </c>
      <c r="C349" s="26">
        <f>SUM(AC74+AC142+AC210)</f>
        <v>17160</v>
      </c>
    </row>
    <row r="350" spans="1:29" ht="15.75" customHeight="1">
      <c r="A350" s="26" t="s">
        <v>53</v>
      </c>
      <c r="B350" s="26">
        <f>AC277</f>
        <v>17160</v>
      </c>
      <c r="C350" s="26">
        <f>AC278</f>
        <v>17160</v>
      </c>
    </row>
    <row r="351" spans="1:29" ht="15.75" customHeight="1">
      <c r="A351" s="26" t="s">
        <v>54</v>
      </c>
      <c r="B351" s="26">
        <f>AC345</f>
        <v>17160</v>
      </c>
      <c r="C351" s="26">
        <f>AC346</f>
        <v>17160</v>
      </c>
    </row>
  </sheetData>
  <mergeCells count="5">
    <mergeCell ref="AC281:AC282"/>
    <mergeCell ref="AC145:AC146"/>
    <mergeCell ref="AC9:AC10"/>
    <mergeCell ref="AC77:AC78"/>
    <mergeCell ref="AC213:AC214"/>
  </mergeCells>
  <pageMargins left="0.7" right="0.7" top="0.75" bottom="0.75" header="0.3" footer="0.3"/>
  <pageSetup paperSize="9" scale="68" orientation="landscape" r:id="rId1"/>
  <rowBreaks count="10" manualBreakCount="10">
    <brk id="73" max="16383" man="1"/>
    <brk id="74" max="16383" man="1"/>
    <brk id="141" max="16383" man="1"/>
    <brk id="142" max="16383" man="1"/>
    <brk id="209" max="16383" man="1"/>
    <brk id="210" max="16383" man="1"/>
    <brk id="277" max="16383" man="1"/>
    <brk id="278" max="16383" man="1"/>
    <brk id="345" max="16383" man="1"/>
    <brk id="346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73"/>
  <sheetViews>
    <sheetView showGridLines="0" zoomScale="75" zoomScaleNormal="75" workbookViewId="0">
      <selection activeCell="B2" sqref="B2"/>
    </sheetView>
  </sheetViews>
  <sheetFormatPr defaultRowHeight="15.75" customHeight="1"/>
  <cols>
    <col min="1" max="1" width="8.28515625" style="26" customWidth="1"/>
    <col min="2" max="2" width="12.85546875" style="26" customWidth="1"/>
    <col min="3" max="3" width="1.7109375" style="26" customWidth="1"/>
    <col min="4" max="4" width="12.85546875" style="26" customWidth="1"/>
    <col min="5" max="5" width="4.7109375" style="26" customWidth="1"/>
    <col min="6" max="6" width="12.85546875" style="26" customWidth="1"/>
    <col min="7" max="7" width="1.7109375" style="26" customWidth="1"/>
    <col min="8" max="8" width="12.85546875" style="26" customWidth="1"/>
    <col min="9" max="9" width="4.7109375" style="26" customWidth="1"/>
    <col min="10" max="10" width="12.85546875" style="26" customWidth="1"/>
    <col min="11" max="11" width="1.7109375" style="26" customWidth="1"/>
    <col min="12" max="12" width="12.85546875" style="26" customWidth="1"/>
    <col min="13" max="18" width="7.28515625" style="26" customWidth="1"/>
    <col min="19" max="19" width="1.28515625" style="26" customWidth="1"/>
    <col min="20" max="27" width="7.28515625" style="26" customWidth="1"/>
    <col min="28" max="28" width="1.28515625" style="26" customWidth="1"/>
    <col min="29" max="36" width="7.28515625" style="26" customWidth="1"/>
    <col min="37" max="37" width="1.28515625" style="26" customWidth="1"/>
    <col min="38" max="38" width="8.28515625" style="26" customWidth="1"/>
    <col min="39" max="16384" width="9.140625" style="26"/>
  </cols>
  <sheetData>
    <row r="1" spans="1:18" ht="15.75" customHeight="1">
      <c r="A1" s="27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9"/>
    </row>
    <row r="2" spans="1:18" ht="15.75" customHeight="1">
      <c r="A2" s="30"/>
      <c r="B2" s="31"/>
      <c r="C2" s="31"/>
      <c r="D2" s="31"/>
      <c r="E2" s="31"/>
      <c r="F2" s="31"/>
      <c r="G2" s="31"/>
      <c r="H2" s="96" t="s">
        <v>0</v>
      </c>
      <c r="I2" s="46"/>
      <c r="J2" s="46" t="str">
        <f>'Job Details'!$C$6</f>
        <v>Bristol City Council</v>
      </c>
      <c r="K2" s="46"/>
      <c r="L2" s="46"/>
      <c r="Q2" s="31"/>
      <c r="R2" s="32"/>
    </row>
    <row r="3" spans="1:18" ht="15.75" customHeight="1">
      <c r="A3" s="30"/>
      <c r="B3" s="31"/>
      <c r="C3" s="31"/>
      <c r="D3" s="31"/>
      <c r="E3" s="31"/>
      <c r="F3" s="31"/>
      <c r="G3" s="31"/>
      <c r="H3" s="96" t="s">
        <v>1</v>
      </c>
      <c r="I3" s="46"/>
      <c r="J3" s="46" t="str">
        <f>'Job Details'!$C$7</f>
        <v>Wal 2527 Fishponds Road</v>
      </c>
      <c r="K3" s="46"/>
      <c r="L3" s="46"/>
      <c r="Q3" s="31"/>
      <c r="R3" s="32"/>
    </row>
    <row r="4" spans="1:18" ht="15.75" customHeight="1">
      <c r="A4" s="30"/>
      <c r="B4" s="31"/>
      <c r="C4" s="31"/>
      <c r="D4" s="31"/>
      <c r="E4" s="31"/>
      <c r="F4" s="31"/>
      <c r="G4" s="31"/>
      <c r="H4" s="96" t="s">
        <v>11</v>
      </c>
      <c r="I4" s="46"/>
      <c r="J4" s="47" t="str">
        <f>'Job Details'!C8</f>
        <v>1 - Fishponds Road</v>
      </c>
      <c r="K4" s="46"/>
      <c r="L4" s="46"/>
      <c r="Q4" s="31"/>
      <c r="R4" s="32"/>
    </row>
    <row r="5" spans="1:18" ht="15.75" customHeight="1">
      <c r="A5" s="30"/>
      <c r="B5" s="31"/>
      <c r="C5" s="31"/>
      <c r="D5" s="31"/>
      <c r="E5" s="31"/>
      <c r="F5" s="31"/>
      <c r="G5" s="31"/>
      <c r="H5" s="96" t="s">
        <v>12</v>
      </c>
      <c r="I5" s="46"/>
      <c r="J5" s="86" t="str">
        <f>'Job Details'!$C$9</f>
        <v>Tuesday 10th November 2015</v>
      </c>
      <c r="K5" s="87"/>
      <c r="L5" s="87"/>
      <c r="Q5" s="31"/>
      <c r="R5" s="32"/>
    </row>
    <row r="6" spans="1:18" ht="21.75" customHeight="1">
      <c r="A6" s="33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8" spans="1:18" ht="15.75" customHeight="1">
      <c r="A8" s="64" t="s">
        <v>32</v>
      </c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</row>
    <row r="9" spans="1:18" s="85" customFormat="1" ht="28.5">
      <c r="A9" s="97"/>
      <c r="B9" s="98" t="s">
        <v>45</v>
      </c>
      <c r="C9" s="84"/>
      <c r="D9" s="98" t="s">
        <v>46</v>
      </c>
      <c r="E9" s="84"/>
      <c r="F9" s="98" t="s">
        <v>47</v>
      </c>
      <c r="G9" s="84"/>
      <c r="H9" s="98" t="s">
        <v>49</v>
      </c>
      <c r="I9" s="84"/>
      <c r="J9" s="98" t="s">
        <v>48</v>
      </c>
      <c r="K9" s="84"/>
      <c r="L9" s="98" t="s">
        <v>50</v>
      </c>
    </row>
    <row r="10" spans="1:18" s="41" customFormat="1" ht="15.75" customHeight="1">
      <c r="A10" s="48"/>
      <c r="B10" s="65" t="s">
        <v>33</v>
      </c>
      <c r="C10" s="66"/>
      <c r="D10" s="65" t="str">
        <f>$B$10</f>
        <v>Peds</v>
      </c>
      <c r="E10" s="67"/>
      <c r="F10" s="65" t="s">
        <v>33</v>
      </c>
      <c r="G10" s="66"/>
      <c r="H10" s="65" t="str">
        <f>$B$10</f>
        <v>Peds</v>
      </c>
      <c r="I10" s="67"/>
      <c r="J10" s="65" t="s">
        <v>33</v>
      </c>
      <c r="K10" s="66"/>
      <c r="L10" s="65" t="str">
        <f>$B$10</f>
        <v>Peds</v>
      </c>
    </row>
    <row r="11" spans="1:18" ht="15.75" customHeight="1">
      <c r="A11" s="48"/>
      <c r="B11" s="49"/>
      <c r="C11" s="49"/>
      <c r="D11" s="49"/>
      <c r="E11" s="49"/>
      <c r="F11" s="49"/>
      <c r="G11" s="49"/>
      <c r="H11" s="49"/>
      <c r="I11" s="50"/>
      <c r="J11" s="49"/>
      <c r="K11" s="49"/>
      <c r="L11" s="49"/>
    </row>
    <row r="12" spans="1:18" ht="15.75" customHeight="1">
      <c r="A12" s="51">
        <v>0.29166666666666669</v>
      </c>
      <c r="B12" s="52">
        <v>3</v>
      </c>
      <c r="C12" s="53"/>
      <c r="D12" s="52">
        <v>0</v>
      </c>
      <c r="E12" s="53"/>
      <c r="F12" s="52">
        <v>0</v>
      </c>
      <c r="G12" s="53"/>
      <c r="H12" s="52">
        <v>0</v>
      </c>
      <c r="I12" s="53"/>
      <c r="J12" s="52">
        <v>5</v>
      </c>
      <c r="K12" s="53"/>
      <c r="L12" s="52">
        <v>1</v>
      </c>
    </row>
    <row r="13" spans="1:18" ht="15.75" customHeight="1">
      <c r="A13" s="54">
        <v>0.30208333333333331</v>
      </c>
      <c r="B13" s="55">
        <v>3</v>
      </c>
      <c r="C13" s="53"/>
      <c r="D13" s="55">
        <v>2</v>
      </c>
      <c r="E13" s="53"/>
      <c r="F13" s="55">
        <v>1</v>
      </c>
      <c r="G13" s="53"/>
      <c r="H13" s="55">
        <v>1</v>
      </c>
      <c r="I13" s="53"/>
      <c r="J13" s="55">
        <v>1</v>
      </c>
      <c r="K13" s="53"/>
      <c r="L13" s="55">
        <v>0</v>
      </c>
    </row>
    <row r="14" spans="1:18" ht="15.75" customHeight="1">
      <c r="A14" s="54">
        <v>0.3125</v>
      </c>
      <c r="B14" s="55">
        <v>0</v>
      </c>
      <c r="C14" s="53"/>
      <c r="D14" s="55">
        <v>0</v>
      </c>
      <c r="E14" s="53"/>
      <c r="F14" s="55">
        <v>1</v>
      </c>
      <c r="G14" s="53"/>
      <c r="H14" s="55">
        <v>0</v>
      </c>
      <c r="I14" s="53"/>
      <c r="J14" s="55">
        <v>0</v>
      </c>
      <c r="K14" s="53"/>
      <c r="L14" s="55">
        <v>0</v>
      </c>
    </row>
    <row r="15" spans="1:18" ht="15.75" customHeight="1">
      <c r="A15" s="54">
        <v>0.32291666666666669</v>
      </c>
      <c r="B15" s="55">
        <v>0</v>
      </c>
      <c r="C15" s="53"/>
      <c r="D15" s="55">
        <v>0</v>
      </c>
      <c r="E15" s="53"/>
      <c r="F15" s="55">
        <v>0</v>
      </c>
      <c r="G15" s="53"/>
      <c r="H15" s="55">
        <v>0</v>
      </c>
      <c r="I15" s="53"/>
      <c r="J15" s="55">
        <v>0</v>
      </c>
      <c r="K15" s="53"/>
      <c r="L15" s="55">
        <v>0</v>
      </c>
    </row>
    <row r="16" spans="1:18" ht="15.75" customHeight="1">
      <c r="A16" s="56" t="s">
        <v>24</v>
      </c>
      <c r="B16" s="57">
        <f>SUM(B12:B15)</f>
        <v>6</v>
      </c>
      <c r="C16" s="53"/>
      <c r="D16" s="57">
        <f>SUM(D12:D15)</f>
        <v>2</v>
      </c>
      <c r="E16" s="53"/>
      <c r="F16" s="57">
        <f>SUM(F12:F15)</f>
        <v>2</v>
      </c>
      <c r="G16" s="53"/>
      <c r="H16" s="57">
        <f>SUM(H12:H15)</f>
        <v>1</v>
      </c>
      <c r="I16" s="53"/>
      <c r="J16" s="57">
        <f>SUM(J12:J15)</f>
        <v>6</v>
      </c>
      <c r="K16" s="53"/>
      <c r="L16" s="57">
        <f>SUM(L12:L15)</f>
        <v>1</v>
      </c>
    </row>
    <row r="17" spans="1:12" ht="15.75" customHeight="1">
      <c r="A17" s="54">
        <v>0.33333333333333331</v>
      </c>
      <c r="B17" s="52">
        <v>0</v>
      </c>
      <c r="C17" s="53"/>
      <c r="D17" s="52">
        <v>0</v>
      </c>
      <c r="E17" s="53"/>
      <c r="F17" s="52">
        <v>0</v>
      </c>
      <c r="G17" s="53"/>
      <c r="H17" s="52">
        <v>0</v>
      </c>
      <c r="I17" s="53"/>
      <c r="J17" s="52">
        <v>0</v>
      </c>
      <c r="K17" s="53"/>
      <c r="L17" s="52">
        <v>0</v>
      </c>
    </row>
    <row r="18" spans="1:12" ht="15.75" customHeight="1">
      <c r="A18" s="54">
        <v>0.34375</v>
      </c>
      <c r="B18" s="55">
        <v>1</v>
      </c>
      <c r="C18" s="53"/>
      <c r="D18" s="55">
        <v>1</v>
      </c>
      <c r="E18" s="53"/>
      <c r="F18" s="55">
        <v>0</v>
      </c>
      <c r="G18" s="53"/>
      <c r="H18" s="55">
        <v>0</v>
      </c>
      <c r="I18" s="53"/>
      <c r="J18" s="55">
        <v>0</v>
      </c>
      <c r="K18" s="53"/>
      <c r="L18" s="55">
        <v>0</v>
      </c>
    </row>
    <row r="19" spans="1:12" ht="15.75" customHeight="1">
      <c r="A19" s="54">
        <v>0.35416666666666669</v>
      </c>
      <c r="B19" s="55">
        <v>0</v>
      </c>
      <c r="C19" s="53"/>
      <c r="D19" s="55">
        <v>0</v>
      </c>
      <c r="E19" s="53"/>
      <c r="F19" s="55">
        <v>0</v>
      </c>
      <c r="G19" s="53"/>
      <c r="H19" s="55">
        <v>0</v>
      </c>
      <c r="I19" s="53"/>
      <c r="J19" s="55">
        <v>0</v>
      </c>
      <c r="K19" s="53"/>
      <c r="L19" s="55">
        <v>0</v>
      </c>
    </row>
    <row r="20" spans="1:12" ht="15.75" customHeight="1">
      <c r="A20" s="54">
        <v>0.36458333333333331</v>
      </c>
      <c r="B20" s="55">
        <v>0</v>
      </c>
      <c r="C20" s="53"/>
      <c r="D20" s="55">
        <v>0</v>
      </c>
      <c r="E20" s="53"/>
      <c r="F20" s="55">
        <v>0</v>
      </c>
      <c r="G20" s="53"/>
      <c r="H20" s="55">
        <v>1</v>
      </c>
      <c r="I20" s="53"/>
      <c r="J20" s="55">
        <v>0</v>
      </c>
      <c r="K20" s="53"/>
      <c r="L20" s="55">
        <v>0</v>
      </c>
    </row>
    <row r="21" spans="1:12" ht="15.75" customHeight="1">
      <c r="A21" s="56" t="s">
        <v>24</v>
      </c>
      <c r="B21" s="57">
        <f>SUM(B17:B20)</f>
        <v>1</v>
      </c>
      <c r="C21" s="53"/>
      <c r="D21" s="57">
        <f>SUM(D17:D20)</f>
        <v>1</v>
      </c>
      <c r="E21" s="53"/>
      <c r="F21" s="57">
        <f>SUM(F17:F20)</f>
        <v>0</v>
      </c>
      <c r="G21" s="53"/>
      <c r="H21" s="57">
        <f>SUM(H17:H20)</f>
        <v>1</v>
      </c>
      <c r="I21" s="53"/>
      <c r="J21" s="57">
        <f>SUM(J17:J20)</f>
        <v>0</v>
      </c>
      <c r="K21" s="53"/>
      <c r="L21" s="57">
        <f>SUM(L17:L20)</f>
        <v>0</v>
      </c>
    </row>
    <row r="22" spans="1:12" ht="15.75" customHeight="1">
      <c r="A22" s="54">
        <v>0.375</v>
      </c>
      <c r="B22" s="52">
        <v>3</v>
      </c>
      <c r="C22" s="53"/>
      <c r="D22" s="52">
        <v>0</v>
      </c>
      <c r="E22" s="53"/>
      <c r="F22" s="52">
        <v>2</v>
      </c>
      <c r="G22" s="53"/>
      <c r="H22" s="52">
        <v>3</v>
      </c>
      <c r="I22" s="53"/>
      <c r="J22" s="52">
        <v>2</v>
      </c>
      <c r="K22" s="53"/>
      <c r="L22" s="52">
        <v>2</v>
      </c>
    </row>
    <row r="23" spans="1:12" ht="15.75" customHeight="1">
      <c r="A23" s="54">
        <v>0.38541666666666669</v>
      </c>
      <c r="B23" s="55">
        <v>2</v>
      </c>
      <c r="C23" s="53"/>
      <c r="D23" s="55">
        <v>3</v>
      </c>
      <c r="E23" s="53"/>
      <c r="F23" s="55">
        <v>1</v>
      </c>
      <c r="G23" s="53"/>
      <c r="H23" s="55">
        <v>2</v>
      </c>
      <c r="I23" s="53"/>
      <c r="J23" s="55">
        <v>0</v>
      </c>
      <c r="K23" s="53"/>
      <c r="L23" s="55">
        <v>0</v>
      </c>
    </row>
    <row r="24" spans="1:12" ht="15.75" customHeight="1">
      <c r="A24" s="54">
        <v>0.39583333333333331</v>
      </c>
      <c r="B24" s="55">
        <v>1</v>
      </c>
      <c r="C24" s="53"/>
      <c r="D24" s="55">
        <v>1</v>
      </c>
      <c r="E24" s="53"/>
      <c r="F24" s="55">
        <v>0</v>
      </c>
      <c r="G24" s="53"/>
      <c r="H24" s="55">
        <v>0</v>
      </c>
      <c r="I24" s="53"/>
      <c r="J24" s="55">
        <v>0</v>
      </c>
      <c r="K24" s="53"/>
      <c r="L24" s="55">
        <v>0</v>
      </c>
    </row>
    <row r="25" spans="1:12" ht="15.75" customHeight="1">
      <c r="A25" s="54">
        <v>0.40625</v>
      </c>
      <c r="B25" s="55">
        <v>0</v>
      </c>
      <c r="C25" s="53"/>
      <c r="D25" s="55">
        <v>1</v>
      </c>
      <c r="E25" s="53"/>
      <c r="F25" s="55">
        <v>0</v>
      </c>
      <c r="G25" s="53"/>
      <c r="H25" s="55">
        <v>1</v>
      </c>
      <c r="I25" s="53"/>
      <c r="J25" s="55">
        <v>0</v>
      </c>
      <c r="K25" s="53"/>
      <c r="L25" s="55">
        <v>0</v>
      </c>
    </row>
    <row r="26" spans="1:12" ht="15.75" customHeight="1">
      <c r="A26" s="56" t="s">
        <v>24</v>
      </c>
      <c r="B26" s="57">
        <f>SUM(B22:B25)</f>
        <v>6</v>
      </c>
      <c r="C26" s="53"/>
      <c r="D26" s="57">
        <f>SUM(D22:D25)</f>
        <v>5</v>
      </c>
      <c r="E26" s="53"/>
      <c r="F26" s="57">
        <f>SUM(F22:F25)</f>
        <v>3</v>
      </c>
      <c r="G26" s="53"/>
      <c r="H26" s="57">
        <f>SUM(H22:H25)</f>
        <v>6</v>
      </c>
      <c r="I26" s="53"/>
      <c r="J26" s="57">
        <f>SUM(J22:J25)</f>
        <v>2</v>
      </c>
      <c r="K26" s="53"/>
      <c r="L26" s="57">
        <f>SUM(L22:L25)</f>
        <v>2</v>
      </c>
    </row>
    <row r="27" spans="1:12" ht="15.75" customHeight="1">
      <c r="A27" s="54">
        <v>0.41666666666666669</v>
      </c>
      <c r="B27" s="52">
        <v>0</v>
      </c>
      <c r="C27" s="53"/>
      <c r="D27" s="52">
        <v>0</v>
      </c>
      <c r="E27" s="53"/>
      <c r="F27" s="52">
        <v>0</v>
      </c>
      <c r="G27" s="53"/>
      <c r="H27" s="52">
        <v>0</v>
      </c>
      <c r="I27" s="53"/>
      <c r="J27" s="52">
        <v>1</v>
      </c>
      <c r="K27" s="53"/>
      <c r="L27" s="52">
        <v>0</v>
      </c>
    </row>
    <row r="28" spans="1:12" ht="15.75" customHeight="1">
      <c r="A28" s="54">
        <v>0.42708333333333331</v>
      </c>
      <c r="B28" s="55">
        <v>0</v>
      </c>
      <c r="C28" s="53"/>
      <c r="D28" s="55">
        <v>1</v>
      </c>
      <c r="E28" s="53"/>
      <c r="F28" s="55">
        <v>0</v>
      </c>
      <c r="G28" s="53"/>
      <c r="H28" s="55">
        <v>1</v>
      </c>
      <c r="I28" s="53"/>
      <c r="J28" s="55">
        <v>2</v>
      </c>
      <c r="K28" s="53"/>
      <c r="L28" s="55">
        <v>0</v>
      </c>
    </row>
    <row r="29" spans="1:12" ht="15.75" customHeight="1">
      <c r="A29" s="54">
        <v>0.4375</v>
      </c>
      <c r="B29" s="55">
        <v>1</v>
      </c>
      <c r="C29" s="53"/>
      <c r="D29" s="55">
        <v>4</v>
      </c>
      <c r="E29" s="53"/>
      <c r="F29" s="55">
        <v>0</v>
      </c>
      <c r="G29" s="53"/>
      <c r="H29" s="55">
        <v>0</v>
      </c>
      <c r="I29" s="53"/>
      <c r="J29" s="55">
        <v>3</v>
      </c>
      <c r="K29" s="53"/>
      <c r="L29" s="55">
        <v>1</v>
      </c>
    </row>
    <row r="30" spans="1:12" ht="15.75" customHeight="1">
      <c r="A30" s="54">
        <v>0.44791666666666669</v>
      </c>
      <c r="B30" s="55">
        <v>0</v>
      </c>
      <c r="C30" s="53"/>
      <c r="D30" s="55">
        <v>1</v>
      </c>
      <c r="E30" s="53"/>
      <c r="F30" s="55">
        <v>0</v>
      </c>
      <c r="G30" s="53"/>
      <c r="H30" s="55">
        <v>0</v>
      </c>
      <c r="I30" s="53"/>
      <c r="J30" s="55">
        <v>3</v>
      </c>
      <c r="K30" s="53"/>
      <c r="L30" s="55">
        <v>1</v>
      </c>
    </row>
    <row r="31" spans="1:12" ht="15.75" customHeight="1">
      <c r="A31" s="56" t="s">
        <v>24</v>
      </c>
      <c r="B31" s="57">
        <f>SUM(B27:B30)</f>
        <v>1</v>
      </c>
      <c r="C31" s="53"/>
      <c r="D31" s="57">
        <f>SUM(D27:D30)</f>
        <v>6</v>
      </c>
      <c r="E31" s="53"/>
      <c r="F31" s="57">
        <f>SUM(F27:F30)</f>
        <v>0</v>
      </c>
      <c r="G31" s="53"/>
      <c r="H31" s="57">
        <f>SUM(H27:H30)</f>
        <v>1</v>
      </c>
      <c r="I31" s="53"/>
      <c r="J31" s="57">
        <f>SUM(J27:J30)</f>
        <v>9</v>
      </c>
      <c r="K31" s="53"/>
      <c r="L31" s="57">
        <f>SUM(L27:L30)</f>
        <v>2</v>
      </c>
    </row>
    <row r="32" spans="1:12" ht="15.75" customHeight="1">
      <c r="A32" s="54">
        <v>0.45833333333333331</v>
      </c>
      <c r="B32" s="52">
        <v>0</v>
      </c>
      <c r="C32" s="53"/>
      <c r="D32" s="52">
        <v>0</v>
      </c>
      <c r="E32" s="53"/>
      <c r="F32" s="52">
        <v>1</v>
      </c>
      <c r="G32" s="53"/>
      <c r="H32" s="52">
        <v>1</v>
      </c>
      <c r="I32" s="53"/>
      <c r="J32" s="52">
        <v>3</v>
      </c>
      <c r="K32" s="53"/>
      <c r="L32" s="52">
        <v>1</v>
      </c>
    </row>
    <row r="33" spans="1:12" ht="15.75" customHeight="1">
      <c r="A33" s="54">
        <v>0.46875</v>
      </c>
      <c r="B33" s="55">
        <v>2</v>
      </c>
      <c r="C33" s="53"/>
      <c r="D33" s="55">
        <v>0</v>
      </c>
      <c r="E33" s="53"/>
      <c r="F33" s="55">
        <v>0</v>
      </c>
      <c r="G33" s="53"/>
      <c r="H33" s="55">
        <v>0</v>
      </c>
      <c r="I33" s="53"/>
      <c r="J33" s="55">
        <v>0</v>
      </c>
      <c r="K33" s="53"/>
      <c r="L33" s="55">
        <v>0</v>
      </c>
    </row>
    <row r="34" spans="1:12" ht="15.75" customHeight="1">
      <c r="A34" s="54">
        <v>0.47916666666666669</v>
      </c>
      <c r="B34" s="55">
        <v>0</v>
      </c>
      <c r="C34" s="53"/>
      <c r="D34" s="55">
        <v>2</v>
      </c>
      <c r="E34" s="53"/>
      <c r="F34" s="55">
        <v>1</v>
      </c>
      <c r="G34" s="53"/>
      <c r="H34" s="55">
        <v>0</v>
      </c>
      <c r="I34" s="53"/>
      <c r="J34" s="55">
        <v>1</v>
      </c>
      <c r="K34" s="53"/>
      <c r="L34" s="55">
        <v>0</v>
      </c>
    </row>
    <row r="35" spans="1:12" ht="15.75" customHeight="1">
      <c r="A35" s="54">
        <v>0.48958333333333331</v>
      </c>
      <c r="B35" s="55">
        <v>1</v>
      </c>
      <c r="C35" s="53"/>
      <c r="D35" s="55">
        <v>0</v>
      </c>
      <c r="E35" s="53"/>
      <c r="F35" s="55">
        <v>0</v>
      </c>
      <c r="G35" s="53"/>
      <c r="H35" s="55">
        <v>3</v>
      </c>
      <c r="I35" s="53"/>
      <c r="J35" s="55">
        <v>0</v>
      </c>
      <c r="K35" s="53"/>
      <c r="L35" s="55">
        <v>0</v>
      </c>
    </row>
    <row r="36" spans="1:12" ht="15.75" customHeight="1">
      <c r="A36" s="56" t="s">
        <v>24</v>
      </c>
      <c r="B36" s="57">
        <f>SUM(B32:B35)</f>
        <v>3</v>
      </c>
      <c r="C36" s="53"/>
      <c r="D36" s="57">
        <f>SUM(D32:D35)</f>
        <v>2</v>
      </c>
      <c r="E36" s="53"/>
      <c r="F36" s="57">
        <f>SUM(F32:F35)</f>
        <v>2</v>
      </c>
      <c r="G36" s="53"/>
      <c r="H36" s="57">
        <f>SUM(H32:H35)</f>
        <v>4</v>
      </c>
      <c r="I36" s="53"/>
      <c r="J36" s="57">
        <f>SUM(J32:J35)</f>
        <v>4</v>
      </c>
      <c r="K36" s="53"/>
      <c r="L36" s="57">
        <f>SUM(L32:L35)</f>
        <v>1</v>
      </c>
    </row>
    <row r="37" spans="1:12" ht="15.75" customHeight="1">
      <c r="A37" s="54">
        <v>0.5</v>
      </c>
      <c r="B37" s="52">
        <v>0</v>
      </c>
      <c r="C37" s="53"/>
      <c r="D37" s="52">
        <v>1</v>
      </c>
      <c r="E37" s="53"/>
      <c r="F37" s="52">
        <v>1</v>
      </c>
      <c r="G37" s="53"/>
      <c r="H37" s="52">
        <v>0</v>
      </c>
      <c r="I37" s="53"/>
      <c r="J37" s="52">
        <v>0</v>
      </c>
      <c r="K37" s="53"/>
      <c r="L37" s="52">
        <v>0</v>
      </c>
    </row>
    <row r="38" spans="1:12" ht="15.75" customHeight="1">
      <c r="A38" s="54">
        <v>0.51041666666666663</v>
      </c>
      <c r="B38" s="55">
        <v>0</v>
      </c>
      <c r="C38" s="53"/>
      <c r="D38" s="55">
        <v>0</v>
      </c>
      <c r="E38" s="53"/>
      <c r="F38" s="55">
        <v>0</v>
      </c>
      <c r="G38" s="53"/>
      <c r="H38" s="55">
        <v>1</v>
      </c>
      <c r="I38" s="53"/>
      <c r="J38" s="55">
        <v>1</v>
      </c>
      <c r="K38" s="53"/>
      <c r="L38" s="55">
        <v>1</v>
      </c>
    </row>
    <row r="39" spans="1:12" ht="15.75" customHeight="1">
      <c r="A39" s="54">
        <v>0.52083333333333337</v>
      </c>
      <c r="B39" s="55">
        <v>2</v>
      </c>
      <c r="C39" s="53"/>
      <c r="D39" s="55">
        <v>1</v>
      </c>
      <c r="E39" s="53"/>
      <c r="F39" s="55">
        <v>1</v>
      </c>
      <c r="G39" s="53"/>
      <c r="H39" s="55">
        <v>1</v>
      </c>
      <c r="I39" s="53"/>
      <c r="J39" s="55">
        <v>4</v>
      </c>
      <c r="K39" s="53"/>
      <c r="L39" s="55">
        <v>0</v>
      </c>
    </row>
    <row r="40" spans="1:12" ht="15.75" customHeight="1">
      <c r="A40" s="54">
        <v>0.53125</v>
      </c>
      <c r="B40" s="55">
        <v>1</v>
      </c>
      <c r="C40" s="53"/>
      <c r="D40" s="55">
        <v>2</v>
      </c>
      <c r="E40" s="53"/>
      <c r="F40" s="55">
        <v>0</v>
      </c>
      <c r="G40" s="53"/>
      <c r="H40" s="55">
        <v>0</v>
      </c>
      <c r="I40" s="53"/>
      <c r="J40" s="55">
        <v>1</v>
      </c>
      <c r="K40" s="53"/>
      <c r="L40" s="55">
        <v>0</v>
      </c>
    </row>
    <row r="41" spans="1:12" ht="15.75" customHeight="1">
      <c r="A41" s="56" t="s">
        <v>24</v>
      </c>
      <c r="B41" s="57">
        <f>SUM(B37:B40)</f>
        <v>3</v>
      </c>
      <c r="C41" s="53"/>
      <c r="D41" s="57">
        <f>SUM(D37:D40)</f>
        <v>4</v>
      </c>
      <c r="E41" s="53"/>
      <c r="F41" s="57">
        <f>SUM(F37:F40)</f>
        <v>2</v>
      </c>
      <c r="G41" s="53"/>
      <c r="H41" s="57">
        <f>SUM(H37:H40)</f>
        <v>2</v>
      </c>
      <c r="I41" s="53"/>
      <c r="J41" s="57">
        <f>SUM(J37:J40)</f>
        <v>6</v>
      </c>
      <c r="K41" s="53"/>
      <c r="L41" s="57">
        <f>SUM(L37:L40)</f>
        <v>1</v>
      </c>
    </row>
    <row r="42" spans="1:12" ht="15.75" customHeight="1">
      <c r="A42" s="58">
        <v>0.54166666666666663</v>
      </c>
      <c r="B42" s="52">
        <v>2</v>
      </c>
      <c r="C42" s="53"/>
      <c r="D42" s="52">
        <v>3</v>
      </c>
      <c r="E42" s="53"/>
      <c r="F42" s="52">
        <v>0</v>
      </c>
      <c r="G42" s="53"/>
      <c r="H42" s="52">
        <v>1</v>
      </c>
      <c r="I42" s="53"/>
      <c r="J42" s="52">
        <v>1</v>
      </c>
      <c r="K42" s="53"/>
      <c r="L42" s="52">
        <v>1</v>
      </c>
    </row>
    <row r="43" spans="1:12" ht="15.75" customHeight="1">
      <c r="A43" s="59">
        <v>0.55208333333333337</v>
      </c>
      <c r="B43" s="55">
        <v>5</v>
      </c>
      <c r="C43" s="53"/>
      <c r="D43" s="55">
        <v>6</v>
      </c>
      <c r="E43" s="53"/>
      <c r="F43" s="55">
        <v>0</v>
      </c>
      <c r="G43" s="53"/>
      <c r="H43" s="55">
        <v>1</v>
      </c>
      <c r="I43" s="53"/>
      <c r="J43" s="55">
        <v>0</v>
      </c>
      <c r="K43" s="53"/>
      <c r="L43" s="55">
        <v>0</v>
      </c>
    </row>
    <row r="44" spans="1:12" ht="15.75" customHeight="1">
      <c r="A44" s="59">
        <v>0.5625</v>
      </c>
      <c r="B44" s="55">
        <v>2</v>
      </c>
      <c r="C44" s="53"/>
      <c r="D44" s="55">
        <v>1</v>
      </c>
      <c r="E44" s="53"/>
      <c r="F44" s="55">
        <v>0</v>
      </c>
      <c r="G44" s="53"/>
      <c r="H44" s="55">
        <v>0</v>
      </c>
      <c r="I44" s="53"/>
      <c r="J44" s="55">
        <v>2</v>
      </c>
      <c r="K44" s="53"/>
      <c r="L44" s="55">
        <v>3</v>
      </c>
    </row>
    <row r="45" spans="1:12" ht="15.75" customHeight="1">
      <c r="A45" s="59">
        <v>0.57291666666666663</v>
      </c>
      <c r="B45" s="55">
        <v>1</v>
      </c>
      <c r="C45" s="53"/>
      <c r="D45" s="55">
        <v>2</v>
      </c>
      <c r="E45" s="53"/>
      <c r="F45" s="55">
        <v>0</v>
      </c>
      <c r="G45" s="53"/>
      <c r="H45" s="55">
        <v>0</v>
      </c>
      <c r="I45" s="53"/>
      <c r="J45" s="55">
        <v>4</v>
      </c>
      <c r="K45" s="53"/>
      <c r="L45" s="55">
        <v>1</v>
      </c>
    </row>
    <row r="46" spans="1:12" ht="15.75" customHeight="1">
      <c r="A46" s="60" t="s">
        <v>24</v>
      </c>
      <c r="B46" s="57">
        <f>SUM(B42:B45)</f>
        <v>10</v>
      </c>
      <c r="C46" s="53"/>
      <c r="D46" s="57">
        <f>SUM(D42:D45)</f>
        <v>12</v>
      </c>
      <c r="E46" s="53"/>
      <c r="F46" s="57">
        <f>SUM(F42:F45)</f>
        <v>0</v>
      </c>
      <c r="G46" s="53"/>
      <c r="H46" s="57">
        <f>SUM(H42:H45)</f>
        <v>2</v>
      </c>
      <c r="I46" s="53"/>
      <c r="J46" s="57">
        <f>SUM(J42:J45)</f>
        <v>7</v>
      </c>
      <c r="K46" s="53"/>
      <c r="L46" s="57">
        <f>SUM(L42:L45)</f>
        <v>5</v>
      </c>
    </row>
    <row r="47" spans="1:12" ht="15.75" customHeight="1">
      <c r="A47" s="58">
        <v>0.58333333333333337</v>
      </c>
      <c r="B47" s="52">
        <v>1</v>
      </c>
      <c r="C47" s="53"/>
      <c r="D47" s="52">
        <v>2</v>
      </c>
      <c r="E47" s="53"/>
      <c r="F47" s="52">
        <v>0</v>
      </c>
      <c r="G47" s="53"/>
      <c r="H47" s="52">
        <v>0</v>
      </c>
      <c r="I47" s="53"/>
      <c r="J47" s="52">
        <v>1</v>
      </c>
      <c r="K47" s="53"/>
      <c r="L47" s="52">
        <v>0</v>
      </c>
    </row>
    <row r="48" spans="1:12" ht="15.75" customHeight="1">
      <c r="A48" s="59">
        <v>0.59375</v>
      </c>
      <c r="B48" s="55">
        <v>1</v>
      </c>
      <c r="C48" s="53"/>
      <c r="D48" s="55">
        <v>1</v>
      </c>
      <c r="E48" s="53"/>
      <c r="F48" s="55">
        <v>0</v>
      </c>
      <c r="G48" s="53"/>
      <c r="H48" s="55">
        <v>1</v>
      </c>
      <c r="I48" s="53"/>
      <c r="J48" s="55">
        <v>0</v>
      </c>
      <c r="K48" s="53"/>
      <c r="L48" s="55">
        <v>3</v>
      </c>
    </row>
    <row r="49" spans="1:12" ht="15.75" customHeight="1">
      <c r="A49" s="59">
        <v>0.60416666666666663</v>
      </c>
      <c r="B49" s="55">
        <v>2</v>
      </c>
      <c r="C49" s="53"/>
      <c r="D49" s="55">
        <v>0</v>
      </c>
      <c r="E49" s="53"/>
      <c r="F49" s="55">
        <v>0</v>
      </c>
      <c r="G49" s="53"/>
      <c r="H49" s="55">
        <v>1</v>
      </c>
      <c r="I49" s="53"/>
      <c r="J49" s="55">
        <v>2</v>
      </c>
      <c r="K49" s="53"/>
      <c r="L49" s="55">
        <v>2</v>
      </c>
    </row>
    <row r="50" spans="1:12" ht="15.75" customHeight="1">
      <c r="A50" s="59">
        <v>0.61458333333333337</v>
      </c>
      <c r="B50" s="55">
        <v>1</v>
      </c>
      <c r="C50" s="53"/>
      <c r="D50" s="55">
        <v>1</v>
      </c>
      <c r="E50" s="53"/>
      <c r="F50" s="55">
        <v>1</v>
      </c>
      <c r="G50" s="53"/>
      <c r="H50" s="55">
        <v>0</v>
      </c>
      <c r="I50" s="53"/>
      <c r="J50" s="55">
        <v>0</v>
      </c>
      <c r="K50" s="53"/>
      <c r="L50" s="55">
        <v>0</v>
      </c>
    </row>
    <row r="51" spans="1:12" ht="15.75" customHeight="1">
      <c r="A51" s="60" t="s">
        <v>24</v>
      </c>
      <c r="B51" s="57">
        <f>SUM(B47:B50)</f>
        <v>5</v>
      </c>
      <c r="C51" s="53"/>
      <c r="D51" s="57">
        <f>SUM(D47:D50)</f>
        <v>4</v>
      </c>
      <c r="E51" s="53"/>
      <c r="F51" s="57">
        <f>SUM(F47:F50)</f>
        <v>1</v>
      </c>
      <c r="G51" s="53"/>
      <c r="H51" s="57">
        <f>SUM(H47:H50)</f>
        <v>2</v>
      </c>
      <c r="I51" s="53"/>
      <c r="J51" s="57">
        <f>SUM(J47:J50)</f>
        <v>3</v>
      </c>
      <c r="K51" s="53"/>
      <c r="L51" s="57">
        <f>SUM(L47:L50)</f>
        <v>5</v>
      </c>
    </row>
    <row r="52" spans="1:12" ht="15.75" customHeight="1">
      <c r="A52" s="58">
        <v>0.625</v>
      </c>
      <c r="B52" s="52">
        <v>2</v>
      </c>
      <c r="C52" s="53"/>
      <c r="D52" s="52">
        <v>0</v>
      </c>
      <c r="E52" s="53"/>
      <c r="F52" s="52">
        <v>0</v>
      </c>
      <c r="G52" s="53"/>
      <c r="H52" s="52">
        <v>1</v>
      </c>
      <c r="I52" s="53"/>
      <c r="J52" s="52">
        <v>1</v>
      </c>
      <c r="K52" s="53"/>
      <c r="L52" s="52">
        <v>1</v>
      </c>
    </row>
    <row r="53" spans="1:12" ht="15.75" customHeight="1">
      <c r="A53" s="59">
        <v>0.63541666666666663</v>
      </c>
      <c r="B53" s="55">
        <v>1</v>
      </c>
      <c r="C53" s="53"/>
      <c r="D53" s="55">
        <v>0</v>
      </c>
      <c r="E53" s="53"/>
      <c r="F53" s="55">
        <v>3</v>
      </c>
      <c r="G53" s="53"/>
      <c r="H53" s="55">
        <v>0</v>
      </c>
      <c r="I53" s="53"/>
      <c r="J53" s="55">
        <v>0</v>
      </c>
      <c r="K53" s="53"/>
      <c r="L53" s="55">
        <v>1</v>
      </c>
    </row>
    <row r="54" spans="1:12" ht="15.75" customHeight="1">
      <c r="A54" s="59">
        <v>0.64583333333333337</v>
      </c>
      <c r="B54" s="55">
        <v>2</v>
      </c>
      <c r="C54" s="53"/>
      <c r="D54" s="55">
        <v>4</v>
      </c>
      <c r="E54" s="53"/>
      <c r="F54" s="55">
        <v>0</v>
      </c>
      <c r="G54" s="53"/>
      <c r="H54" s="55">
        <v>4</v>
      </c>
      <c r="I54" s="53"/>
      <c r="J54" s="55">
        <v>2</v>
      </c>
      <c r="K54" s="53"/>
      <c r="L54" s="55">
        <v>0</v>
      </c>
    </row>
    <row r="55" spans="1:12" ht="15.75" customHeight="1">
      <c r="A55" s="59">
        <v>0.65625</v>
      </c>
      <c r="B55" s="55">
        <v>2</v>
      </c>
      <c r="C55" s="53"/>
      <c r="D55" s="55">
        <v>1</v>
      </c>
      <c r="E55" s="53"/>
      <c r="F55" s="55">
        <v>2</v>
      </c>
      <c r="G55" s="53"/>
      <c r="H55" s="55">
        <v>0</v>
      </c>
      <c r="I55" s="53"/>
      <c r="J55" s="55">
        <v>0</v>
      </c>
      <c r="K55" s="53"/>
      <c r="L55" s="55">
        <v>3</v>
      </c>
    </row>
    <row r="56" spans="1:12" ht="15.75" customHeight="1">
      <c r="A56" s="60" t="s">
        <v>24</v>
      </c>
      <c r="B56" s="57">
        <f>SUM(B52:B55)</f>
        <v>7</v>
      </c>
      <c r="C56" s="53"/>
      <c r="D56" s="57">
        <f>SUM(D52:D55)</f>
        <v>5</v>
      </c>
      <c r="E56" s="53"/>
      <c r="F56" s="57">
        <f>SUM(F52:F55)</f>
        <v>5</v>
      </c>
      <c r="G56" s="53"/>
      <c r="H56" s="57">
        <f>SUM(H52:H55)</f>
        <v>5</v>
      </c>
      <c r="I56" s="53"/>
      <c r="J56" s="57">
        <f>SUM(J52:J55)</f>
        <v>3</v>
      </c>
      <c r="K56" s="53"/>
      <c r="L56" s="57">
        <f>SUM(L52:L55)</f>
        <v>5</v>
      </c>
    </row>
    <row r="57" spans="1:12" ht="15.75" customHeight="1">
      <c r="A57" s="58">
        <v>0.66666666666666663</v>
      </c>
      <c r="B57" s="52">
        <v>1</v>
      </c>
      <c r="C57" s="53"/>
      <c r="D57" s="52">
        <v>1</v>
      </c>
      <c r="E57" s="53"/>
      <c r="F57" s="52">
        <v>0</v>
      </c>
      <c r="G57" s="53"/>
      <c r="H57" s="52">
        <v>0</v>
      </c>
      <c r="I57" s="53"/>
      <c r="J57" s="52">
        <v>1</v>
      </c>
      <c r="K57" s="53"/>
      <c r="L57" s="52">
        <v>2</v>
      </c>
    </row>
    <row r="58" spans="1:12" ht="15.75" customHeight="1">
      <c r="A58" s="59">
        <v>0.67708333333333337</v>
      </c>
      <c r="B58" s="55">
        <v>1</v>
      </c>
      <c r="C58" s="53"/>
      <c r="D58" s="55">
        <v>1</v>
      </c>
      <c r="E58" s="53"/>
      <c r="F58" s="55">
        <v>1</v>
      </c>
      <c r="G58" s="53"/>
      <c r="H58" s="55">
        <v>1</v>
      </c>
      <c r="I58" s="53"/>
      <c r="J58" s="55">
        <v>0</v>
      </c>
      <c r="K58" s="53"/>
      <c r="L58" s="55">
        <v>1</v>
      </c>
    </row>
    <row r="59" spans="1:12" ht="15.75" customHeight="1">
      <c r="A59" s="59">
        <v>0.6875</v>
      </c>
      <c r="B59" s="55">
        <v>0</v>
      </c>
      <c r="C59" s="53"/>
      <c r="D59" s="55">
        <v>1</v>
      </c>
      <c r="E59" s="53"/>
      <c r="F59" s="55">
        <v>2</v>
      </c>
      <c r="G59" s="53"/>
      <c r="H59" s="55">
        <v>0</v>
      </c>
      <c r="I59" s="53"/>
      <c r="J59" s="55">
        <v>0</v>
      </c>
      <c r="K59" s="53"/>
      <c r="L59" s="55">
        <v>0</v>
      </c>
    </row>
    <row r="60" spans="1:12" ht="15.75" customHeight="1">
      <c r="A60" s="59">
        <v>0.69791666666666663</v>
      </c>
      <c r="B60" s="55">
        <v>1</v>
      </c>
      <c r="C60" s="53"/>
      <c r="D60" s="55">
        <v>2</v>
      </c>
      <c r="E60" s="53"/>
      <c r="F60" s="55">
        <v>0</v>
      </c>
      <c r="G60" s="53"/>
      <c r="H60" s="55">
        <v>0</v>
      </c>
      <c r="I60" s="53"/>
      <c r="J60" s="55">
        <v>1</v>
      </c>
      <c r="K60" s="53"/>
      <c r="L60" s="55">
        <v>0</v>
      </c>
    </row>
    <row r="61" spans="1:12" ht="15.75" customHeight="1">
      <c r="A61" s="60" t="s">
        <v>24</v>
      </c>
      <c r="B61" s="57">
        <f>SUM(B57:B60)</f>
        <v>3</v>
      </c>
      <c r="C61" s="53"/>
      <c r="D61" s="57">
        <f>SUM(D57:D60)</f>
        <v>5</v>
      </c>
      <c r="E61" s="53"/>
      <c r="F61" s="57">
        <f>SUM(F57:F60)</f>
        <v>3</v>
      </c>
      <c r="G61" s="53"/>
      <c r="H61" s="57">
        <f>SUM(H57:H60)</f>
        <v>1</v>
      </c>
      <c r="I61" s="53"/>
      <c r="J61" s="57">
        <f>SUM(J57:J60)</f>
        <v>2</v>
      </c>
      <c r="K61" s="53"/>
      <c r="L61" s="57">
        <f>SUM(L57:L60)</f>
        <v>3</v>
      </c>
    </row>
    <row r="62" spans="1:12" ht="15.75" customHeight="1">
      <c r="A62" s="58">
        <v>0.70833333333333337</v>
      </c>
      <c r="B62" s="52">
        <v>4</v>
      </c>
      <c r="C62" s="53"/>
      <c r="D62" s="52">
        <v>0</v>
      </c>
      <c r="E62" s="53"/>
      <c r="F62" s="52">
        <v>0</v>
      </c>
      <c r="G62" s="53"/>
      <c r="H62" s="52">
        <v>4</v>
      </c>
      <c r="I62" s="53"/>
      <c r="J62" s="52">
        <v>0</v>
      </c>
      <c r="K62" s="53"/>
      <c r="L62" s="52">
        <v>2</v>
      </c>
    </row>
    <row r="63" spans="1:12" ht="15.75" customHeight="1">
      <c r="A63" s="59">
        <v>0.71875</v>
      </c>
      <c r="B63" s="55">
        <v>1</v>
      </c>
      <c r="C63" s="53"/>
      <c r="D63" s="55">
        <v>3</v>
      </c>
      <c r="E63" s="53"/>
      <c r="F63" s="55">
        <v>0</v>
      </c>
      <c r="G63" s="53"/>
      <c r="H63" s="55">
        <v>1</v>
      </c>
      <c r="I63" s="53"/>
      <c r="J63" s="55">
        <v>0</v>
      </c>
      <c r="K63" s="53"/>
      <c r="L63" s="55">
        <v>1</v>
      </c>
    </row>
    <row r="64" spans="1:12" ht="15.75" customHeight="1">
      <c r="A64" s="59">
        <v>0.72916666666666663</v>
      </c>
      <c r="B64" s="55">
        <v>1</v>
      </c>
      <c r="C64" s="53"/>
      <c r="D64" s="55">
        <v>2</v>
      </c>
      <c r="E64" s="53"/>
      <c r="F64" s="55">
        <v>2</v>
      </c>
      <c r="G64" s="53"/>
      <c r="H64" s="55">
        <v>0</v>
      </c>
      <c r="I64" s="53"/>
      <c r="J64" s="55">
        <v>0</v>
      </c>
      <c r="K64" s="53"/>
      <c r="L64" s="55">
        <v>1</v>
      </c>
    </row>
    <row r="65" spans="1:12" ht="15.75" customHeight="1">
      <c r="A65" s="61">
        <v>0.73958333333333337</v>
      </c>
      <c r="B65" s="55">
        <v>3</v>
      </c>
      <c r="C65" s="53"/>
      <c r="D65" s="55">
        <v>1</v>
      </c>
      <c r="E65" s="53"/>
      <c r="F65" s="55">
        <v>1</v>
      </c>
      <c r="G65" s="53"/>
      <c r="H65" s="55">
        <v>0</v>
      </c>
      <c r="I65" s="53"/>
      <c r="J65" s="55">
        <v>2</v>
      </c>
      <c r="K65" s="53"/>
      <c r="L65" s="55">
        <v>0</v>
      </c>
    </row>
    <row r="66" spans="1:12" ht="15.75" customHeight="1">
      <c r="A66" s="60" t="s">
        <v>24</v>
      </c>
      <c r="B66" s="57">
        <f>SUM(B62:B65)</f>
        <v>9</v>
      </c>
      <c r="C66" s="53"/>
      <c r="D66" s="57">
        <f>SUM(D62:D65)</f>
        <v>6</v>
      </c>
      <c r="E66" s="53"/>
      <c r="F66" s="57">
        <f>SUM(F62:F65)</f>
        <v>3</v>
      </c>
      <c r="G66" s="53"/>
      <c r="H66" s="57">
        <f>SUM(H62:H65)</f>
        <v>5</v>
      </c>
      <c r="I66" s="53"/>
      <c r="J66" s="57">
        <f>SUM(J62:J65)</f>
        <v>2</v>
      </c>
      <c r="K66" s="53"/>
      <c r="L66" s="57">
        <f>SUM(L62:L65)</f>
        <v>4</v>
      </c>
    </row>
    <row r="67" spans="1:12" ht="15.75" customHeight="1">
      <c r="A67" s="58">
        <v>0.75</v>
      </c>
      <c r="B67" s="52">
        <v>0</v>
      </c>
      <c r="C67" s="53"/>
      <c r="D67" s="52">
        <v>3</v>
      </c>
      <c r="E67" s="53"/>
      <c r="F67" s="52">
        <v>2</v>
      </c>
      <c r="G67" s="53"/>
      <c r="H67" s="52">
        <v>0</v>
      </c>
      <c r="I67" s="53"/>
      <c r="J67" s="52">
        <v>1</v>
      </c>
      <c r="K67" s="53"/>
      <c r="L67" s="52">
        <v>3</v>
      </c>
    </row>
    <row r="68" spans="1:12" ht="15.75" customHeight="1">
      <c r="A68" s="59">
        <v>0.76041666666666663</v>
      </c>
      <c r="B68" s="55">
        <v>1</v>
      </c>
      <c r="C68" s="53"/>
      <c r="D68" s="55">
        <v>1</v>
      </c>
      <c r="E68" s="53"/>
      <c r="F68" s="55">
        <v>0</v>
      </c>
      <c r="G68" s="53"/>
      <c r="H68" s="55">
        <v>3</v>
      </c>
      <c r="I68" s="53"/>
      <c r="J68" s="55">
        <v>1</v>
      </c>
      <c r="K68" s="53"/>
      <c r="L68" s="55">
        <v>1</v>
      </c>
    </row>
    <row r="69" spans="1:12" ht="15.75" customHeight="1">
      <c r="A69" s="59">
        <v>0.77083333333333337</v>
      </c>
      <c r="B69" s="55">
        <v>3</v>
      </c>
      <c r="C69" s="53"/>
      <c r="D69" s="55">
        <v>1</v>
      </c>
      <c r="E69" s="53"/>
      <c r="F69" s="55">
        <v>1</v>
      </c>
      <c r="G69" s="53"/>
      <c r="H69" s="55">
        <v>0</v>
      </c>
      <c r="I69" s="53"/>
      <c r="J69" s="55">
        <v>0</v>
      </c>
      <c r="K69" s="53"/>
      <c r="L69" s="55">
        <v>0</v>
      </c>
    </row>
    <row r="70" spans="1:12" ht="15.75" customHeight="1">
      <c r="A70" s="59">
        <v>0.78125</v>
      </c>
      <c r="B70" s="55">
        <v>2</v>
      </c>
      <c r="C70" s="53"/>
      <c r="D70" s="55">
        <v>3</v>
      </c>
      <c r="E70" s="53"/>
      <c r="F70" s="55">
        <v>1</v>
      </c>
      <c r="G70" s="53"/>
      <c r="H70" s="55">
        <v>1</v>
      </c>
      <c r="I70" s="53"/>
      <c r="J70" s="55">
        <v>0</v>
      </c>
      <c r="K70" s="53"/>
      <c r="L70" s="55">
        <v>0</v>
      </c>
    </row>
    <row r="71" spans="1:12" ht="15.75" customHeight="1">
      <c r="A71" s="60" t="s">
        <v>24</v>
      </c>
      <c r="B71" s="57">
        <f>SUM(B67:B70)</f>
        <v>6</v>
      </c>
      <c r="C71" s="53"/>
      <c r="D71" s="57">
        <f>SUM(D67:D70)</f>
        <v>8</v>
      </c>
      <c r="E71" s="53"/>
      <c r="F71" s="57">
        <f>SUM(F67:F70)</f>
        <v>4</v>
      </c>
      <c r="G71" s="53"/>
      <c r="H71" s="57">
        <f>SUM(H67:H70)</f>
        <v>4</v>
      </c>
      <c r="I71" s="53"/>
      <c r="J71" s="57">
        <f>SUM(J67:J70)</f>
        <v>2</v>
      </c>
      <c r="K71" s="53"/>
      <c r="L71" s="57">
        <f>SUM(L67:L70)</f>
        <v>4</v>
      </c>
    </row>
    <row r="72" spans="1:12" ht="15.75" customHeight="1">
      <c r="A72" s="62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</row>
    <row r="73" spans="1:12" ht="15.75" customHeight="1">
      <c r="A73" s="68" t="s">
        <v>22</v>
      </c>
      <c r="B73" s="57">
        <f>SUM(B16+B21+B26+B31+B36+B41+B46+B51+B56+B61+B66+B71)</f>
        <v>60</v>
      </c>
      <c r="C73" s="53"/>
      <c r="D73" s="57">
        <f>SUM(D16+D21+D26+D31+D36+D41+D46+D51+D56+D61+D66+D71)</f>
        <v>60</v>
      </c>
      <c r="E73" s="53"/>
      <c r="F73" s="57">
        <f>SUM(F16+F21+F26+F31+F36+F41+F46+F51+F56+F61+F66+F71)</f>
        <v>25</v>
      </c>
      <c r="G73" s="53"/>
      <c r="H73" s="57">
        <f>SUM(H16+H21+H26+H31+H36+H41+H46+H51+H56+H61+H66+H71)</f>
        <v>34</v>
      </c>
      <c r="I73" s="53"/>
      <c r="J73" s="57">
        <f>SUM(J16+J21+J26+J31+J36+J41+J46+J51+J56+J61+J66+J71)</f>
        <v>46</v>
      </c>
      <c r="K73" s="53"/>
      <c r="L73" s="57">
        <f>SUM(L16+L21+L26+L31+L36+L41+L46+L51+L56+L61+L66+L71)</f>
        <v>33</v>
      </c>
    </row>
  </sheetData>
  <pageMargins left="0.7" right="0.7" top="0.75" bottom="0.75" header="0.3" footer="0.3"/>
  <pageSetup paperSize="9" scale="52" orientation="landscape" r:id="rId1"/>
  <rowBreaks count="11" manualBreakCount="11">
    <brk id="87" max="16383" man="1"/>
    <brk id="154" max="16383" man="1"/>
    <brk id="178" max="16383" man="1"/>
    <brk id="245" max="16383" man="1"/>
    <brk id="269" max="16383" man="1"/>
    <brk id="336" max="16383" man="1"/>
    <brk id="360" max="16383" man="1"/>
    <brk id="427" max="16383" man="1"/>
    <brk id="451" max="16383" man="1"/>
    <brk id="518" max="16383" man="1"/>
    <brk id="542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6"/>
  <sheetViews>
    <sheetView showGridLines="0" zoomScale="75" zoomScaleNormal="75" workbookViewId="0">
      <selection activeCell="B2" sqref="B2"/>
    </sheetView>
  </sheetViews>
  <sheetFormatPr defaultRowHeight="15.75" customHeight="1"/>
  <cols>
    <col min="1" max="1" width="10.42578125" style="26" customWidth="1"/>
    <col min="2" max="3" width="15.7109375" style="26" customWidth="1"/>
    <col min="4" max="4" width="1.7109375" style="26" customWidth="1"/>
    <col min="5" max="6" width="15.7109375" style="26" customWidth="1"/>
    <col min="7" max="7" width="4.7109375" style="26" customWidth="1"/>
    <col min="8" max="9" width="15.7109375" style="26" customWidth="1"/>
    <col min="10" max="10" width="1.7109375" style="26" customWidth="1"/>
    <col min="11" max="12" width="15.7109375" style="26" customWidth="1"/>
    <col min="13" max="13" width="4.7109375" style="26" customWidth="1"/>
    <col min="14" max="15" width="15.7109375" style="26" customWidth="1"/>
    <col min="16" max="16" width="1.7109375" style="26" customWidth="1"/>
    <col min="17" max="18" width="15.7109375" style="26" customWidth="1"/>
    <col min="19" max="19" width="1.28515625" style="26" customWidth="1"/>
    <col min="20" max="27" width="7.28515625" style="26" customWidth="1"/>
    <col min="28" max="28" width="1.28515625" style="26" customWidth="1"/>
    <col min="29" max="36" width="7.28515625" style="26" customWidth="1"/>
    <col min="37" max="37" width="1.28515625" style="26" customWidth="1"/>
    <col min="38" max="38" width="8.28515625" style="26" customWidth="1"/>
    <col min="39" max="16384" width="9.140625" style="26"/>
  </cols>
  <sheetData>
    <row r="1" spans="1:19" ht="15.75" customHeight="1">
      <c r="A1" s="27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9"/>
    </row>
    <row r="2" spans="1:19" ht="15.75" customHeight="1">
      <c r="A2" s="30"/>
      <c r="B2" s="31"/>
      <c r="C2" s="31"/>
      <c r="D2" s="31"/>
      <c r="E2" s="31"/>
      <c r="F2" s="45" t="s">
        <v>0</v>
      </c>
      <c r="G2" s="46"/>
      <c r="H2" s="46" t="str">
        <f>'Job Details'!$C$6</f>
        <v>Bristol City Council</v>
      </c>
      <c r="I2" s="46"/>
      <c r="J2" s="46"/>
      <c r="K2" s="31"/>
      <c r="Q2" s="46"/>
      <c r="R2" s="31"/>
      <c r="S2" s="32"/>
    </row>
    <row r="3" spans="1:19" ht="15.75" customHeight="1">
      <c r="A3" s="30"/>
      <c r="B3" s="31"/>
      <c r="C3" s="31"/>
      <c r="D3" s="31"/>
      <c r="E3" s="31"/>
      <c r="F3" s="45" t="s">
        <v>1</v>
      </c>
      <c r="G3" s="46"/>
      <c r="H3" s="46" t="str">
        <f>'Job Details'!$C$7</f>
        <v>Wal 2527 Fishponds Road</v>
      </c>
      <c r="I3" s="46"/>
      <c r="J3" s="46"/>
      <c r="K3" s="31"/>
      <c r="Q3" s="46"/>
      <c r="R3" s="31"/>
      <c r="S3" s="32"/>
    </row>
    <row r="4" spans="1:19" ht="15.75" customHeight="1">
      <c r="A4" s="30"/>
      <c r="B4" s="31"/>
      <c r="C4" s="31"/>
      <c r="D4" s="31"/>
      <c r="E4" s="31"/>
      <c r="F4" s="45" t="s">
        <v>11</v>
      </c>
      <c r="G4" s="46"/>
      <c r="H4" s="47" t="str">
        <f>'Job Details'!C8</f>
        <v>1 - Fishponds Road</v>
      </c>
      <c r="I4" s="46"/>
      <c r="J4" s="46"/>
      <c r="K4" s="31"/>
      <c r="Q4" s="46"/>
      <c r="R4" s="31"/>
      <c r="S4" s="32"/>
    </row>
    <row r="5" spans="1:19" ht="15.75" customHeight="1">
      <c r="A5" s="30"/>
      <c r="B5" s="31"/>
      <c r="C5" s="31"/>
      <c r="D5" s="31"/>
      <c r="E5" s="31"/>
      <c r="F5" s="45" t="s">
        <v>12</v>
      </c>
      <c r="G5" s="46"/>
      <c r="H5" s="86" t="str">
        <f>'Job Details'!$C$9</f>
        <v>Tuesday 10th November 2015</v>
      </c>
      <c r="I5" s="87"/>
      <c r="J5" s="87"/>
      <c r="K5" s="31"/>
      <c r="Q5" s="46"/>
      <c r="R5" s="31"/>
      <c r="S5" s="32"/>
    </row>
    <row r="6" spans="1:19" ht="21.75" customHeight="1">
      <c r="A6" s="33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5"/>
    </row>
    <row r="7" spans="1:19" ht="15.75" customHeight="1">
      <c r="N7" s="69"/>
      <c r="Q7" s="69"/>
    </row>
    <row r="8" spans="1:19" ht="15.75" customHeight="1">
      <c r="A8" s="109" t="s">
        <v>62</v>
      </c>
      <c r="N8" s="69"/>
      <c r="Q8" s="69"/>
    </row>
    <row r="9" spans="1:19" ht="15.75" customHeight="1">
      <c r="A9" s="24"/>
      <c r="B9" s="107" t="s">
        <v>35</v>
      </c>
      <c r="C9" s="108"/>
      <c r="D9" s="49"/>
      <c r="E9" s="107" t="s">
        <v>40</v>
      </c>
      <c r="F9" s="108"/>
      <c r="G9" s="49"/>
      <c r="H9" s="107" t="s">
        <v>38</v>
      </c>
      <c r="I9" s="108"/>
      <c r="J9" s="49"/>
      <c r="K9" s="107" t="s">
        <v>41</v>
      </c>
      <c r="L9" s="108"/>
      <c r="N9" s="107" t="s">
        <v>39</v>
      </c>
      <c r="O9" s="108"/>
      <c r="P9" s="49"/>
      <c r="Q9" s="107" t="s">
        <v>42</v>
      </c>
      <c r="R9" s="108"/>
    </row>
    <row r="10" spans="1:19" ht="15.75" customHeight="1">
      <c r="A10" s="24"/>
      <c r="B10" s="70" t="s">
        <v>36</v>
      </c>
      <c r="C10" s="71" t="s">
        <v>37</v>
      </c>
      <c r="E10" s="72" t="s">
        <v>36</v>
      </c>
      <c r="F10" s="73" t="s">
        <v>37</v>
      </c>
      <c r="H10" s="72" t="s">
        <v>36</v>
      </c>
      <c r="I10" s="73" t="s">
        <v>37</v>
      </c>
      <c r="K10" s="72" t="s">
        <v>36</v>
      </c>
      <c r="L10" s="73" t="s">
        <v>37</v>
      </c>
      <c r="N10" s="72" t="s">
        <v>36</v>
      </c>
      <c r="O10" s="73" t="s">
        <v>37</v>
      </c>
      <c r="Q10" s="72" t="s">
        <v>36</v>
      </c>
      <c r="R10" s="73" t="s">
        <v>37</v>
      </c>
    </row>
    <row r="11" spans="1:19" s="41" customFormat="1" ht="15.75" customHeight="1">
      <c r="A11" s="25">
        <v>0.29166666666666669</v>
      </c>
      <c r="B11" s="74">
        <v>0</v>
      </c>
      <c r="C11" s="75">
        <v>0</v>
      </c>
      <c r="E11" s="76">
        <v>1</v>
      </c>
      <c r="F11" s="75">
        <v>0</v>
      </c>
      <c r="H11" s="74">
        <v>0</v>
      </c>
      <c r="I11" s="75">
        <v>0</v>
      </c>
      <c r="K11" s="74">
        <v>0</v>
      </c>
      <c r="L11" s="75">
        <v>0</v>
      </c>
      <c r="N11" s="74">
        <v>0</v>
      </c>
      <c r="O11" s="75">
        <v>0</v>
      </c>
      <c r="Q11" s="74">
        <v>0</v>
      </c>
      <c r="R11" s="75">
        <v>0</v>
      </c>
    </row>
    <row r="12" spans="1:19" ht="15.75" customHeight="1">
      <c r="A12" s="25">
        <f>A11+"00:05"</f>
        <v>0.2951388888888889</v>
      </c>
      <c r="B12" s="76">
        <v>0</v>
      </c>
      <c r="C12" s="77">
        <v>0</v>
      </c>
      <c r="E12" s="76">
        <v>0</v>
      </c>
      <c r="F12" s="77">
        <v>0</v>
      </c>
      <c r="H12" s="76">
        <v>0</v>
      </c>
      <c r="I12" s="77">
        <v>0</v>
      </c>
      <c r="K12" s="76">
        <v>0</v>
      </c>
      <c r="L12" s="77">
        <v>0</v>
      </c>
      <c r="N12" s="76">
        <v>0</v>
      </c>
      <c r="O12" s="77">
        <v>0</v>
      </c>
      <c r="Q12" s="76">
        <v>0</v>
      </c>
      <c r="R12" s="77">
        <v>0</v>
      </c>
    </row>
    <row r="13" spans="1:19" ht="15.75" customHeight="1">
      <c r="A13" s="25">
        <f t="shared" ref="A13:A76" si="0">A12+"00:05"</f>
        <v>0.2986111111111111</v>
      </c>
      <c r="B13" s="76">
        <v>3</v>
      </c>
      <c r="C13" s="77">
        <v>2</v>
      </c>
      <c r="E13" s="76">
        <v>1</v>
      </c>
      <c r="F13" s="77">
        <v>0</v>
      </c>
      <c r="H13" s="76">
        <v>5</v>
      </c>
      <c r="I13" s="77">
        <v>0</v>
      </c>
      <c r="K13" s="76">
        <v>0</v>
      </c>
      <c r="L13" s="77">
        <v>0</v>
      </c>
      <c r="N13" s="76">
        <v>6</v>
      </c>
      <c r="O13" s="77">
        <v>0</v>
      </c>
      <c r="Q13" s="76">
        <v>0</v>
      </c>
      <c r="R13" s="77">
        <v>0</v>
      </c>
    </row>
    <row r="14" spans="1:19" ht="15.75" customHeight="1">
      <c r="A14" s="25">
        <f t="shared" si="0"/>
        <v>0.30208333333333331</v>
      </c>
      <c r="B14" s="76">
        <v>0</v>
      </c>
      <c r="C14" s="77">
        <v>0</v>
      </c>
      <c r="E14" s="76">
        <v>0</v>
      </c>
      <c r="F14" s="77">
        <v>0</v>
      </c>
      <c r="H14" s="76">
        <v>0</v>
      </c>
      <c r="I14" s="77">
        <v>0</v>
      </c>
      <c r="K14" s="76">
        <v>0</v>
      </c>
      <c r="L14" s="77">
        <v>0</v>
      </c>
      <c r="N14" s="76">
        <v>0</v>
      </c>
      <c r="O14" s="77">
        <v>0</v>
      </c>
      <c r="Q14" s="76">
        <v>0</v>
      </c>
      <c r="R14" s="77">
        <v>0</v>
      </c>
    </row>
    <row r="15" spans="1:19" ht="15.75" customHeight="1">
      <c r="A15" s="25">
        <f t="shared" si="0"/>
        <v>0.30555555555555552</v>
      </c>
      <c r="B15" s="76">
        <v>1</v>
      </c>
      <c r="C15" s="77">
        <v>0</v>
      </c>
      <c r="E15" s="76">
        <v>0</v>
      </c>
      <c r="F15" s="77">
        <v>0</v>
      </c>
      <c r="H15" s="76">
        <v>1</v>
      </c>
      <c r="I15" s="77">
        <v>0</v>
      </c>
      <c r="K15" s="76">
        <v>0</v>
      </c>
      <c r="L15" s="77">
        <v>0</v>
      </c>
      <c r="N15" s="76">
        <v>6</v>
      </c>
      <c r="O15" s="77">
        <v>0</v>
      </c>
      <c r="Q15" s="76">
        <v>0</v>
      </c>
      <c r="R15" s="77">
        <v>0</v>
      </c>
    </row>
    <row r="16" spans="1:19" ht="15.75" customHeight="1">
      <c r="A16" s="25">
        <f t="shared" si="0"/>
        <v>0.30902777777777773</v>
      </c>
      <c r="B16" s="76">
        <v>3</v>
      </c>
      <c r="C16" s="77">
        <v>1</v>
      </c>
      <c r="E16" s="76">
        <v>0</v>
      </c>
      <c r="F16" s="77">
        <v>0</v>
      </c>
      <c r="H16" s="76">
        <v>4</v>
      </c>
      <c r="I16" s="77">
        <v>0</v>
      </c>
      <c r="K16" s="76">
        <v>0</v>
      </c>
      <c r="L16" s="77">
        <v>0</v>
      </c>
      <c r="N16" s="76">
        <v>6</v>
      </c>
      <c r="O16" s="77">
        <v>0</v>
      </c>
      <c r="Q16" s="76">
        <v>0</v>
      </c>
      <c r="R16" s="77">
        <v>0</v>
      </c>
    </row>
    <row r="17" spans="1:18" ht="15.75" customHeight="1">
      <c r="A17" s="25">
        <f t="shared" si="0"/>
        <v>0.31249999999999994</v>
      </c>
      <c r="B17" s="76">
        <v>0</v>
      </c>
      <c r="C17" s="77">
        <v>0</v>
      </c>
      <c r="E17" s="76">
        <v>5</v>
      </c>
      <c r="F17" s="77">
        <v>0</v>
      </c>
      <c r="H17" s="76">
        <v>0</v>
      </c>
      <c r="I17" s="77">
        <v>0</v>
      </c>
      <c r="K17" s="76">
        <v>3</v>
      </c>
      <c r="L17" s="77">
        <v>0</v>
      </c>
      <c r="N17" s="76">
        <v>0</v>
      </c>
      <c r="O17" s="77">
        <v>0</v>
      </c>
      <c r="Q17" s="76">
        <v>6</v>
      </c>
      <c r="R17" s="77">
        <v>0</v>
      </c>
    </row>
    <row r="18" spans="1:18" ht="15.75" customHeight="1">
      <c r="A18" s="25">
        <f t="shared" si="0"/>
        <v>0.31597222222222215</v>
      </c>
      <c r="B18" s="76">
        <v>6</v>
      </c>
      <c r="C18" s="77">
        <v>0</v>
      </c>
      <c r="E18" s="76">
        <v>6</v>
      </c>
      <c r="F18" s="77">
        <v>0</v>
      </c>
      <c r="H18" s="76">
        <v>4</v>
      </c>
      <c r="I18" s="77">
        <v>0</v>
      </c>
      <c r="K18" s="76">
        <v>4</v>
      </c>
      <c r="L18" s="77">
        <v>0</v>
      </c>
      <c r="N18" s="76">
        <v>6</v>
      </c>
      <c r="O18" s="77">
        <v>0</v>
      </c>
      <c r="Q18" s="76">
        <v>6</v>
      </c>
      <c r="R18" s="77">
        <v>0</v>
      </c>
    </row>
    <row r="19" spans="1:18" ht="15.75" customHeight="1">
      <c r="A19" s="25">
        <f t="shared" si="0"/>
        <v>0.31944444444444436</v>
      </c>
      <c r="B19" s="76">
        <v>0</v>
      </c>
      <c r="C19" s="77">
        <v>0</v>
      </c>
      <c r="E19" s="76">
        <v>6</v>
      </c>
      <c r="F19" s="77">
        <v>0</v>
      </c>
      <c r="H19" s="76">
        <v>4</v>
      </c>
      <c r="I19" s="77">
        <v>0</v>
      </c>
      <c r="K19" s="76">
        <v>5</v>
      </c>
      <c r="L19" s="77">
        <v>0</v>
      </c>
      <c r="N19" s="76">
        <v>6</v>
      </c>
      <c r="O19" s="77">
        <v>0</v>
      </c>
      <c r="Q19" s="76">
        <v>6</v>
      </c>
      <c r="R19" s="77">
        <v>0</v>
      </c>
    </row>
    <row r="20" spans="1:18" ht="15.75" customHeight="1">
      <c r="A20" s="25">
        <f t="shared" si="0"/>
        <v>0.32291666666666657</v>
      </c>
      <c r="B20" s="76">
        <v>7</v>
      </c>
      <c r="C20" s="77">
        <v>0</v>
      </c>
      <c r="E20" s="76">
        <v>6</v>
      </c>
      <c r="F20" s="77">
        <v>0</v>
      </c>
      <c r="H20" s="76">
        <v>4</v>
      </c>
      <c r="I20" s="77">
        <v>0</v>
      </c>
      <c r="K20" s="76">
        <v>4</v>
      </c>
      <c r="L20" s="77">
        <v>0</v>
      </c>
      <c r="N20" s="76">
        <v>6</v>
      </c>
      <c r="O20" s="77">
        <v>0</v>
      </c>
      <c r="Q20" s="76">
        <v>6</v>
      </c>
      <c r="R20" s="77">
        <v>0</v>
      </c>
    </row>
    <row r="21" spans="1:18" ht="15.75" customHeight="1">
      <c r="A21" s="25">
        <f t="shared" si="0"/>
        <v>0.32638888888888878</v>
      </c>
      <c r="B21" s="76">
        <v>7</v>
      </c>
      <c r="C21" s="77">
        <v>0</v>
      </c>
      <c r="E21" s="76">
        <v>6</v>
      </c>
      <c r="F21" s="77">
        <v>0</v>
      </c>
      <c r="H21" s="76">
        <v>4</v>
      </c>
      <c r="I21" s="77">
        <v>0</v>
      </c>
      <c r="K21" s="76">
        <v>4</v>
      </c>
      <c r="L21" s="77">
        <v>0</v>
      </c>
      <c r="N21" s="76">
        <v>6</v>
      </c>
      <c r="O21" s="77">
        <v>0</v>
      </c>
      <c r="Q21" s="76">
        <v>6</v>
      </c>
      <c r="R21" s="77">
        <v>0</v>
      </c>
    </row>
    <row r="22" spans="1:18" ht="15.75" customHeight="1">
      <c r="A22" s="25">
        <f t="shared" si="0"/>
        <v>0.32986111111111099</v>
      </c>
      <c r="B22" s="76">
        <v>7</v>
      </c>
      <c r="C22" s="77">
        <v>0</v>
      </c>
      <c r="E22" s="76">
        <v>6</v>
      </c>
      <c r="F22" s="77">
        <v>0</v>
      </c>
      <c r="H22" s="76">
        <v>4</v>
      </c>
      <c r="I22" s="77">
        <v>0</v>
      </c>
      <c r="K22" s="76">
        <v>4</v>
      </c>
      <c r="L22" s="77">
        <v>0</v>
      </c>
      <c r="N22" s="76">
        <v>6</v>
      </c>
      <c r="O22" s="77">
        <v>0</v>
      </c>
      <c r="Q22" s="76">
        <v>6</v>
      </c>
      <c r="R22" s="77">
        <v>0</v>
      </c>
    </row>
    <row r="23" spans="1:18" ht="15.75" customHeight="1">
      <c r="A23" s="25">
        <f t="shared" si="0"/>
        <v>0.3333333333333332</v>
      </c>
      <c r="B23" s="76">
        <v>3</v>
      </c>
      <c r="C23" s="77">
        <v>2</v>
      </c>
      <c r="E23" s="76">
        <v>6</v>
      </c>
      <c r="F23" s="77">
        <v>0</v>
      </c>
      <c r="H23" s="76">
        <v>4</v>
      </c>
      <c r="I23" s="77">
        <v>0</v>
      </c>
      <c r="K23" s="76">
        <v>4</v>
      </c>
      <c r="L23" s="77">
        <v>0</v>
      </c>
      <c r="N23" s="76">
        <v>6</v>
      </c>
      <c r="O23" s="77">
        <v>0</v>
      </c>
      <c r="Q23" s="76">
        <v>6</v>
      </c>
      <c r="R23" s="77">
        <v>0</v>
      </c>
    </row>
    <row r="24" spans="1:18" ht="15.75" customHeight="1">
      <c r="A24" s="25">
        <f t="shared" si="0"/>
        <v>0.33680555555555541</v>
      </c>
      <c r="B24" s="76">
        <v>7</v>
      </c>
      <c r="C24" s="77">
        <v>0</v>
      </c>
      <c r="E24" s="76">
        <v>6</v>
      </c>
      <c r="F24" s="77">
        <v>0</v>
      </c>
      <c r="H24" s="76">
        <v>4</v>
      </c>
      <c r="I24" s="77">
        <v>0</v>
      </c>
      <c r="K24" s="76">
        <v>4</v>
      </c>
      <c r="L24" s="77">
        <v>0</v>
      </c>
      <c r="N24" s="76">
        <v>6</v>
      </c>
      <c r="O24" s="77">
        <v>0</v>
      </c>
      <c r="Q24" s="76">
        <v>6</v>
      </c>
      <c r="R24" s="77">
        <v>0</v>
      </c>
    </row>
    <row r="25" spans="1:18" ht="15.75" customHeight="1">
      <c r="A25" s="25">
        <f t="shared" si="0"/>
        <v>0.34027777777777762</v>
      </c>
      <c r="B25" s="76">
        <v>0</v>
      </c>
      <c r="C25" s="77">
        <v>0</v>
      </c>
      <c r="E25" s="76">
        <v>7</v>
      </c>
      <c r="F25" s="77">
        <v>0</v>
      </c>
      <c r="H25" s="76">
        <v>2</v>
      </c>
      <c r="I25" s="77">
        <v>0</v>
      </c>
      <c r="K25" s="76">
        <v>4</v>
      </c>
      <c r="L25" s="77">
        <v>0</v>
      </c>
      <c r="N25" s="76">
        <v>0</v>
      </c>
      <c r="O25" s="77">
        <v>0</v>
      </c>
      <c r="Q25" s="76">
        <v>6</v>
      </c>
      <c r="R25" s="77">
        <v>0</v>
      </c>
    </row>
    <row r="26" spans="1:18" ht="15.75" customHeight="1">
      <c r="A26" s="25">
        <f t="shared" si="0"/>
        <v>0.34374999999999983</v>
      </c>
      <c r="B26" s="76">
        <v>3</v>
      </c>
      <c r="C26" s="77">
        <v>0</v>
      </c>
      <c r="E26" s="76">
        <v>7</v>
      </c>
      <c r="F26" s="77">
        <v>0</v>
      </c>
      <c r="H26" s="76">
        <v>0</v>
      </c>
      <c r="I26" s="77">
        <v>4</v>
      </c>
      <c r="K26" s="76">
        <v>4</v>
      </c>
      <c r="L26" s="77">
        <v>0</v>
      </c>
      <c r="N26" s="76">
        <v>6</v>
      </c>
      <c r="O26" s="77">
        <v>0</v>
      </c>
      <c r="Q26" s="76">
        <v>6</v>
      </c>
      <c r="R26" s="77">
        <v>0</v>
      </c>
    </row>
    <row r="27" spans="1:18" ht="15.75" customHeight="1">
      <c r="A27" s="25">
        <f t="shared" si="0"/>
        <v>0.34722222222222204</v>
      </c>
      <c r="B27" s="76">
        <v>3</v>
      </c>
      <c r="C27" s="77">
        <v>2</v>
      </c>
      <c r="E27" s="76">
        <v>7</v>
      </c>
      <c r="F27" s="77">
        <v>0</v>
      </c>
      <c r="H27" s="76">
        <v>2</v>
      </c>
      <c r="I27" s="77">
        <v>1</v>
      </c>
      <c r="K27" s="76">
        <v>4</v>
      </c>
      <c r="L27" s="77">
        <v>0</v>
      </c>
      <c r="N27" s="76">
        <v>6</v>
      </c>
      <c r="O27" s="77">
        <v>0</v>
      </c>
      <c r="Q27" s="76">
        <v>6</v>
      </c>
      <c r="R27" s="77">
        <v>0</v>
      </c>
    </row>
    <row r="28" spans="1:18" ht="15.75" customHeight="1">
      <c r="A28" s="25">
        <f t="shared" si="0"/>
        <v>0.35069444444444425</v>
      </c>
      <c r="B28" s="76">
        <v>7</v>
      </c>
      <c r="C28" s="77">
        <v>0</v>
      </c>
      <c r="E28" s="76">
        <v>7</v>
      </c>
      <c r="F28" s="77">
        <v>0</v>
      </c>
      <c r="H28" s="76">
        <v>4</v>
      </c>
      <c r="I28" s="77">
        <v>0</v>
      </c>
      <c r="K28" s="76">
        <v>5</v>
      </c>
      <c r="L28" s="77">
        <v>0</v>
      </c>
      <c r="N28" s="76">
        <v>6</v>
      </c>
      <c r="O28" s="77">
        <v>0</v>
      </c>
      <c r="Q28" s="76">
        <v>6</v>
      </c>
      <c r="R28" s="77">
        <v>0</v>
      </c>
    </row>
    <row r="29" spans="1:18" ht="15.75" customHeight="1">
      <c r="A29" s="25">
        <f t="shared" si="0"/>
        <v>0.35416666666666646</v>
      </c>
      <c r="B29" s="76">
        <v>6</v>
      </c>
      <c r="C29" s="77">
        <v>0</v>
      </c>
      <c r="E29" s="76">
        <v>7</v>
      </c>
      <c r="F29" s="77">
        <v>0</v>
      </c>
      <c r="H29" s="76">
        <v>4</v>
      </c>
      <c r="I29" s="77">
        <v>0</v>
      </c>
      <c r="K29" s="76">
        <v>4</v>
      </c>
      <c r="L29" s="77">
        <v>0</v>
      </c>
      <c r="N29" s="76">
        <v>6</v>
      </c>
      <c r="O29" s="77">
        <v>0</v>
      </c>
      <c r="Q29" s="76">
        <v>6</v>
      </c>
      <c r="R29" s="77">
        <v>0</v>
      </c>
    </row>
    <row r="30" spans="1:18" ht="15.75" customHeight="1">
      <c r="A30" s="25">
        <f t="shared" si="0"/>
        <v>0.35763888888888867</v>
      </c>
      <c r="B30" s="76">
        <v>6</v>
      </c>
      <c r="C30" s="77">
        <v>0</v>
      </c>
      <c r="E30" s="76">
        <v>7</v>
      </c>
      <c r="F30" s="77">
        <v>0</v>
      </c>
      <c r="H30" s="76">
        <v>4</v>
      </c>
      <c r="I30" s="77">
        <v>0</v>
      </c>
      <c r="K30" s="76">
        <v>4</v>
      </c>
      <c r="L30" s="77">
        <v>0</v>
      </c>
      <c r="N30" s="76">
        <v>6</v>
      </c>
      <c r="O30" s="77">
        <v>0</v>
      </c>
      <c r="Q30" s="76">
        <v>6</v>
      </c>
      <c r="R30" s="77">
        <v>0</v>
      </c>
    </row>
    <row r="31" spans="1:18" ht="15.75" customHeight="1">
      <c r="A31" s="25">
        <f t="shared" si="0"/>
        <v>0.36111111111111088</v>
      </c>
      <c r="B31" s="76">
        <v>7</v>
      </c>
      <c r="C31" s="77">
        <v>0</v>
      </c>
      <c r="E31" s="76">
        <v>6</v>
      </c>
      <c r="F31" s="77">
        <v>0</v>
      </c>
      <c r="H31" s="76">
        <v>4</v>
      </c>
      <c r="I31" s="77">
        <v>0</v>
      </c>
      <c r="K31" s="76">
        <v>4</v>
      </c>
      <c r="L31" s="77">
        <v>0</v>
      </c>
      <c r="N31" s="76">
        <v>6</v>
      </c>
      <c r="O31" s="77">
        <v>0</v>
      </c>
      <c r="Q31" s="76">
        <v>6</v>
      </c>
      <c r="R31" s="77">
        <v>0</v>
      </c>
    </row>
    <row r="32" spans="1:18" ht="15.75" customHeight="1">
      <c r="A32" s="25">
        <f t="shared" si="0"/>
        <v>0.36458333333333309</v>
      </c>
      <c r="B32" s="76">
        <v>6</v>
      </c>
      <c r="C32" s="77">
        <v>0</v>
      </c>
      <c r="E32" s="76">
        <v>6</v>
      </c>
      <c r="F32" s="77">
        <v>0</v>
      </c>
      <c r="H32" s="76">
        <v>4</v>
      </c>
      <c r="I32" s="77">
        <v>0</v>
      </c>
      <c r="K32" s="76">
        <v>4</v>
      </c>
      <c r="L32" s="77">
        <v>0</v>
      </c>
      <c r="N32" s="76">
        <v>6</v>
      </c>
      <c r="O32" s="77">
        <v>0</v>
      </c>
      <c r="Q32" s="76">
        <v>6</v>
      </c>
      <c r="R32" s="77">
        <v>0</v>
      </c>
    </row>
    <row r="33" spans="1:18" ht="15.75" customHeight="1">
      <c r="A33" s="25">
        <f t="shared" si="0"/>
        <v>0.3680555555555553</v>
      </c>
      <c r="B33" s="76">
        <v>6</v>
      </c>
      <c r="C33" s="77">
        <v>0</v>
      </c>
      <c r="E33" s="76">
        <v>6</v>
      </c>
      <c r="F33" s="77">
        <v>0</v>
      </c>
      <c r="H33" s="76">
        <v>4</v>
      </c>
      <c r="I33" s="77">
        <v>0</v>
      </c>
      <c r="K33" s="76">
        <v>4</v>
      </c>
      <c r="L33" s="77">
        <v>0</v>
      </c>
      <c r="N33" s="76">
        <v>6</v>
      </c>
      <c r="O33" s="77">
        <v>0</v>
      </c>
      <c r="Q33" s="76">
        <v>6</v>
      </c>
      <c r="R33" s="77">
        <v>0</v>
      </c>
    </row>
    <row r="34" spans="1:18" ht="15.75" customHeight="1">
      <c r="A34" s="25">
        <f t="shared" si="0"/>
        <v>0.37152777777777751</v>
      </c>
      <c r="B34" s="76">
        <v>7</v>
      </c>
      <c r="C34" s="77">
        <v>0</v>
      </c>
      <c r="E34" s="76">
        <v>6</v>
      </c>
      <c r="F34" s="77">
        <v>0</v>
      </c>
      <c r="H34" s="76">
        <v>4</v>
      </c>
      <c r="I34" s="77">
        <v>0</v>
      </c>
      <c r="K34" s="76">
        <v>4</v>
      </c>
      <c r="L34" s="77">
        <v>0</v>
      </c>
      <c r="N34" s="76">
        <v>6</v>
      </c>
      <c r="O34" s="77">
        <v>0</v>
      </c>
      <c r="Q34" s="76">
        <v>6</v>
      </c>
      <c r="R34" s="77">
        <v>0</v>
      </c>
    </row>
    <row r="35" spans="1:18" ht="15.75" customHeight="1">
      <c r="A35" s="25">
        <f t="shared" si="0"/>
        <v>0.37499999999999972</v>
      </c>
      <c r="B35" s="76">
        <v>7</v>
      </c>
      <c r="C35" s="77">
        <v>0</v>
      </c>
      <c r="E35" s="76">
        <v>6</v>
      </c>
      <c r="F35" s="77">
        <v>0</v>
      </c>
      <c r="H35" s="76">
        <v>4</v>
      </c>
      <c r="I35" s="77">
        <v>0</v>
      </c>
      <c r="K35" s="76">
        <v>4</v>
      </c>
      <c r="L35" s="77">
        <v>0</v>
      </c>
      <c r="N35" s="76">
        <v>6</v>
      </c>
      <c r="O35" s="77">
        <v>0</v>
      </c>
      <c r="Q35" s="76">
        <v>6</v>
      </c>
      <c r="R35" s="77">
        <v>0</v>
      </c>
    </row>
    <row r="36" spans="1:18" ht="15.75" customHeight="1">
      <c r="A36" s="25">
        <f t="shared" si="0"/>
        <v>0.37847222222222193</v>
      </c>
      <c r="B36" s="76">
        <v>6</v>
      </c>
      <c r="C36" s="77">
        <v>0</v>
      </c>
      <c r="E36" s="76">
        <v>6</v>
      </c>
      <c r="F36" s="77">
        <v>0</v>
      </c>
      <c r="H36" s="76">
        <v>4</v>
      </c>
      <c r="I36" s="77">
        <v>0</v>
      </c>
      <c r="K36" s="76">
        <v>4</v>
      </c>
      <c r="L36" s="77">
        <v>0</v>
      </c>
      <c r="N36" s="76">
        <v>6</v>
      </c>
      <c r="O36" s="77">
        <v>0</v>
      </c>
      <c r="Q36" s="76">
        <v>5</v>
      </c>
      <c r="R36" s="77">
        <v>0</v>
      </c>
    </row>
    <row r="37" spans="1:18" ht="15.75" customHeight="1">
      <c r="A37" s="25">
        <f t="shared" si="0"/>
        <v>0.38194444444444414</v>
      </c>
      <c r="B37" s="76">
        <v>0</v>
      </c>
      <c r="C37" s="77">
        <v>0</v>
      </c>
      <c r="E37" s="76">
        <v>4</v>
      </c>
      <c r="F37" s="77">
        <v>0</v>
      </c>
      <c r="H37" s="76">
        <v>0</v>
      </c>
      <c r="I37" s="77">
        <v>0</v>
      </c>
      <c r="K37" s="76">
        <v>0</v>
      </c>
      <c r="L37" s="77">
        <v>0</v>
      </c>
      <c r="N37" s="76">
        <v>3</v>
      </c>
      <c r="O37" s="77">
        <v>3</v>
      </c>
      <c r="Q37" s="76">
        <v>0</v>
      </c>
      <c r="R37" s="77">
        <v>0</v>
      </c>
    </row>
    <row r="38" spans="1:18" ht="15.75" customHeight="1">
      <c r="A38" s="25">
        <f t="shared" si="0"/>
        <v>0.38541666666666635</v>
      </c>
      <c r="B38" s="76">
        <v>0</v>
      </c>
      <c r="C38" s="77">
        <v>0</v>
      </c>
      <c r="E38" s="76">
        <v>0</v>
      </c>
      <c r="F38" s="77">
        <v>0</v>
      </c>
      <c r="H38" s="76">
        <v>2</v>
      </c>
      <c r="I38" s="77">
        <v>0</v>
      </c>
      <c r="K38" s="76">
        <v>0</v>
      </c>
      <c r="L38" s="77">
        <v>0</v>
      </c>
      <c r="N38" s="76">
        <v>3</v>
      </c>
      <c r="O38" s="77">
        <v>3</v>
      </c>
      <c r="Q38" s="76">
        <v>0</v>
      </c>
      <c r="R38" s="77">
        <v>0</v>
      </c>
    </row>
    <row r="39" spans="1:18" ht="15.75" customHeight="1">
      <c r="A39" s="25">
        <f t="shared" si="0"/>
        <v>0.38888888888888856</v>
      </c>
      <c r="B39" s="76">
        <v>0</v>
      </c>
      <c r="C39" s="77">
        <v>0</v>
      </c>
      <c r="E39" s="76">
        <v>4</v>
      </c>
      <c r="F39" s="77">
        <v>2</v>
      </c>
      <c r="H39" s="76">
        <v>0</v>
      </c>
      <c r="I39" s="77">
        <v>0</v>
      </c>
      <c r="K39" s="76">
        <v>0</v>
      </c>
      <c r="L39" s="77">
        <v>0</v>
      </c>
      <c r="N39" s="76">
        <v>6</v>
      </c>
      <c r="O39" s="77">
        <v>0</v>
      </c>
      <c r="Q39" s="76">
        <v>0</v>
      </c>
      <c r="R39" s="77">
        <v>0</v>
      </c>
    </row>
    <row r="40" spans="1:18" ht="15.75" customHeight="1">
      <c r="A40" s="25">
        <f t="shared" si="0"/>
        <v>0.39236111111111077</v>
      </c>
      <c r="B40" s="76">
        <v>0</v>
      </c>
      <c r="C40" s="77">
        <v>0</v>
      </c>
      <c r="E40" s="76">
        <v>2</v>
      </c>
      <c r="F40" s="77">
        <v>0</v>
      </c>
      <c r="H40" s="76">
        <v>0</v>
      </c>
      <c r="I40" s="77">
        <v>0</v>
      </c>
      <c r="K40" s="76">
        <v>0</v>
      </c>
      <c r="L40" s="77">
        <v>0</v>
      </c>
      <c r="N40" s="76">
        <v>0</v>
      </c>
      <c r="O40" s="77">
        <v>0</v>
      </c>
      <c r="Q40" s="76">
        <v>0</v>
      </c>
      <c r="R40" s="77">
        <v>0</v>
      </c>
    </row>
    <row r="41" spans="1:18" ht="15.75" customHeight="1">
      <c r="A41" s="25">
        <f t="shared" si="0"/>
        <v>0.39583333333333298</v>
      </c>
      <c r="B41" s="76">
        <v>0</v>
      </c>
      <c r="C41" s="77">
        <v>0</v>
      </c>
      <c r="E41" s="76">
        <v>0</v>
      </c>
      <c r="F41" s="77">
        <v>0</v>
      </c>
      <c r="H41" s="76">
        <v>4</v>
      </c>
      <c r="I41" s="77">
        <v>0</v>
      </c>
      <c r="K41" s="76">
        <v>0</v>
      </c>
      <c r="L41" s="77">
        <v>0</v>
      </c>
      <c r="N41" s="76">
        <v>6</v>
      </c>
      <c r="O41" s="77">
        <v>0</v>
      </c>
      <c r="Q41" s="76">
        <v>0</v>
      </c>
      <c r="R41" s="77">
        <v>0</v>
      </c>
    </row>
    <row r="42" spans="1:18" ht="15.75" customHeight="1">
      <c r="A42" s="25">
        <f t="shared" si="0"/>
        <v>0.39930555555555519</v>
      </c>
      <c r="B42" s="76">
        <v>5</v>
      </c>
      <c r="C42" s="77">
        <v>0</v>
      </c>
      <c r="E42" s="76">
        <v>1</v>
      </c>
      <c r="F42" s="77">
        <v>0</v>
      </c>
      <c r="H42" s="76">
        <v>4</v>
      </c>
      <c r="I42" s="77">
        <v>0</v>
      </c>
      <c r="K42" s="76">
        <v>0</v>
      </c>
      <c r="L42" s="77">
        <v>0</v>
      </c>
      <c r="N42" s="76">
        <v>6</v>
      </c>
      <c r="O42" s="77">
        <v>0</v>
      </c>
      <c r="Q42" s="76">
        <v>0</v>
      </c>
      <c r="R42" s="77">
        <v>0</v>
      </c>
    </row>
    <row r="43" spans="1:18" ht="15.75" customHeight="1">
      <c r="A43" s="25">
        <f t="shared" si="0"/>
        <v>0.4027777777777774</v>
      </c>
      <c r="B43" s="76">
        <v>6</v>
      </c>
      <c r="C43" s="77">
        <v>0</v>
      </c>
      <c r="E43" s="76">
        <v>0</v>
      </c>
      <c r="F43" s="77">
        <v>0</v>
      </c>
      <c r="H43" s="76">
        <v>4</v>
      </c>
      <c r="I43" s="77">
        <v>0</v>
      </c>
      <c r="K43" s="76">
        <v>0</v>
      </c>
      <c r="L43" s="77">
        <v>0</v>
      </c>
      <c r="N43" s="76">
        <v>6</v>
      </c>
      <c r="O43" s="77">
        <v>0</v>
      </c>
      <c r="Q43" s="76">
        <v>0</v>
      </c>
      <c r="R43" s="77">
        <v>0</v>
      </c>
    </row>
    <row r="44" spans="1:18" ht="15.75" customHeight="1">
      <c r="A44" s="25">
        <f t="shared" si="0"/>
        <v>0.40624999999999961</v>
      </c>
      <c r="B44" s="76">
        <v>4</v>
      </c>
      <c r="C44" s="77">
        <v>0</v>
      </c>
      <c r="E44" s="76">
        <v>1</v>
      </c>
      <c r="F44" s="77">
        <v>0</v>
      </c>
      <c r="H44" s="76">
        <v>4</v>
      </c>
      <c r="I44" s="77">
        <v>0</v>
      </c>
      <c r="K44" s="76">
        <v>0</v>
      </c>
      <c r="L44" s="77">
        <v>0</v>
      </c>
      <c r="N44" s="76">
        <v>6</v>
      </c>
      <c r="O44" s="77">
        <v>0</v>
      </c>
      <c r="Q44" s="76">
        <v>0</v>
      </c>
      <c r="R44" s="77">
        <v>0</v>
      </c>
    </row>
    <row r="45" spans="1:18" ht="15.75" customHeight="1">
      <c r="A45" s="25">
        <f t="shared" si="0"/>
        <v>0.40972222222222182</v>
      </c>
      <c r="B45" s="76">
        <v>0</v>
      </c>
      <c r="C45" s="77">
        <v>0</v>
      </c>
      <c r="E45" s="76">
        <v>3</v>
      </c>
      <c r="F45" s="77">
        <v>0</v>
      </c>
      <c r="H45" s="76">
        <v>0</v>
      </c>
      <c r="I45" s="77">
        <v>0</v>
      </c>
      <c r="K45" s="76">
        <v>0</v>
      </c>
      <c r="L45" s="77">
        <v>0</v>
      </c>
      <c r="N45" s="76">
        <v>3</v>
      </c>
      <c r="O45" s="77">
        <v>2</v>
      </c>
      <c r="Q45" s="76">
        <v>0</v>
      </c>
      <c r="R45" s="77">
        <v>0</v>
      </c>
    </row>
    <row r="46" spans="1:18" ht="15.75" customHeight="1">
      <c r="A46" s="25">
        <f t="shared" si="0"/>
        <v>0.41319444444444403</v>
      </c>
      <c r="B46" s="76">
        <v>0</v>
      </c>
      <c r="C46" s="77">
        <v>0</v>
      </c>
      <c r="E46" s="76">
        <v>1</v>
      </c>
      <c r="F46" s="77">
        <v>0</v>
      </c>
      <c r="H46" s="76">
        <v>0</v>
      </c>
      <c r="I46" s="77">
        <v>0</v>
      </c>
      <c r="K46" s="76">
        <v>0</v>
      </c>
      <c r="L46" s="77">
        <v>0</v>
      </c>
      <c r="N46" s="76">
        <v>0</v>
      </c>
      <c r="O46" s="77">
        <v>0</v>
      </c>
      <c r="Q46" s="76">
        <v>0</v>
      </c>
      <c r="R46" s="77">
        <v>0</v>
      </c>
    </row>
    <row r="47" spans="1:18" ht="15.75" customHeight="1">
      <c r="A47" s="25">
        <f t="shared" si="0"/>
        <v>0.41666666666666624</v>
      </c>
      <c r="B47" s="76">
        <v>0</v>
      </c>
      <c r="C47" s="77">
        <v>0</v>
      </c>
      <c r="E47" s="76">
        <v>1</v>
      </c>
      <c r="F47" s="77">
        <v>0</v>
      </c>
      <c r="H47" s="76">
        <v>0</v>
      </c>
      <c r="I47" s="77">
        <v>0</v>
      </c>
      <c r="K47" s="76">
        <v>0</v>
      </c>
      <c r="L47" s="77">
        <v>0</v>
      </c>
      <c r="N47" s="76">
        <v>0</v>
      </c>
      <c r="O47" s="77">
        <v>0</v>
      </c>
      <c r="Q47" s="76">
        <v>0</v>
      </c>
      <c r="R47" s="77">
        <v>0</v>
      </c>
    </row>
    <row r="48" spans="1:18" ht="15.75" customHeight="1">
      <c r="A48" s="25">
        <f t="shared" si="0"/>
        <v>0.42013888888888845</v>
      </c>
      <c r="B48" s="76">
        <v>0</v>
      </c>
      <c r="C48" s="77">
        <v>0</v>
      </c>
      <c r="E48" s="76">
        <v>5</v>
      </c>
      <c r="F48" s="77">
        <v>0</v>
      </c>
      <c r="H48" s="76">
        <v>3</v>
      </c>
      <c r="I48" s="77">
        <v>0</v>
      </c>
      <c r="K48" s="76">
        <v>0</v>
      </c>
      <c r="L48" s="77">
        <v>0</v>
      </c>
      <c r="N48" s="76">
        <v>6</v>
      </c>
      <c r="O48" s="77">
        <v>0</v>
      </c>
      <c r="Q48" s="76">
        <v>0</v>
      </c>
      <c r="R48" s="77">
        <v>0</v>
      </c>
    </row>
    <row r="49" spans="1:18" ht="15.75" customHeight="1">
      <c r="A49" s="25">
        <f t="shared" si="0"/>
        <v>0.42361111111111066</v>
      </c>
      <c r="B49" s="76">
        <v>1</v>
      </c>
      <c r="C49" s="77">
        <v>0</v>
      </c>
      <c r="E49" s="76">
        <v>0</v>
      </c>
      <c r="F49" s="77">
        <v>0</v>
      </c>
      <c r="H49" s="76">
        <v>2</v>
      </c>
      <c r="I49" s="77">
        <v>0</v>
      </c>
      <c r="K49" s="76">
        <v>0</v>
      </c>
      <c r="L49" s="77">
        <v>0</v>
      </c>
      <c r="N49" s="76">
        <v>0</v>
      </c>
      <c r="O49" s="77">
        <v>0</v>
      </c>
      <c r="Q49" s="76">
        <v>0</v>
      </c>
      <c r="R49" s="77">
        <v>0</v>
      </c>
    </row>
    <row r="50" spans="1:18" ht="15.75" customHeight="1">
      <c r="A50" s="25">
        <f t="shared" si="0"/>
        <v>0.42708333333333287</v>
      </c>
      <c r="B50" s="76">
        <v>6</v>
      </c>
      <c r="C50" s="77">
        <v>0</v>
      </c>
      <c r="E50" s="76">
        <v>0</v>
      </c>
      <c r="F50" s="77">
        <v>0</v>
      </c>
      <c r="H50" s="76">
        <v>5</v>
      </c>
      <c r="I50" s="77">
        <v>0</v>
      </c>
      <c r="K50" s="76">
        <v>0</v>
      </c>
      <c r="L50" s="77">
        <v>0</v>
      </c>
      <c r="N50" s="76">
        <v>6</v>
      </c>
      <c r="O50" s="77">
        <v>0</v>
      </c>
      <c r="Q50" s="76">
        <v>0</v>
      </c>
      <c r="R50" s="77">
        <v>0</v>
      </c>
    </row>
    <row r="51" spans="1:18" ht="15.75" customHeight="1">
      <c r="A51" s="25">
        <f t="shared" si="0"/>
        <v>0.43055555555555508</v>
      </c>
      <c r="B51" s="76">
        <v>4</v>
      </c>
      <c r="C51" s="77">
        <v>1</v>
      </c>
      <c r="E51" s="76">
        <v>0</v>
      </c>
      <c r="F51" s="77">
        <v>0</v>
      </c>
      <c r="H51" s="76">
        <v>0</v>
      </c>
      <c r="I51" s="77">
        <v>0</v>
      </c>
      <c r="K51" s="76">
        <v>0</v>
      </c>
      <c r="L51" s="77">
        <v>0</v>
      </c>
      <c r="N51" s="76">
        <v>6</v>
      </c>
      <c r="O51" s="77">
        <v>0</v>
      </c>
      <c r="Q51" s="76">
        <v>0</v>
      </c>
      <c r="R51" s="77">
        <v>0</v>
      </c>
    </row>
    <row r="52" spans="1:18" ht="15.75" customHeight="1">
      <c r="A52" s="25">
        <f t="shared" si="0"/>
        <v>0.43402777777777729</v>
      </c>
      <c r="B52" s="76">
        <v>6</v>
      </c>
      <c r="C52" s="77">
        <v>0</v>
      </c>
      <c r="E52" s="76">
        <v>1</v>
      </c>
      <c r="F52" s="77">
        <v>0</v>
      </c>
      <c r="H52" s="76">
        <v>4</v>
      </c>
      <c r="I52" s="77">
        <v>0</v>
      </c>
      <c r="K52" s="76">
        <v>2</v>
      </c>
      <c r="L52" s="77">
        <v>1</v>
      </c>
      <c r="N52" s="76">
        <v>6</v>
      </c>
      <c r="O52" s="77">
        <v>0</v>
      </c>
      <c r="Q52" s="76">
        <v>2</v>
      </c>
      <c r="R52" s="77">
        <v>3</v>
      </c>
    </row>
    <row r="53" spans="1:18" ht="15.75" customHeight="1">
      <c r="A53" s="25">
        <f t="shared" si="0"/>
        <v>0.4374999999999995</v>
      </c>
      <c r="B53" s="76">
        <v>6</v>
      </c>
      <c r="C53" s="77">
        <v>0</v>
      </c>
      <c r="E53" s="76">
        <v>2</v>
      </c>
      <c r="F53" s="77">
        <v>0</v>
      </c>
      <c r="H53" s="76">
        <v>4</v>
      </c>
      <c r="I53" s="77">
        <v>0</v>
      </c>
      <c r="K53" s="76">
        <v>0</v>
      </c>
      <c r="L53" s="77">
        <v>0</v>
      </c>
      <c r="N53" s="76">
        <v>6</v>
      </c>
      <c r="O53" s="77">
        <v>0</v>
      </c>
      <c r="Q53" s="76">
        <v>0</v>
      </c>
      <c r="R53" s="77">
        <v>0</v>
      </c>
    </row>
    <row r="54" spans="1:18" ht="15.75" customHeight="1">
      <c r="A54" s="25">
        <f t="shared" si="0"/>
        <v>0.44097222222222171</v>
      </c>
      <c r="B54" s="76">
        <v>0</v>
      </c>
      <c r="C54" s="77">
        <v>0</v>
      </c>
      <c r="E54" s="76">
        <v>1</v>
      </c>
      <c r="F54" s="77">
        <v>0</v>
      </c>
      <c r="H54" s="76">
        <v>1</v>
      </c>
      <c r="I54" s="77">
        <v>0</v>
      </c>
      <c r="K54" s="76">
        <v>0</v>
      </c>
      <c r="L54" s="77">
        <v>0</v>
      </c>
      <c r="N54" s="76">
        <v>0</v>
      </c>
      <c r="O54" s="77">
        <v>0</v>
      </c>
      <c r="Q54" s="76">
        <v>1</v>
      </c>
      <c r="R54" s="77">
        <v>0</v>
      </c>
    </row>
    <row r="55" spans="1:18" ht="15.75" customHeight="1">
      <c r="A55" s="25">
        <f t="shared" si="0"/>
        <v>0.44444444444444392</v>
      </c>
      <c r="B55" s="76">
        <v>3</v>
      </c>
      <c r="C55" s="77">
        <v>1</v>
      </c>
      <c r="E55" s="76">
        <v>0</v>
      </c>
      <c r="F55" s="77">
        <v>0</v>
      </c>
      <c r="H55" s="76">
        <v>3</v>
      </c>
      <c r="I55" s="77">
        <v>0</v>
      </c>
      <c r="K55" s="76">
        <v>0</v>
      </c>
      <c r="L55" s="77">
        <v>0</v>
      </c>
      <c r="N55" s="76">
        <v>6</v>
      </c>
      <c r="O55" s="77">
        <v>0</v>
      </c>
      <c r="Q55" s="76">
        <v>0</v>
      </c>
      <c r="R55" s="77">
        <v>0</v>
      </c>
    </row>
    <row r="56" spans="1:18" ht="15.75" customHeight="1">
      <c r="A56" s="25">
        <f t="shared" si="0"/>
        <v>0.44791666666666613</v>
      </c>
      <c r="B56" s="76">
        <v>0</v>
      </c>
      <c r="C56" s="77">
        <v>0</v>
      </c>
      <c r="E56" s="76">
        <v>1</v>
      </c>
      <c r="F56" s="77">
        <v>3</v>
      </c>
      <c r="H56" s="76">
        <v>0</v>
      </c>
      <c r="I56" s="77">
        <v>0</v>
      </c>
      <c r="K56" s="76">
        <v>0</v>
      </c>
      <c r="L56" s="77">
        <v>0</v>
      </c>
      <c r="N56" s="76">
        <v>0</v>
      </c>
      <c r="O56" s="77">
        <v>0</v>
      </c>
      <c r="Q56" s="76">
        <v>0</v>
      </c>
      <c r="R56" s="77">
        <v>0</v>
      </c>
    </row>
    <row r="57" spans="1:18" ht="15.75" customHeight="1">
      <c r="A57" s="25">
        <f t="shared" si="0"/>
        <v>0.45138888888888834</v>
      </c>
      <c r="B57" s="76">
        <v>0</v>
      </c>
      <c r="C57" s="77">
        <v>0</v>
      </c>
      <c r="E57" s="76">
        <v>0</v>
      </c>
      <c r="F57" s="77">
        <v>0</v>
      </c>
      <c r="H57" s="76">
        <v>0</v>
      </c>
      <c r="I57" s="77">
        <v>0</v>
      </c>
      <c r="K57" s="76">
        <v>0</v>
      </c>
      <c r="L57" s="77">
        <v>0</v>
      </c>
      <c r="N57" s="76">
        <v>0</v>
      </c>
      <c r="O57" s="77">
        <v>0</v>
      </c>
      <c r="Q57" s="76">
        <v>0</v>
      </c>
      <c r="R57" s="77">
        <v>0</v>
      </c>
    </row>
    <row r="58" spans="1:18" ht="15.75" customHeight="1">
      <c r="A58" s="25">
        <f t="shared" si="0"/>
        <v>0.45486111111111055</v>
      </c>
      <c r="B58" s="76">
        <v>5</v>
      </c>
      <c r="C58" s="77">
        <v>1</v>
      </c>
      <c r="E58" s="76">
        <v>0</v>
      </c>
      <c r="F58" s="77">
        <v>0</v>
      </c>
      <c r="H58" s="76">
        <v>4</v>
      </c>
      <c r="I58" s="77">
        <v>0</v>
      </c>
      <c r="K58" s="76">
        <v>0</v>
      </c>
      <c r="L58" s="77">
        <v>0</v>
      </c>
      <c r="N58" s="76">
        <v>6</v>
      </c>
      <c r="O58" s="77">
        <v>0</v>
      </c>
      <c r="Q58" s="76">
        <v>0</v>
      </c>
      <c r="R58" s="77">
        <v>0</v>
      </c>
    </row>
    <row r="59" spans="1:18" ht="15.75" customHeight="1">
      <c r="A59" s="25">
        <f t="shared" si="0"/>
        <v>0.45833333333333276</v>
      </c>
      <c r="B59" s="76">
        <v>0</v>
      </c>
      <c r="C59" s="77">
        <v>0</v>
      </c>
      <c r="E59" s="76">
        <v>1</v>
      </c>
      <c r="F59" s="77">
        <v>0</v>
      </c>
      <c r="H59" s="76">
        <v>0</v>
      </c>
      <c r="I59" s="77">
        <v>1</v>
      </c>
      <c r="K59" s="76">
        <v>0</v>
      </c>
      <c r="L59" s="77">
        <v>0</v>
      </c>
      <c r="N59" s="76">
        <v>5</v>
      </c>
      <c r="O59" s="77">
        <v>1</v>
      </c>
      <c r="Q59" s="76">
        <v>0</v>
      </c>
      <c r="R59" s="77">
        <v>6</v>
      </c>
    </row>
    <row r="60" spans="1:18" ht="15.75" customHeight="1">
      <c r="A60" s="25">
        <f t="shared" si="0"/>
        <v>0.46180555555555497</v>
      </c>
      <c r="B60" s="76">
        <v>0</v>
      </c>
      <c r="C60" s="77">
        <v>0</v>
      </c>
      <c r="E60" s="76">
        <v>1</v>
      </c>
      <c r="F60" s="77">
        <v>0</v>
      </c>
      <c r="H60" s="76">
        <v>1</v>
      </c>
      <c r="I60" s="77">
        <v>1</v>
      </c>
      <c r="K60" s="76">
        <v>0</v>
      </c>
      <c r="L60" s="77">
        <v>0</v>
      </c>
      <c r="N60" s="76">
        <v>0</v>
      </c>
      <c r="O60" s="77">
        <v>0</v>
      </c>
      <c r="Q60" s="76">
        <v>0</v>
      </c>
      <c r="R60" s="77">
        <v>0</v>
      </c>
    </row>
    <row r="61" spans="1:18" ht="15.75" customHeight="1">
      <c r="A61" s="25">
        <f t="shared" si="0"/>
        <v>0.46527777777777718</v>
      </c>
      <c r="B61" s="76">
        <v>0</v>
      </c>
      <c r="C61" s="77">
        <v>0</v>
      </c>
      <c r="E61" s="76">
        <v>2</v>
      </c>
      <c r="F61" s="77">
        <v>0</v>
      </c>
      <c r="H61" s="76">
        <v>4</v>
      </c>
      <c r="I61" s="77">
        <v>0</v>
      </c>
      <c r="K61" s="76">
        <v>0</v>
      </c>
      <c r="L61" s="77">
        <v>0</v>
      </c>
      <c r="N61" s="76">
        <v>6</v>
      </c>
      <c r="O61" s="77">
        <v>0</v>
      </c>
      <c r="Q61" s="76">
        <v>0</v>
      </c>
      <c r="R61" s="77">
        <v>0</v>
      </c>
    </row>
    <row r="62" spans="1:18" ht="15.75" customHeight="1">
      <c r="A62" s="25">
        <f t="shared" si="0"/>
        <v>0.46874999999999939</v>
      </c>
      <c r="B62" s="76">
        <v>1</v>
      </c>
      <c r="C62" s="77">
        <v>1</v>
      </c>
      <c r="E62" s="76">
        <v>0</v>
      </c>
      <c r="F62" s="77">
        <v>0</v>
      </c>
      <c r="H62" s="76">
        <v>4</v>
      </c>
      <c r="I62" s="77">
        <v>0</v>
      </c>
      <c r="K62" s="76">
        <v>0</v>
      </c>
      <c r="L62" s="77">
        <v>0</v>
      </c>
      <c r="N62" s="76">
        <v>0</v>
      </c>
      <c r="O62" s="77">
        <v>0</v>
      </c>
      <c r="Q62" s="76">
        <v>0</v>
      </c>
      <c r="R62" s="77">
        <v>0</v>
      </c>
    </row>
    <row r="63" spans="1:18" ht="15.75" customHeight="1">
      <c r="A63" s="25">
        <f t="shared" si="0"/>
        <v>0.4722222222222216</v>
      </c>
      <c r="B63" s="76">
        <v>0</v>
      </c>
      <c r="C63" s="77">
        <v>0</v>
      </c>
      <c r="E63" s="76">
        <v>0</v>
      </c>
      <c r="F63" s="77">
        <v>0</v>
      </c>
      <c r="H63" s="76">
        <v>3</v>
      </c>
      <c r="I63" s="77">
        <v>0</v>
      </c>
      <c r="K63" s="76">
        <v>0</v>
      </c>
      <c r="L63" s="77">
        <v>0</v>
      </c>
      <c r="N63" s="76">
        <v>6</v>
      </c>
      <c r="O63" s="77">
        <v>0</v>
      </c>
      <c r="Q63" s="76">
        <v>0</v>
      </c>
      <c r="R63" s="77">
        <v>0</v>
      </c>
    </row>
    <row r="64" spans="1:18" ht="15.75" customHeight="1">
      <c r="A64" s="25">
        <f t="shared" si="0"/>
        <v>0.47569444444444381</v>
      </c>
      <c r="B64" s="76">
        <v>1</v>
      </c>
      <c r="C64" s="77">
        <v>0</v>
      </c>
      <c r="E64" s="76">
        <v>0</v>
      </c>
      <c r="F64" s="77">
        <v>0</v>
      </c>
      <c r="H64" s="76">
        <v>2</v>
      </c>
      <c r="I64" s="77">
        <v>0</v>
      </c>
      <c r="K64" s="76">
        <v>1</v>
      </c>
      <c r="L64" s="77">
        <v>1</v>
      </c>
      <c r="N64" s="76">
        <v>0</v>
      </c>
      <c r="O64" s="77">
        <v>0</v>
      </c>
      <c r="Q64" s="76">
        <v>1</v>
      </c>
      <c r="R64" s="77">
        <v>5</v>
      </c>
    </row>
    <row r="65" spans="1:18" ht="15.75" customHeight="1">
      <c r="A65" s="25">
        <f t="shared" si="0"/>
        <v>0.47916666666666602</v>
      </c>
      <c r="B65" s="76">
        <v>4</v>
      </c>
      <c r="C65" s="77">
        <v>0</v>
      </c>
      <c r="E65" s="76">
        <v>3</v>
      </c>
      <c r="F65" s="77">
        <v>0</v>
      </c>
      <c r="H65" s="76">
        <v>3</v>
      </c>
      <c r="I65" s="77">
        <v>0</v>
      </c>
      <c r="K65" s="76">
        <v>0</v>
      </c>
      <c r="L65" s="77">
        <v>0</v>
      </c>
      <c r="N65" s="76">
        <v>6</v>
      </c>
      <c r="O65" s="77">
        <v>0</v>
      </c>
      <c r="Q65" s="76">
        <v>0</v>
      </c>
      <c r="R65" s="77">
        <v>3</v>
      </c>
    </row>
    <row r="66" spans="1:18" ht="15.75" customHeight="1">
      <c r="A66" s="25">
        <f t="shared" si="0"/>
        <v>0.48263888888888823</v>
      </c>
      <c r="B66" s="76">
        <v>6</v>
      </c>
      <c r="C66" s="77">
        <v>0</v>
      </c>
      <c r="E66" s="76">
        <v>2</v>
      </c>
      <c r="F66" s="77">
        <v>3</v>
      </c>
      <c r="H66" s="76">
        <v>5</v>
      </c>
      <c r="I66" s="77">
        <v>0</v>
      </c>
      <c r="K66" s="76">
        <v>0</v>
      </c>
      <c r="L66" s="77">
        <v>0</v>
      </c>
      <c r="N66" s="76">
        <v>6</v>
      </c>
      <c r="O66" s="77">
        <v>0</v>
      </c>
      <c r="Q66" s="76">
        <v>0</v>
      </c>
      <c r="R66" s="77">
        <v>0</v>
      </c>
    </row>
    <row r="67" spans="1:18" ht="15.75" customHeight="1">
      <c r="A67" s="25">
        <f t="shared" si="0"/>
        <v>0.48611111111111044</v>
      </c>
      <c r="B67" s="76">
        <v>6</v>
      </c>
      <c r="C67" s="77">
        <v>0</v>
      </c>
      <c r="E67" s="76">
        <v>3</v>
      </c>
      <c r="F67" s="77">
        <v>0</v>
      </c>
      <c r="H67" s="76">
        <v>4</v>
      </c>
      <c r="I67" s="77">
        <v>0</v>
      </c>
      <c r="K67" s="76">
        <v>2</v>
      </c>
      <c r="L67" s="77">
        <v>0</v>
      </c>
      <c r="N67" s="76">
        <v>6</v>
      </c>
      <c r="O67" s="77">
        <v>0</v>
      </c>
      <c r="Q67" s="76">
        <v>1</v>
      </c>
      <c r="R67" s="77">
        <v>0</v>
      </c>
    </row>
    <row r="68" spans="1:18" ht="15.75" customHeight="1">
      <c r="A68" s="25">
        <f t="shared" si="0"/>
        <v>0.48958333333333265</v>
      </c>
      <c r="B68" s="76">
        <v>6</v>
      </c>
      <c r="C68" s="77">
        <v>0</v>
      </c>
      <c r="E68" s="76">
        <v>0</v>
      </c>
      <c r="F68" s="77">
        <v>0</v>
      </c>
      <c r="H68" s="76">
        <v>4</v>
      </c>
      <c r="I68" s="77">
        <v>0</v>
      </c>
      <c r="K68" s="76">
        <v>0</v>
      </c>
      <c r="L68" s="77">
        <v>0</v>
      </c>
      <c r="N68" s="76">
        <v>5</v>
      </c>
      <c r="O68" s="77">
        <v>0</v>
      </c>
      <c r="Q68" s="76">
        <v>0</v>
      </c>
      <c r="R68" s="77">
        <v>0</v>
      </c>
    </row>
    <row r="69" spans="1:18" ht="15.75" customHeight="1">
      <c r="A69" s="25">
        <f t="shared" si="0"/>
        <v>0.49305555555555486</v>
      </c>
      <c r="B69" s="76">
        <v>0</v>
      </c>
      <c r="C69" s="77">
        <v>0</v>
      </c>
      <c r="E69" s="76">
        <v>1</v>
      </c>
      <c r="F69" s="77">
        <v>0</v>
      </c>
      <c r="H69" s="76">
        <v>4</v>
      </c>
      <c r="I69" s="77">
        <v>0</v>
      </c>
      <c r="K69" s="76">
        <v>0</v>
      </c>
      <c r="L69" s="77">
        <v>0</v>
      </c>
      <c r="N69" s="76">
        <v>6</v>
      </c>
      <c r="O69" s="77">
        <v>0</v>
      </c>
      <c r="Q69" s="76">
        <v>0</v>
      </c>
      <c r="R69" s="77">
        <v>0</v>
      </c>
    </row>
    <row r="70" spans="1:18" ht="15.75" customHeight="1">
      <c r="A70" s="25">
        <f t="shared" si="0"/>
        <v>0.49652777777777707</v>
      </c>
      <c r="B70" s="76">
        <v>0</v>
      </c>
      <c r="C70" s="77">
        <v>0</v>
      </c>
      <c r="E70" s="76">
        <v>1</v>
      </c>
      <c r="F70" s="77">
        <v>0</v>
      </c>
      <c r="H70" s="76">
        <v>0</v>
      </c>
      <c r="I70" s="77">
        <v>0</v>
      </c>
      <c r="K70" s="76">
        <v>0</v>
      </c>
      <c r="L70" s="77">
        <v>0</v>
      </c>
      <c r="N70" s="76">
        <v>5</v>
      </c>
      <c r="O70" s="77">
        <v>0</v>
      </c>
      <c r="Q70" s="76">
        <v>0</v>
      </c>
      <c r="R70" s="77">
        <v>0</v>
      </c>
    </row>
    <row r="71" spans="1:18" ht="15.75" customHeight="1">
      <c r="A71" s="25">
        <f t="shared" si="0"/>
        <v>0.49999999999999928</v>
      </c>
      <c r="B71" s="76">
        <v>4</v>
      </c>
      <c r="C71" s="77">
        <v>0</v>
      </c>
      <c r="E71" s="76">
        <v>1</v>
      </c>
      <c r="F71" s="77">
        <v>0</v>
      </c>
      <c r="H71" s="76">
        <v>4</v>
      </c>
      <c r="I71" s="77">
        <v>0</v>
      </c>
      <c r="K71" s="76">
        <v>0</v>
      </c>
      <c r="L71" s="77">
        <v>0</v>
      </c>
      <c r="N71" s="76">
        <v>6</v>
      </c>
      <c r="O71" s="77">
        <v>0</v>
      </c>
      <c r="Q71" s="76">
        <v>0</v>
      </c>
      <c r="R71" s="77">
        <v>0</v>
      </c>
    </row>
    <row r="72" spans="1:18" ht="15.75" customHeight="1">
      <c r="A72" s="25">
        <f t="shared" si="0"/>
        <v>0.50347222222222154</v>
      </c>
      <c r="B72" s="76">
        <v>6</v>
      </c>
      <c r="C72" s="77">
        <v>0</v>
      </c>
      <c r="E72" s="76">
        <v>1</v>
      </c>
      <c r="F72" s="77">
        <v>0</v>
      </c>
      <c r="H72" s="76">
        <v>5</v>
      </c>
      <c r="I72" s="77">
        <v>0</v>
      </c>
      <c r="K72" s="76">
        <v>0</v>
      </c>
      <c r="L72" s="77">
        <v>0</v>
      </c>
      <c r="N72" s="76">
        <v>6</v>
      </c>
      <c r="O72" s="77">
        <v>0</v>
      </c>
      <c r="Q72" s="76">
        <v>0</v>
      </c>
      <c r="R72" s="77">
        <v>0</v>
      </c>
    </row>
    <row r="73" spans="1:18" ht="15.75" customHeight="1">
      <c r="A73" s="25">
        <f t="shared" si="0"/>
        <v>0.50694444444444375</v>
      </c>
      <c r="B73" s="76">
        <v>4</v>
      </c>
      <c r="C73" s="77">
        <v>0</v>
      </c>
      <c r="E73" s="76">
        <v>0</v>
      </c>
      <c r="F73" s="77">
        <v>0</v>
      </c>
      <c r="H73" s="76">
        <v>4</v>
      </c>
      <c r="I73" s="77">
        <v>0</v>
      </c>
      <c r="K73" s="76">
        <v>0</v>
      </c>
      <c r="L73" s="77">
        <v>0</v>
      </c>
      <c r="N73" s="76">
        <v>0</v>
      </c>
      <c r="O73" s="77">
        <v>0</v>
      </c>
      <c r="Q73" s="76">
        <v>0</v>
      </c>
      <c r="R73" s="77">
        <v>0</v>
      </c>
    </row>
    <row r="74" spans="1:18" ht="15.75" customHeight="1">
      <c r="A74" s="25">
        <f t="shared" si="0"/>
        <v>0.51041666666666596</v>
      </c>
      <c r="B74" s="76">
        <v>0</v>
      </c>
      <c r="C74" s="77">
        <v>0</v>
      </c>
      <c r="E74" s="76">
        <v>1</v>
      </c>
      <c r="F74" s="77">
        <v>0</v>
      </c>
      <c r="H74" s="76">
        <v>0</v>
      </c>
      <c r="I74" s="77">
        <v>0</v>
      </c>
      <c r="K74" s="76">
        <v>0</v>
      </c>
      <c r="L74" s="77">
        <v>0</v>
      </c>
      <c r="N74" s="76">
        <v>0</v>
      </c>
      <c r="O74" s="77">
        <v>0</v>
      </c>
      <c r="Q74" s="76">
        <v>0</v>
      </c>
      <c r="R74" s="77">
        <v>0</v>
      </c>
    </row>
    <row r="75" spans="1:18" ht="15.75" customHeight="1">
      <c r="A75" s="25">
        <f t="shared" si="0"/>
        <v>0.51388888888888817</v>
      </c>
      <c r="B75" s="76">
        <v>0</v>
      </c>
      <c r="C75" s="77">
        <v>2</v>
      </c>
      <c r="E75" s="76">
        <v>2</v>
      </c>
      <c r="F75" s="77">
        <v>0</v>
      </c>
      <c r="H75" s="76">
        <v>0</v>
      </c>
      <c r="I75" s="77">
        <v>4</v>
      </c>
      <c r="K75" s="76">
        <v>0</v>
      </c>
      <c r="L75" s="77">
        <v>0</v>
      </c>
      <c r="N75" s="76">
        <v>0</v>
      </c>
      <c r="O75" s="77">
        <v>0</v>
      </c>
      <c r="Q75" s="76">
        <v>0</v>
      </c>
      <c r="R75" s="77">
        <v>0</v>
      </c>
    </row>
    <row r="76" spans="1:18" ht="15.75" customHeight="1">
      <c r="A76" s="25">
        <f t="shared" si="0"/>
        <v>0.51736111111111038</v>
      </c>
      <c r="B76" s="76">
        <v>5</v>
      </c>
      <c r="C76" s="77">
        <v>1</v>
      </c>
      <c r="E76" s="76">
        <v>1</v>
      </c>
      <c r="F76" s="77">
        <v>0</v>
      </c>
      <c r="H76" s="76">
        <v>4</v>
      </c>
      <c r="I76" s="77">
        <v>0</v>
      </c>
      <c r="K76" s="76">
        <v>0</v>
      </c>
      <c r="L76" s="77">
        <v>0</v>
      </c>
      <c r="N76" s="76">
        <v>0</v>
      </c>
      <c r="O76" s="77">
        <v>0</v>
      </c>
      <c r="Q76" s="76">
        <v>0</v>
      </c>
      <c r="R76" s="77">
        <v>0</v>
      </c>
    </row>
    <row r="77" spans="1:18" ht="15.75" customHeight="1">
      <c r="A77" s="25">
        <f t="shared" ref="A77:A140" si="1">A76+"00:05"</f>
        <v>0.52083333333333259</v>
      </c>
      <c r="B77" s="76">
        <v>1</v>
      </c>
      <c r="C77" s="77">
        <v>0</v>
      </c>
      <c r="E77" s="76">
        <v>1</v>
      </c>
      <c r="F77" s="77">
        <v>0</v>
      </c>
      <c r="H77" s="76">
        <v>2</v>
      </c>
      <c r="I77" s="77">
        <v>0</v>
      </c>
      <c r="K77" s="76">
        <v>0</v>
      </c>
      <c r="L77" s="77">
        <v>0</v>
      </c>
      <c r="N77" s="76">
        <v>0</v>
      </c>
      <c r="O77" s="77">
        <v>0</v>
      </c>
      <c r="Q77" s="76">
        <v>0</v>
      </c>
      <c r="R77" s="77">
        <v>0</v>
      </c>
    </row>
    <row r="78" spans="1:18" s="41" customFormat="1" ht="15.75" customHeight="1">
      <c r="A78" s="25">
        <f t="shared" si="1"/>
        <v>0.5243055555555548</v>
      </c>
      <c r="B78" s="76">
        <v>0</v>
      </c>
      <c r="C78" s="77">
        <v>0</v>
      </c>
      <c r="E78" s="76">
        <v>4</v>
      </c>
      <c r="F78" s="77">
        <v>0</v>
      </c>
      <c r="H78" s="76">
        <v>0</v>
      </c>
      <c r="I78" s="77">
        <v>0</v>
      </c>
      <c r="K78" s="76">
        <v>0</v>
      </c>
      <c r="L78" s="77">
        <v>0</v>
      </c>
      <c r="N78" s="76">
        <v>0</v>
      </c>
      <c r="O78" s="77">
        <v>0</v>
      </c>
      <c r="Q78" s="76">
        <v>0</v>
      </c>
      <c r="R78" s="77">
        <v>0</v>
      </c>
    </row>
    <row r="79" spans="1:18" ht="15.75" customHeight="1">
      <c r="A79" s="25">
        <f t="shared" si="1"/>
        <v>0.52777777777777701</v>
      </c>
      <c r="B79" s="76">
        <v>2</v>
      </c>
      <c r="C79" s="77">
        <v>0</v>
      </c>
      <c r="E79" s="76">
        <v>0</v>
      </c>
      <c r="F79" s="77">
        <v>0</v>
      </c>
      <c r="H79" s="76">
        <v>3</v>
      </c>
      <c r="I79" s="77">
        <v>0</v>
      </c>
      <c r="K79" s="76">
        <v>0</v>
      </c>
      <c r="L79" s="77">
        <v>0</v>
      </c>
      <c r="N79" s="76">
        <v>3</v>
      </c>
      <c r="O79" s="77">
        <v>3</v>
      </c>
      <c r="Q79" s="76">
        <v>0</v>
      </c>
      <c r="R79" s="77">
        <v>0</v>
      </c>
    </row>
    <row r="80" spans="1:18" ht="15.75" customHeight="1">
      <c r="A80" s="25">
        <f t="shared" si="1"/>
        <v>0.53124999999999922</v>
      </c>
      <c r="B80" s="76">
        <v>6</v>
      </c>
      <c r="C80" s="77">
        <v>0</v>
      </c>
      <c r="E80" s="76">
        <v>4</v>
      </c>
      <c r="F80" s="77">
        <v>0</v>
      </c>
      <c r="H80" s="76">
        <v>4</v>
      </c>
      <c r="I80" s="77">
        <v>0</v>
      </c>
      <c r="K80" s="76">
        <v>0</v>
      </c>
      <c r="L80" s="77">
        <v>0</v>
      </c>
      <c r="N80" s="76">
        <v>6</v>
      </c>
      <c r="O80" s="77">
        <v>0</v>
      </c>
      <c r="Q80" s="76">
        <v>0</v>
      </c>
      <c r="R80" s="77">
        <v>0</v>
      </c>
    </row>
    <row r="81" spans="1:18" ht="15.75" customHeight="1">
      <c r="A81" s="25">
        <f t="shared" si="1"/>
        <v>0.53472222222222143</v>
      </c>
      <c r="B81" s="76">
        <v>5</v>
      </c>
      <c r="C81" s="77">
        <v>0</v>
      </c>
      <c r="E81" s="76">
        <v>0</v>
      </c>
      <c r="F81" s="77">
        <v>0</v>
      </c>
      <c r="H81" s="76">
        <v>4</v>
      </c>
      <c r="I81" s="77">
        <v>0</v>
      </c>
      <c r="K81" s="76">
        <v>0</v>
      </c>
      <c r="L81" s="77">
        <v>0</v>
      </c>
      <c r="N81" s="76">
        <v>6</v>
      </c>
      <c r="O81" s="77">
        <v>0</v>
      </c>
      <c r="Q81" s="76">
        <v>0</v>
      </c>
      <c r="R81" s="77">
        <v>0</v>
      </c>
    </row>
    <row r="82" spans="1:18" ht="15.75" customHeight="1">
      <c r="A82" s="25">
        <f t="shared" si="1"/>
        <v>0.53819444444444364</v>
      </c>
      <c r="B82" s="76">
        <v>0</v>
      </c>
      <c r="C82" s="77">
        <v>0</v>
      </c>
      <c r="E82" s="76">
        <v>0</v>
      </c>
      <c r="F82" s="77">
        <v>0</v>
      </c>
      <c r="H82" s="76">
        <v>5</v>
      </c>
      <c r="I82" s="77">
        <v>0</v>
      </c>
      <c r="K82" s="76">
        <v>0</v>
      </c>
      <c r="L82" s="77">
        <v>0</v>
      </c>
      <c r="N82" s="76">
        <v>5</v>
      </c>
      <c r="O82" s="77">
        <v>3</v>
      </c>
      <c r="Q82" s="76">
        <v>0</v>
      </c>
      <c r="R82" s="77">
        <v>0</v>
      </c>
    </row>
    <row r="83" spans="1:18" ht="15.75" customHeight="1">
      <c r="A83" s="25">
        <f t="shared" si="1"/>
        <v>0.54166666666666585</v>
      </c>
      <c r="B83" s="76">
        <v>1</v>
      </c>
      <c r="C83" s="77">
        <v>0</v>
      </c>
      <c r="E83" s="76">
        <v>0</v>
      </c>
      <c r="F83" s="77">
        <v>0</v>
      </c>
      <c r="H83" s="76">
        <v>4</v>
      </c>
      <c r="I83" s="77">
        <v>0</v>
      </c>
      <c r="K83" s="76">
        <v>0</v>
      </c>
      <c r="L83" s="77">
        <v>0</v>
      </c>
      <c r="N83" s="76">
        <v>6</v>
      </c>
      <c r="O83" s="77">
        <v>0</v>
      </c>
      <c r="Q83" s="76">
        <v>0</v>
      </c>
      <c r="R83" s="77">
        <v>0</v>
      </c>
    </row>
    <row r="84" spans="1:18" ht="15.75" customHeight="1">
      <c r="A84" s="25">
        <f t="shared" si="1"/>
        <v>0.54513888888888806</v>
      </c>
      <c r="B84" s="76">
        <v>0</v>
      </c>
      <c r="C84" s="77">
        <v>0</v>
      </c>
      <c r="E84" s="76">
        <v>1</v>
      </c>
      <c r="F84" s="77">
        <v>0</v>
      </c>
      <c r="H84" s="76">
        <v>1</v>
      </c>
      <c r="I84" s="77">
        <v>0</v>
      </c>
      <c r="K84" s="76">
        <v>0</v>
      </c>
      <c r="L84" s="77">
        <v>0</v>
      </c>
      <c r="N84" s="76">
        <v>4</v>
      </c>
      <c r="O84" s="77">
        <v>2</v>
      </c>
      <c r="Q84" s="76">
        <v>0</v>
      </c>
      <c r="R84" s="77">
        <v>0</v>
      </c>
    </row>
    <row r="85" spans="1:18" ht="15.75" customHeight="1">
      <c r="A85" s="25">
        <f t="shared" si="1"/>
        <v>0.54861111111111027</v>
      </c>
      <c r="B85" s="76">
        <v>0</v>
      </c>
      <c r="C85" s="77">
        <v>0</v>
      </c>
      <c r="E85" s="76">
        <v>1</v>
      </c>
      <c r="F85" s="77">
        <v>0</v>
      </c>
      <c r="H85" s="76">
        <v>0</v>
      </c>
      <c r="I85" s="77">
        <v>0</v>
      </c>
      <c r="K85" s="76">
        <v>0</v>
      </c>
      <c r="L85" s="77">
        <v>0</v>
      </c>
      <c r="N85" s="76">
        <v>0</v>
      </c>
      <c r="O85" s="77">
        <v>0</v>
      </c>
      <c r="Q85" s="76">
        <v>0</v>
      </c>
      <c r="R85" s="77">
        <v>0</v>
      </c>
    </row>
    <row r="86" spans="1:18" ht="15.75" customHeight="1">
      <c r="A86" s="25">
        <f t="shared" si="1"/>
        <v>0.55208333333333248</v>
      </c>
      <c r="B86" s="76">
        <v>6</v>
      </c>
      <c r="C86" s="77">
        <v>0</v>
      </c>
      <c r="E86" s="76">
        <v>4</v>
      </c>
      <c r="F86" s="77">
        <v>0</v>
      </c>
      <c r="H86" s="76">
        <v>4</v>
      </c>
      <c r="I86" s="77">
        <v>0</v>
      </c>
      <c r="K86" s="76">
        <v>1</v>
      </c>
      <c r="L86" s="77">
        <v>1</v>
      </c>
      <c r="N86" s="76">
        <v>6</v>
      </c>
      <c r="O86" s="77">
        <v>0</v>
      </c>
      <c r="Q86" s="76">
        <v>0</v>
      </c>
      <c r="R86" s="77">
        <v>0</v>
      </c>
    </row>
    <row r="87" spans="1:18" ht="15.75" customHeight="1">
      <c r="A87" s="25">
        <f t="shared" si="1"/>
        <v>0.55555555555555469</v>
      </c>
      <c r="B87" s="76">
        <v>3</v>
      </c>
      <c r="C87" s="77">
        <v>2</v>
      </c>
      <c r="E87" s="76">
        <v>3</v>
      </c>
      <c r="F87" s="77">
        <v>0</v>
      </c>
      <c r="H87" s="76">
        <v>4</v>
      </c>
      <c r="I87" s="77">
        <v>0</v>
      </c>
      <c r="K87" s="76">
        <v>0</v>
      </c>
      <c r="L87" s="77">
        <v>0</v>
      </c>
      <c r="N87" s="76">
        <v>6</v>
      </c>
      <c r="O87" s="77">
        <v>0</v>
      </c>
      <c r="Q87" s="76">
        <v>0</v>
      </c>
      <c r="R87" s="77">
        <v>0</v>
      </c>
    </row>
    <row r="88" spans="1:18" ht="15.75" customHeight="1">
      <c r="A88" s="25">
        <f t="shared" si="1"/>
        <v>0.5590277777777769</v>
      </c>
      <c r="B88" s="76">
        <v>5</v>
      </c>
      <c r="C88" s="77">
        <v>0</v>
      </c>
      <c r="E88" s="76">
        <v>1</v>
      </c>
      <c r="F88" s="77">
        <v>0</v>
      </c>
      <c r="H88" s="76">
        <v>2</v>
      </c>
      <c r="I88" s="77">
        <v>0</v>
      </c>
      <c r="K88" s="76">
        <v>0</v>
      </c>
      <c r="L88" s="77">
        <v>0</v>
      </c>
      <c r="N88" s="76">
        <v>0</v>
      </c>
      <c r="O88" s="77">
        <v>0</v>
      </c>
      <c r="Q88" s="76">
        <v>0</v>
      </c>
      <c r="R88" s="77">
        <v>0</v>
      </c>
    </row>
    <row r="89" spans="1:18" ht="15.75" customHeight="1">
      <c r="A89" s="25">
        <f t="shared" si="1"/>
        <v>0.56249999999999911</v>
      </c>
      <c r="B89" s="76">
        <v>6</v>
      </c>
      <c r="C89" s="77">
        <v>0</v>
      </c>
      <c r="E89" s="76">
        <v>1</v>
      </c>
      <c r="F89" s="77">
        <v>0</v>
      </c>
      <c r="H89" s="76">
        <v>2</v>
      </c>
      <c r="I89" s="77">
        <v>0</v>
      </c>
      <c r="K89" s="76">
        <v>0</v>
      </c>
      <c r="L89" s="77">
        <v>0</v>
      </c>
      <c r="N89" s="76">
        <v>0</v>
      </c>
      <c r="O89" s="77">
        <v>0</v>
      </c>
      <c r="Q89" s="76">
        <v>0</v>
      </c>
      <c r="R89" s="77">
        <v>0</v>
      </c>
    </row>
    <row r="90" spans="1:18" ht="15.75" customHeight="1">
      <c r="A90" s="25">
        <f t="shared" si="1"/>
        <v>0.56597222222222132</v>
      </c>
      <c r="B90" s="76">
        <v>0</v>
      </c>
      <c r="C90" s="77">
        <v>0</v>
      </c>
      <c r="E90" s="76">
        <v>1</v>
      </c>
      <c r="F90" s="77">
        <v>0</v>
      </c>
      <c r="H90" s="76">
        <v>4</v>
      </c>
      <c r="I90" s="77">
        <v>0</v>
      </c>
      <c r="K90" s="76">
        <v>0</v>
      </c>
      <c r="L90" s="77">
        <v>0</v>
      </c>
      <c r="N90" s="76">
        <v>0</v>
      </c>
      <c r="O90" s="77">
        <v>0</v>
      </c>
      <c r="Q90" s="76">
        <v>0</v>
      </c>
      <c r="R90" s="77">
        <v>0</v>
      </c>
    </row>
    <row r="91" spans="1:18" ht="15.75" customHeight="1">
      <c r="A91" s="25">
        <f t="shared" si="1"/>
        <v>0.56944444444444353</v>
      </c>
      <c r="B91" s="76">
        <v>1</v>
      </c>
      <c r="C91" s="77">
        <v>0</v>
      </c>
      <c r="E91" s="76">
        <v>5</v>
      </c>
      <c r="F91" s="77">
        <v>0</v>
      </c>
      <c r="H91" s="76">
        <v>4</v>
      </c>
      <c r="I91" s="77">
        <v>0</v>
      </c>
      <c r="K91" s="76">
        <v>2</v>
      </c>
      <c r="L91" s="77">
        <v>0</v>
      </c>
      <c r="N91" s="76">
        <v>0</v>
      </c>
      <c r="O91" s="77">
        <v>0</v>
      </c>
      <c r="Q91" s="76">
        <v>0</v>
      </c>
      <c r="R91" s="77">
        <v>0</v>
      </c>
    </row>
    <row r="92" spans="1:18" ht="15.75" customHeight="1">
      <c r="A92" s="25">
        <f t="shared" si="1"/>
        <v>0.57291666666666574</v>
      </c>
      <c r="B92" s="76">
        <v>6</v>
      </c>
      <c r="C92" s="77">
        <v>0</v>
      </c>
      <c r="E92" s="76">
        <v>1</v>
      </c>
      <c r="F92" s="77">
        <v>0</v>
      </c>
      <c r="H92" s="76">
        <v>4</v>
      </c>
      <c r="I92" s="77">
        <v>0</v>
      </c>
      <c r="K92" s="76">
        <v>2</v>
      </c>
      <c r="L92" s="77">
        <v>0</v>
      </c>
      <c r="N92" s="76">
        <v>0</v>
      </c>
      <c r="O92" s="77">
        <v>0</v>
      </c>
      <c r="Q92" s="76">
        <v>0</v>
      </c>
      <c r="R92" s="77">
        <v>0</v>
      </c>
    </row>
    <row r="93" spans="1:18" ht="15.75" customHeight="1">
      <c r="A93" s="25">
        <f t="shared" si="1"/>
        <v>0.57638888888888795</v>
      </c>
      <c r="B93" s="76">
        <v>3</v>
      </c>
      <c r="C93" s="77">
        <v>0</v>
      </c>
      <c r="E93" s="76">
        <v>4</v>
      </c>
      <c r="F93" s="77">
        <v>0</v>
      </c>
      <c r="H93" s="76">
        <v>4</v>
      </c>
      <c r="I93" s="77">
        <v>0</v>
      </c>
      <c r="K93" s="76">
        <v>0</v>
      </c>
      <c r="L93" s="77">
        <v>0</v>
      </c>
      <c r="N93" s="76">
        <v>0</v>
      </c>
      <c r="O93" s="77">
        <v>0</v>
      </c>
      <c r="Q93" s="76">
        <v>0</v>
      </c>
      <c r="R93" s="77">
        <v>0</v>
      </c>
    </row>
    <row r="94" spans="1:18" ht="15.75" customHeight="1">
      <c r="A94" s="25">
        <f t="shared" si="1"/>
        <v>0.57986111111111016</v>
      </c>
      <c r="B94" s="76">
        <v>4</v>
      </c>
      <c r="C94" s="77">
        <v>0</v>
      </c>
      <c r="E94" s="76">
        <v>1</v>
      </c>
      <c r="F94" s="77">
        <v>0</v>
      </c>
      <c r="H94" s="76">
        <v>2</v>
      </c>
      <c r="I94" s="77">
        <v>0</v>
      </c>
      <c r="K94" s="76">
        <v>0</v>
      </c>
      <c r="L94" s="77">
        <v>0</v>
      </c>
      <c r="N94" s="76">
        <v>0</v>
      </c>
      <c r="O94" s="77">
        <v>0</v>
      </c>
      <c r="Q94" s="76">
        <v>0</v>
      </c>
      <c r="R94" s="77">
        <v>0</v>
      </c>
    </row>
    <row r="95" spans="1:18" ht="15.75" customHeight="1">
      <c r="A95" s="25">
        <f t="shared" si="1"/>
        <v>0.58333333333333237</v>
      </c>
      <c r="B95" s="76">
        <v>3</v>
      </c>
      <c r="C95" s="77">
        <v>0</v>
      </c>
      <c r="E95" s="76">
        <v>1</v>
      </c>
      <c r="F95" s="77">
        <v>0</v>
      </c>
      <c r="H95" s="76">
        <v>4</v>
      </c>
      <c r="I95" s="77">
        <v>0</v>
      </c>
      <c r="K95" s="76">
        <v>0</v>
      </c>
      <c r="L95" s="77">
        <v>0</v>
      </c>
      <c r="N95" s="76">
        <v>6</v>
      </c>
      <c r="O95" s="77">
        <v>0</v>
      </c>
      <c r="Q95" s="76">
        <v>0</v>
      </c>
      <c r="R95" s="77">
        <v>0</v>
      </c>
    </row>
    <row r="96" spans="1:18" ht="15.75" customHeight="1">
      <c r="A96" s="25">
        <f t="shared" si="1"/>
        <v>0.58680555555555458</v>
      </c>
      <c r="B96" s="76">
        <v>6</v>
      </c>
      <c r="C96" s="77">
        <v>0</v>
      </c>
      <c r="E96" s="76">
        <v>0</v>
      </c>
      <c r="F96" s="77">
        <v>0</v>
      </c>
      <c r="H96" s="76">
        <v>4</v>
      </c>
      <c r="I96" s="77">
        <v>0</v>
      </c>
      <c r="K96" s="76">
        <v>0</v>
      </c>
      <c r="L96" s="77">
        <v>0</v>
      </c>
      <c r="N96" s="76">
        <v>6</v>
      </c>
      <c r="O96" s="77">
        <v>0</v>
      </c>
      <c r="Q96" s="76">
        <v>0</v>
      </c>
      <c r="R96" s="77">
        <v>0</v>
      </c>
    </row>
    <row r="97" spans="1:18" ht="15.75" customHeight="1">
      <c r="A97" s="25">
        <f t="shared" si="1"/>
        <v>0.59027777777777679</v>
      </c>
      <c r="B97" s="76">
        <v>0</v>
      </c>
      <c r="C97" s="77">
        <v>0</v>
      </c>
      <c r="E97" s="76">
        <v>0</v>
      </c>
      <c r="F97" s="77">
        <v>0</v>
      </c>
      <c r="H97" s="76">
        <v>1</v>
      </c>
      <c r="I97" s="77">
        <v>0</v>
      </c>
      <c r="K97" s="76">
        <v>0</v>
      </c>
      <c r="L97" s="77">
        <v>0</v>
      </c>
      <c r="N97" s="76">
        <v>2</v>
      </c>
      <c r="O97" s="77">
        <v>2</v>
      </c>
      <c r="Q97" s="76">
        <v>0</v>
      </c>
      <c r="R97" s="77">
        <v>0</v>
      </c>
    </row>
    <row r="98" spans="1:18" ht="15.75" customHeight="1">
      <c r="A98" s="25">
        <f t="shared" si="1"/>
        <v>0.593749999999999</v>
      </c>
      <c r="B98" s="76">
        <v>0</v>
      </c>
      <c r="C98" s="77">
        <v>0</v>
      </c>
      <c r="E98" s="76">
        <v>0</v>
      </c>
      <c r="F98" s="77">
        <v>0</v>
      </c>
      <c r="H98" s="76">
        <v>4</v>
      </c>
      <c r="I98" s="77">
        <v>0</v>
      </c>
      <c r="K98" s="76">
        <v>0</v>
      </c>
      <c r="L98" s="77">
        <v>0</v>
      </c>
      <c r="N98" s="76">
        <v>6</v>
      </c>
      <c r="O98" s="77">
        <v>0</v>
      </c>
      <c r="Q98" s="76">
        <v>0</v>
      </c>
      <c r="R98" s="77">
        <v>0</v>
      </c>
    </row>
    <row r="99" spans="1:18" ht="15.75" customHeight="1">
      <c r="A99" s="25">
        <f t="shared" si="1"/>
        <v>0.59722222222222121</v>
      </c>
      <c r="B99" s="76">
        <v>0</v>
      </c>
      <c r="C99" s="77">
        <v>0</v>
      </c>
      <c r="E99" s="76">
        <v>3</v>
      </c>
      <c r="F99" s="77">
        <v>0</v>
      </c>
      <c r="H99" s="76">
        <v>1</v>
      </c>
      <c r="I99" s="77">
        <v>0</v>
      </c>
      <c r="K99" s="76">
        <v>0</v>
      </c>
      <c r="L99" s="77">
        <v>0</v>
      </c>
      <c r="N99" s="76">
        <v>0</v>
      </c>
      <c r="O99" s="77">
        <v>0</v>
      </c>
      <c r="Q99" s="76">
        <v>0</v>
      </c>
      <c r="R99" s="77">
        <v>0</v>
      </c>
    </row>
    <row r="100" spans="1:18" ht="15.75" customHeight="1">
      <c r="A100" s="25">
        <f t="shared" si="1"/>
        <v>0.60069444444444342</v>
      </c>
      <c r="B100" s="76">
        <v>4</v>
      </c>
      <c r="C100" s="77">
        <v>0</v>
      </c>
      <c r="E100" s="76">
        <v>1</v>
      </c>
      <c r="F100" s="77">
        <v>0</v>
      </c>
      <c r="H100" s="76">
        <v>4</v>
      </c>
      <c r="I100" s="77">
        <v>0</v>
      </c>
      <c r="K100" s="76">
        <v>0</v>
      </c>
      <c r="L100" s="77">
        <v>0</v>
      </c>
      <c r="N100" s="76">
        <v>6</v>
      </c>
      <c r="O100" s="77">
        <v>0</v>
      </c>
      <c r="Q100" s="76">
        <v>0</v>
      </c>
      <c r="R100" s="77">
        <v>0</v>
      </c>
    </row>
    <row r="101" spans="1:18" ht="15.75" customHeight="1">
      <c r="A101" s="25">
        <f t="shared" si="1"/>
        <v>0.60416666666666563</v>
      </c>
      <c r="B101" s="76">
        <v>6</v>
      </c>
      <c r="C101" s="77">
        <v>0</v>
      </c>
      <c r="E101" s="76">
        <v>0</v>
      </c>
      <c r="F101" s="77">
        <v>0</v>
      </c>
      <c r="H101" s="76">
        <v>1</v>
      </c>
      <c r="I101" s="77">
        <v>0</v>
      </c>
      <c r="K101" s="76">
        <v>1</v>
      </c>
      <c r="L101" s="77">
        <v>0</v>
      </c>
      <c r="N101" s="76">
        <v>5</v>
      </c>
      <c r="O101" s="77">
        <v>0</v>
      </c>
      <c r="Q101" s="76">
        <v>0</v>
      </c>
      <c r="R101" s="77">
        <v>0</v>
      </c>
    </row>
    <row r="102" spans="1:18" ht="15.75" customHeight="1">
      <c r="A102" s="25">
        <f t="shared" si="1"/>
        <v>0.60763888888888784</v>
      </c>
      <c r="B102" s="76">
        <v>4</v>
      </c>
      <c r="C102" s="77">
        <v>0</v>
      </c>
      <c r="E102" s="76">
        <v>4</v>
      </c>
      <c r="F102" s="77">
        <v>0</v>
      </c>
      <c r="H102" s="76">
        <v>3</v>
      </c>
      <c r="I102" s="77">
        <v>0</v>
      </c>
      <c r="K102" s="76">
        <v>0</v>
      </c>
      <c r="L102" s="77">
        <v>0</v>
      </c>
      <c r="N102" s="76">
        <v>6</v>
      </c>
      <c r="O102" s="77">
        <v>0</v>
      </c>
      <c r="Q102" s="76">
        <v>3</v>
      </c>
      <c r="R102" s="77">
        <v>0</v>
      </c>
    </row>
    <row r="103" spans="1:18" ht="15.75" customHeight="1">
      <c r="A103" s="25">
        <f t="shared" si="1"/>
        <v>0.61111111111111005</v>
      </c>
      <c r="B103" s="76">
        <v>6</v>
      </c>
      <c r="C103" s="77">
        <v>0</v>
      </c>
      <c r="E103" s="76">
        <v>0</v>
      </c>
      <c r="F103" s="77">
        <v>0</v>
      </c>
      <c r="H103" s="76">
        <v>4</v>
      </c>
      <c r="I103" s="77">
        <v>0</v>
      </c>
      <c r="K103" s="76">
        <v>0</v>
      </c>
      <c r="L103" s="77">
        <v>0</v>
      </c>
      <c r="N103" s="76">
        <v>6</v>
      </c>
      <c r="O103" s="77">
        <v>0</v>
      </c>
      <c r="Q103" s="76">
        <v>0</v>
      </c>
      <c r="R103" s="77">
        <v>0</v>
      </c>
    </row>
    <row r="104" spans="1:18" ht="15.75" customHeight="1">
      <c r="A104" s="25">
        <f t="shared" si="1"/>
        <v>0.61458333333333226</v>
      </c>
      <c r="B104" s="76">
        <v>4</v>
      </c>
      <c r="C104" s="77">
        <v>0</v>
      </c>
      <c r="E104" s="76">
        <v>0</v>
      </c>
      <c r="F104" s="77">
        <v>0</v>
      </c>
      <c r="H104" s="76">
        <v>4</v>
      </c>
      <c r="I104" s="77">
        <v>0</v>
      </c>
      <c r="K104" s="76">
        <v>0</v>
      </c>
      <c r="L104" s="77">
        <v>0</v>
      </c>
      <c r="N104" s="76">
        <v>6</v>
      </c>
      <c r="O104" s="77">
        <v>0</v>
      </c>
      <c r="Q104" s="76">
        <v>0</v>
      </c>
      <c r="R104" s="77">
        <v>0</v>
      </c>
    </row>
    <row r="105" spans="1:18" ht="15.75" customHeight="1">
      <c r="A105" s="25">
        <f t="shared" si="1"/>
        <v>0.61805555555555447</v>
      </c>
      <c r="B105" s="76">
        <v>6</v>
      </c>
      <c r="C105" s="77">
        <v>0</v>
      </c>
      <c r="E105" s="76">
        <v>0</v>
      </c>
      <c r="F105" s="77">
        <v>0</v>
      </c>
      <c r="H105" s="76">
        <v>4</v>
      </c>
      <c r="I105" s="77">
        <v>0</v>
      </c>
      <c r="K105" s="76">
        <v>0</v>
      </c>
      <c r="L105" s="77">
        <v>0</v>
      </c>
      <c r="N105" s="76">
        <v>6</v>
      </c>
      <c r="O105" s="77">
        <v>0</v>
      </c>
      <c r="Q105" s="76">
        <v>0</v>
      </c>
      <c r="R105" s="77">
        <v>0</v>
      </c>
    </row>
    <row r="106" spans="1:18" ht="15.75" customHeight="1">
      <c r="A106" s="25">
        <f t="shared" si="1"/>
        <v>0.62152777777777668</v>
      </c>
      <c r="B106" s="76">
        <v>3</v>
      </c>
      <c r="C106" s="77">
        <v>0</v>
      </c>
      <c r="E106" s="76">
        <v>1</v>
      </c>
      <c r="F106" s="77">
        <v>0</v>
      </c>
      <c r="H106" s="76">
        <v>4</v>
      </c>
      <c r="I106" s="77">
        <v>0</v>
      </c>
      <c r="K106" s="76">
        <v>0</v>
      </c>
      <c r="L106" s="77">
        <v>0</v>
      </c>
      <c r="N106" s="76">
        <v>6</v>
      </c>
      <c r="O106" s="77">
        <v>0</v>
      </c>
      <c r="Q106" s="76">
        <v>0</v>
      </c>
      <c r="R106" s="77">
        <v>0</v>
      </c>
    </row>
    <row r="107" spans="1:18" ht="15.75" customHeight="1">
      <c r="A107" s="25">
        <f t="shared" si="1"/>
        <v>0.62499999999999889</v>
      </c>
      <c r="B107" s="76">
        <v>6</v>
      </c>
      <c r="C107" s="77">
        <v>0</v>
      </c>
      <c r="E107" s="76">
        <v>5</v>
      </c>
      <c r="F107" s="77">
        <v>0</v>
      </c>
      <c r="H107" s="76">
        <v>4</v>
      </c>
      <c r="I107" s="77">
        <v>0</v>
      </c>
      <c r="K107" s="76">
        <v>2</v>
      </c>
      <c r="L107" s="77">
        <v>0</v>
      </c>
      <c r="N107" s="76">
        <v>6</v>
      </c>
      <c r="O107" s="77">
        <v>0</v>
      </c>
      <c r="Q107" s="76">
        <v>0</v>
      </c>
      <c r="R107" s="77">
        <v>0</v>
      </c>
    </row>
    <row r="108" spans="1:18" ht="15.75" customHeight="1">
      <c r="A108" s="25">
        <f t="shared" si="1"/>
        <v>0.6284722222222211</v>
      </c>
      <c r="B108" s="76">
        <v>4</v>
      </c>
      <c r="C108" s="77">
        <v>0</v>
      </c>
      <c r="E108" s="76">
        <v>0</v>
      </c>
      <c r="F108" s="77">
        <v>3</v>
      </c>
      <c r="H108" s="76">
        <v>5</v>
      </c>
      <c r="I108" s="77">
        <v>0</v>
      </c>
      <c r="K108" s="76">
        <v>1</v>
      </c>
      <c r="L108" s="77">
        <v>0</v>
      </c>
      <c r="N108" s="76">
        <v>6</v>
      </c>
      <c r="O108" s="77">
        <v>0</v>
      </c>
      <c r="Q108" s="76">
        <v>0</v>
      </c>
      <c r="R108" s="77">
        <v>0</v>
      </c>
    </row>
    <row r="109" spans="1:18" ht="15.75" customHeight="1">
      <c r="A109" s="25">
        <f t="shared" si="1"/>
        <v>0.63194444444444331</v>
      </c>
      <c r="B109" s="76">
        <v>0</v>
      </c>
      <c r="C109" s="77">
        <v>0</v>
      </c>
      <c r="E109" s="76">
        <v>1</v>
      </c>
      <c r="F109" s="77">
        <v>0</v>
      </c>
      <c r="H109" s="76">
        <v>4</v>
      </c>
      <c r="I109" s="77">
        <v>0</v>
      </c>
      <c r="K109" s="76">
        <v>1</v>
      </c>
      <c r="L109" s="77">
        <v>1</v>
      </c>
      <c r="N109" s="76">
        <v>6</v>
      </c>
      <c r="O109" s="77">
        <v>0</v>
      </c>
      <c r="Q109" s="76">
        <v>2</v>
      </c>
      <c r="R109" s="77">
        <v>0</v>
      </c>
    </row>
    <row r="110" spans="1:18" ht="15.75" customHeight="1">
      <c r="A110" s="25">
        <f t="shared" si="1"/>
        <v>0.63541666666666552</v>
      </c>
      <c r="B110" s="76">
        <v>0</v>
      </c>
      <c r="C110" s="77">
        <v>0</v>
      </c>
      <c r="E110" s="76">
        <v>0</v>
      </c>
      <c r="F110" s="77">
        <v>0</v>
      </c>
      <c r="H110" s="76">
        <v>4</v>
      </c>
      <c r="I110" s="77">
        <v>0</v>
      </c>
      <c r="K110" s="76">
        <v>0</v>
      </c>
      <c r="L110" s="77">
        <v>0</v>
      </c>
      <c r="N110" s="76">
        <v>6</v>
      </c>
      <c r="O110" s="77">
        <v>0</v>
      </c>
      <c r="Q110" s="76">
        <v>0</v>
      </c>
      <c r="R110" s="77">
        <v>0</v>
      </c>
    </row>
    <row r="111" spans="1:18" ht="15.75" customHeight="1">
      <c r="A111" s="25">
        <f t="shared" si="1"/>
        <v>0.63888888888888773</v>
      </c>
      <c r="B111" s="76">
        <v>0</v>
      </c>
      <c r="C111" s="77">
        <v>0</v>
      </c>
      <c r="E111" s="76">
        <v>2</v>
      </c>
      <c r="F111" s="77">
        <v>0</v>
      </c>
      <c r="H111" s="76">
        <v>0</v>
      </c>
      <c r="I111" s="77">
        <v>0</v>
      </c>
      <c r="K111" s="76">
        <v>0</v>
      </c>
      <c r="L111" s="77">
        <v>0</v>
      </c>
      <c r="N111" s="76">
        <v>2</v>
      </c>
      <c r="O111" s="77">
        <v>6</v>
      </c>
      <c r="Q111" s="76">
        <v>0</v>
      </c>
      <c r="R111" s="77">
        <v>0</v>
      </c>
    </row>
    <row r="112" spans="1:18" ht="15.75" customHeight="1">
      <c r="A112" s="25">
        <f t="shared" si="1"/>
        <v>0.64236111111110994</v>
      </c>
      <c r="B112" s="76">
        <v>0</v>
      </c>
      <c r="C112" s="77">
        <v>0</v>
      </c>
      <c r="E112" s="76">
        <v>0</v>
      </c>
      <c r="F112" s="77">
        <v>0</v>
      </c>
      <c r="H112" s="76">
        <v>5</v>
      </c>
      <c r="I112" s="77">
        <v>0</v>
      </c>
      <c r="K112" s="76">
        <v>2</v>
      </c>
      <c r="L112" s="77">
        <v>0</v>
      </c>
      <c r="N112" s="76">
        <v>6</v>
      </c>
      <c r="O112" s="77">
        <v>0</v>
      </c>
      <c r="Q112" s="76">
        <v>0</v>
      </c>
      <c r="R112" s="77">
        <v>0</v>
      </c>
    </row>
    <row r="113" spans="1:18" ht="15.75" customHeight="1">
      <c r="A113" s="25">
        <f t="shared" si="1"/>
        <v>0.64583333333333215</v>
      </c>
      <c r="B113" s="76">
        <v>2</v>
      </c>
      <c r="C113" s="77">
        <v>0</v>
      </c>
      <c r="E113" s="76">
        <v>1</v>
      </c>
      <c r="F113" s="77">
        <v>3</v>
      </c>
      <c r="H113" s="76">
        <v>4</v>
      </c>
      <c r="I113" s="77">
        <v>0</v>
      </c>
      <c r="K113" s="76">
        <v>0</v>
      </c>
      <c r="L113" s="77">
        <v>0</v>
      </c>
      <c r="N113" s="76">
        <v>6</v>
      </c>
      <c r="O113" s="77">
        <v>0</v>
      </c>
      <c r="Q113" s="76">
        <v>0</v>
      </c>
      <c r="R113" s="77">
        <v>0</v>
      </c>
    </row>
    <row r="114" spans="1:18" ht="15.75" customHeight="1">
      <c r="A114" s="25">
        <f t="shared" si="1"/>
        <v>0.64930555555555436</v>
      </c>
      <c r="B114" s="76">
        <v>3</v>
      </c>
      <c r="C114" s="77">
        <v>1</v>
      </c>
      <c r="E114" s="76">
        <v>3</v>
      </c>
      <c r="F114" s="77">
        <v>0</v>
      </c>
      <c r="H114" s="76">
        <v>4</v>
      </c>
      <c r="I114" s="77">
        <v>0</v>
      </c>
      <c r="K114" s="76">
        <v>0</v>
      </c>
      <c r="L114" s="77">
        <v>0</v>
      </c>
      <c r="N114" s="76">
        <v>6</v>
      </c>
      <c r="O114" s="77">
        <v>0</v>
      </c>
      <c r="Q114" s="76">
        <v>0</v>
      </c>
      <c r="R114" s="77">
        <v>0</v>
      </c>
    </row>
    <row r="115" spans="1:18" ht="15.75" customHeight="1">
      <c r="A115" s="25">
        <f t="shared" si="1"/>
        <v>0.65277777777777657</v>
      </c>
      <c r="B115" s="76">
        <v>0</v>
      </c>
      <c r="C115" s="77">
        <v>0</v>
      </c>
      <c r="E115" s="76">
        <v>4</v>
      </c>
      <c r="F115" s="77">
        <v>0</v>
      </c>
      <c r="H115" s="76">
        <v>0</v>
      </c>
      <c r="I115" s="77">
        <v>0</v>
      </c>
      <c r="K115" s="76">
        <v>0</v>
      </c>
      <c r="L115" s="77">
        <v>0</v>
      </c>
      <c r="N115" s="76">
        <v>0</v>
      </c>
      <c r="O115" s="77">
        <v>0</v>
      </c>
      <c r="Q115" s="76">
        <v>0</v>
      </c>
      <c r="R115" s="77">
        <v>0</v>
      </c>
    </row>
    <row r="116" spans="1:18" ht="15.75" customHeight="1">
      <c r="A116" s="25">
        <f t="shared" si="1"/>
        <v>0.65624999999999878</v>
      </c>
      <c r="B116" s="76">
        <v>0</v>
      </c>
      <c r="C116" s="77">
        <v>0</v>
      </c>
      <c r="E116" s="76">
        <v>4</v>
      </c>
      <c r="F116" s="77">
        <v>0</v>
      </c>
      <c r="H116" s="76">
        <v>0</v>
      </c>
      <c r="I116" s="77">
        <v>0</v>
      </c>
      <c r="K116" s="76">
        <v>3</v>
      </c>
      <c r="L116" s="77">
        <v>0</v>
      </c>
      <c r="N116" s="76">
        <v>6</v>
      </c>
      <c r="O116" s="77">
        <v>0</v>
      </c>
      <c r="Q116" s="76">
        <v>6</v>
      </c>
      <c r="R116" s="77">
        <v>0</v>
      </c>
    </row>
    <row r="117" spans="1:18" ht="15.75" customHeight="1">
      <c r="A117" s="25">
        <f t="shared" si="1"/>
        <v>0.65972222222222099</v>
      </c>
      <c r="B117" s="76">
        <v>6</v>
      </c>
      <c r="C117" s="77">
        <v>0</v>
      </c>
      <c r="E117" s="76">
        <v>3</v>
      </c>
      <c r="F117" s="77">
        <v>0</v>
      </c>
      <c r="H117" s="76">
        <v>1</v>
      </c>
      <c r="I117" s="77">
        <v>0</v>
      </c>
      <c r="K117" s="76">
        <v>3</v>
      </c>
      <c r="L117" s="77">
        <v>0</v>
      </c>
      <c r="N117" s="76">
        <v>2</v>
      </c>
      <c r="O117" s="77">
        <v>4</v>
      </c>
      <c r="Q117" s="76">
        <v>0</v>
      </c>
      <c r="R117" s="77">
        <v>0</v>
      </c>
    </row>
    <row r="118" spans="1:18" ht="15.75" customHeight="1">
      <c r="A118" s="25">
        <f t="shared" si="1"/>
        <v>0.6631944444444432</v>
      </c>
      <c r="B118" s="76">
        <v>6</v>
      </c>
      <c r="C118" s="77">
        <v>0</v>
      </c>
      <c r="E118" s="76">
        <v>2</v>
      </c>
      <c r="F118" s="77">
        <v>0</v>
      </c>
      <c r="H118" s="76">
        <v>4</v>
      </c>
      <c r="I118" s="77">
        <v>0</v>
      </c>
      <c r="K118" s="76">
        <v>0</v>
      </c>
      <c r="L118" s="77">
        <v>0</v>
      </c>
      <c r="N118" s="76">
        <v>6</v>
      </c>
      <c r="O118" s="77">
        <v>0</v>
      </c>
      <c r="Q118" s="76">
        <v>0</v>
      </c>
      <c r="R118" s="77">
        <v>0</v>
      </c>
    </row>
    <row r="119" spans="1:18" ht="15.75" customHeight="1">
      <c r="A119" s="25">
        <f t="shared" si="1"/>
        <v>0.66666666666666541</v>
      </c>
      <c r="B119" s="76">
        <v>0</v>
      </c>
      <c r="C119" s="77">
        <v>0</v>
      </c>
      <c r="E119" s="76">
        <v>1</v>
      </c>
      <c r="F119" s="77">
        <v>0</v>
      </c>
      <c r="H119" s="76">
        <v>5</v>
      </c>
      <c r="I119" s="77">
        <v>0</v>
      </c>
      <c r="K119" s="76">
        <v>0</v>
      </c>
      <c r="L119" s="77">
        <v>0</v>
      </c>
      <c r="N119" s="76">
        <v>2</v>
      </c>
      <c r="O119" s="77">
        <v>2</v>
      </c>
      <c r="Q119" s="76">
        <v>0</v>
      </c>
      <c r="R119" s="77">
        <v>0</v>
      </c>
    </row>
    <row r="120" spans="1:18" ht="15.75" customHeight="1">
      <c r="A120" s="25">
        <f t="shared" si="1"/>
        <v>0.67013888888888762</v>
      </c>
      <c r="B120" s="76">
        <v>6</v>
      </c>
      <c r="C120" s="77">
        <v>0</v>
      </c>
      <c r="E120" s="76">
        <v>0</v>
      </c>
      <c r="F120" s="77">
        <v>0</v>
      </c>
      <c r="H120" s="76">
        <v>6</v>
      </c>
      <c r="I120" s="77">
        <v>0</v>
      </c>
      <c r="K120" s="76">
        <v>0</v>
      </c>
      <c r="L120" s="77">
        <v>0</v>
      </c>
      <c r="N120" s="76">
        <v>6</v>
      </c>
      <c r="O120" s="77">
        <v>0</v>
      </c>
      <c r="Q120" s="76">
        <v>0</v>
      </c>
      <c r="R120" s="77">
        <v>0</v>
      </c>
    </row>
    <row r="121" spans="1:18" ht="15.75" customHeight="1">
      <c r="A121" s="25">
        <f t="shared" si="1"/>
        <v>0.67361111111110983</v>
      </c>
      <c r="B121" s="76">
        <v>0</v>
      </c>
      <c r="C121" s="77">
        <v>0</v>
      </c>
      <c r="E121" s="76">
        <v>3</v>
      </c>
      <c r="F121" s="77">
        <v>0</v>
      </c>
      <c r="H121" s="76">
        <v>1</v>
      </c>
      <c r="I121" s="77">
        <v>0</v>
      </c>
      <c r="K121" s="76">
        <v>0</v>
      </c>
      <c r="L121" s="77">
        <v>0</v>
      </c>
      <c r="N121" s="76">
        <v>3</v>
      </c>
      <c r="O121" s="77">
        <v>3</v>
      </c>
      <c r="Q121" s="76">
        <v>0</v>
      </c>
      <c r="R121" s="77">
        <v>0</v>
      </c>
    </row>
    <row r="122" spans="1:18" ht="15.75" customHeight="1">
      <c r="A122" s="25">
        <f t="shared" si="1"/>
        <v>0.67708333333333204</v>
      </c>
      <c r="B122" s="76">
        <v>0</v>
      </c>
      <c r="C122" s="77">
        <v>0</v>
      </c>
      <c r="E122" s="76">
        <v>1</v>
      </c>
      <c r="F122" s="77">
        <v>0</v>
      </c>
      <c r="H122" s="76">
        <v>2</v>
      </c>
      <c r="I122" s="77">
        <v>0</v>
      </c>
      <c r="K122" s="76">
        <v>0</v>
      </c>
      <c r="L122" s="77">
        <v>0</v>
      </c>
      <c r="N122" s="76">
        <v>0</v>
      </c>
      <c r="O122" s="77">
        <v>0</v>
      </c>
      <c r="Q122" s="76">
        <v>0</v>
      </c>
      <c r="R122" s="77">
        <v>0</v>
      </c>
    </row>
    <row r="123" spans="1:18" ht="15.75" customHeight="1">
      <c r="A123" s="25">
        <f t="shared" si="1"/>
        <v>0.68055555555555425</v>
      </c>
      <c r="B123" s="76">
        <v>5</v>
      </c>
      <c r="C123" s="77">
        <v>0</v>
      </c>
      <c r="E123" s="76">
        <v>1</v>
      </c>
      <c r="F123" s="77">
        <v>0</v>
      </c>
      <c r="H123" s="76">
        <v>4</v>
      </c>
      <c r="I123" s="77">
        <v>0</v>
      </c>
      <c r="K123" s="76">
        <v>1</v>
      </c>
      <c r="L123" s="77">
        <v>0</v>
      </c>
      <c r="N123" s="76">
        <v>6</v>
      </c>
      <c r="O123" s="77">
        <v>0</v>
      </c>
      <c r="Q123" s="76">
        <v>6</v>
      </c>
      <c r="R123" s="77">
        <v>0</v>
      </c>
    </row>
    <row r="124" spans="1:18" ht="15.75" customHeight="1">
      <c r="A124" s="25">
        <f t="shared" si="1"/>
        <v>0.68402777777777646</v>
      </c>
      <c r="B124" s="76">
        <v>0</v>
      </c>
      <c r="C124" s="77">
        <v>0</v>
      </c>
      <c r="E124" s="76">
        <v>1</v>
      </c>
      <c r="F124" s="77">
        <v>0</v>
      </c>
      <c r="H124" s="76">
        <v>1</v>
      </c>
      <c r="I124" s="77">
        <v>0</v>
      </c>
      <c r="K124" s="76">
        <v>1</v>
      </c>
      <c r="L124" s="77">
        <v>0</v>
      </c>
      <c r="N124" s="76">
        <v>4</v>
      </c>
      <c r="O124" s="77">
        <v>3</v>
      </c>
      <c r="Q124" s="76">
        <v>6</v>
      </c>
      <c r="R124" s="77">
        <v>0</v>
      </c>
    </row>
    <row r="125" spans="1:18" ht="15.75" customHeight="1">
      <c r="A125" s="25">
        <f t="shared" si="1"/>
        <v>0.68749999999999867</v>
      </c>
      <c r="B125" s="76">
        <v>0</v>
      </c>
      <c r="C125" s="77">
        <v>0</v>
      </c>
      <c r="E125" s="76">
        <v>4</v>
      </c>
      <c r="F125" s="77">
        <v>0</v>
      </c>
      <c r="H125" s="76">
        <v>1</v>
      </c>
      <c r="I125" s="77">
        <v>0</v>
      </c>
      <c r="K125" s="76">
        <v>0</v>
      </c>
      <c r="L125" s="77">
        <v>0</v>
      </c>
      <c r="N125" s="76">
        <v>0</v>
      </c>
      <c r="O125" s="77">
        <v>0</v>
      </c>
      <c r="Q125" s="76">
        <v>0</v>
      </c>
      <c r="R125" s="77">
        <v>0</v>
      </c>
    </row>
    <row r="126" spans="1:18" ht="15.75" customHeight="1">
      <c r="A126" s="25">
        <f t="shared" si="1"/>
        <v>0.69097222222222088</v>
      </c>
      <c r="B126" s="76">
        <v>0</v>
      </c>
      <c r="C126" s="77">
        <v>0</v>
      </c>
      <c r="E126" s="76">
        <v>2</v>
      </c>
      <c r="F126" s="77">
        <v>2</v>
      </c>
      <c r="H126" s="76">
        <v>0</v>
      </c>
      <c r="I126" s="77">
        <v>0</v>
      </c>
      <c r="K126" s="76">
        <v>0</v>
      </c>
      <c r="L126" s="77">
        <v>4</v>
      </c>
      <c r="N126" s="76">
        <v>4</v>
      </c>
      <c r="O126" s="77">
        <v>2</v>
      </c>
      <c r="Q126" s="76">
        <v>0</v>
      </c>
      <c r="R126" s="77">
        <v>4</v>
      </c>
    </row>
    <row r="127" spans="1:18" ht="15.75" customHeight="1">
      <c r="A127" s="25">
        <f t="shared" si="1"/>
        <v>0.69444444444444309</v>
      </c>
      <c r="B127" s="76">
        <v>0</v>
      </c>
      <c r="C127" s="77">
        <v>0</v>
      </c>
      <c r="E127" s="76">
        <v>4</v>
      </c>
      <c r="F127" s="77">
        <v>0</v>
      </c>
      <c r="H127" s="76">
        <v>3</v>
      </c>
      <c r="I127" s="77">
        <v>0</v>
      </c>
      <c r="K127" s="76">
        <v>4</v>
      </c>
      <c r="L127" s="77">
        <v>0</v>
      </c>
      <c r="N127" s="76">
        <v>6</v>
      </c>
      <c r="O127" s="77">
        <v>0</v>
      </c>
      <c r="Q127" s="76">
        <v>0</v>
      </c>
      <c r="R127" s="77">
        <v>2</v>
      </c>
    </row>
    <row r="128" spans="1:18" ht="15.75" customHeight="1">
      <c r="A128" s="25">
        <f t="shared" si="1"/>
        <v>0.6979166666666653</v>
      </c>
      <c r="B128" s="76">
        <v>0</v>
      </c>
      <c r="C128" s="77">
        <v>0</v>
      </c>
      <c r="E128" s="76">
        <v>1</v>
      </c>
      <c r="F128" s="77">
        <v>0</v>
      </c>
      <c r="H128" s="76">
        <v>0</v>
      </c>
      <c r="I128" s="77">
        <v>0</v>
      </c>
      <c r="K128" s="76">
        <v>0</v>
      </c>
      <c r="L128" s="77">
        <v>0</v>
      </c>
      <c r="N128" s="76">
        <v>0</v>
      </c>
      <c r="O128" s="77">
        <v>0</v>
      </c>
      <c r="Q128" s="76">
        <v>0</v>
      </c>
      <c r="R128" s="77">
        <v>0</v>
      </c>
    </row>
    <row r="129" spans="1:18" ht="15.75" customHeight="1">
      <c r="A129" s="25">
        <f t="shared" si="1"/>
        <v>0.70138888888888751</v>
      </c>
      <c r="B129" s="76">
        <v>0</v>
      </c>
      <c r="C129" s="77">
        <v>0</v>
      </c>
      <c r="E129" s="76">
        <v>6</v>
      </c>
      <c r="F129" s="77">
        <v>0</v>
      </c>
      <c r="H129" s="76">
        <v>0</v>
      </c>
      <c r="I129" s="77">
        <v>0</v>
      </c>
      <c r="K129" s="76">
        <v>0</v>
      </c>
      <c r="L129" s="77">
        <v>4</v>
      </c>
      <c r="N129" s="76">
        <v>0</v>
      </c>
      <c r="O129" s="77">
        <v>0</v>
      </c>
      <c r="Q129" s="76">
        <v>1</v>
      </c>
      <c r="R129" s="77">
        <v>3</v>
      </c>
    </row>
    <row r="130" spans="1:18" ht="15.75" customHeight="1">
      <c r="A130" s="25">
        <f t="shared" si="1"/>
        <v>0.70486111111110972</v>
      </c>
      <c r="B130" s="76">
        <v>4</v>
      </c>
      <c r="C130" s="77">
        <v>0</v>
      </c>
      <c r="E130" s="76">
        <v>0</v>
      </c>
      <c r="F130" s="77">
        <v>0</v>
      </c>
      <c r="H130" s="76">
        <v>2</v>
      </c>
      <c r="I130" s="77">
        <v>0</v>
      </c>
      <c r="K130" s="76">
        <v>0</v>
      </c>
      <c r="L130" s="77">
        <v>2</v>
      </c>
      <c r="N130" s="76">
        <v>3</v>
      </c>
      <c r="O130" s="77">
        <v>3</v>
      </c>
      <c r="Q130" s="76">
        <v>0</v>
      </c>
      <c r="R130" s="77">
        <v>0</v>
      </c>
    </row>
    <row r="131" spans="1:18" ht="15.75" customHeight="1">
      <c r="A131" s="25">
        <f t="shared" si="1"/>
        <v>0.70833333333333193</v>
      </c>
      <c r="B131" s="76">
        <v>0</v>
      </c>
      <c r="C131" s="77">
        <v>0</v>
      </c>
      <c r="E131" s="76">
        <v>2</v>
      </c>
      <c r="F131" s="77">
        <v>0</v>
      </c>
      <c r="H131" s="76">
        <v>1</v>
      </c>
      <c r="I131" s="77">
        <v>0</v>
      </c>
      <c r="K131" s="76">
        <v>2</v>
      </c>
      <c r="L131" s="77">
        <v>0</v>
      </c>
      <c r="N131" s="76">
        <v>2</v>
      </c>
      <c r="O131" s="77">
        <v>4</v>
      </c>
      <c r="Q131" s="76">
        <v>0</v>
      </c>
      <c r="R131" s="77">
        <v>3</v>
      </c>
    </row>
    <row r="132" spans="1:18" ht="15.75" customHeight="1">
      <c r="A132" s="25">
        <f t="shared" si="1"/>
        <v>0.71180555555555414</v>
      </c>
      <c r="B132" s="76">
        <v>0</v>
      </c>
      <c r="C132" s="77">
        <v>0</v>
      </c>
      <c r="E132" s="76">
        <v>1</v>
      </c>
      <c r="F132" s="77">
        <v>0</v>
      </c>
      <c r="H132" s="76">
        <v>2</v>
      </c>
      <c r="I132" s="77">
        <v>0</v>
      </c>
      <c r="K132" s="76">
        <v>0</v>
      </c>
      <c r="L132" s="77">
        <v>0</v>
      </c>
      <c r="N132" s="76">
        <v>6</v>
      </c>
      <c r="O132" s="77">
        <v>0</v>
      </c>
      <c r="Q132" s="76">
        <v>0</v>
      </c>
      <c r="R132" s="77">
        <v>0</v>
      </c>
    </row>
    <row r="133" spans="1:18" ht="15.75" customHeight="1">
      <c r="A133" s="25">
        <f t="shared" si="1"/>
        <v>0.71527777777777635</v>
      </c>
      <c r="B133" s="76">
        <v>0</v>
      </c>
      <c r="C133" s="77">
        <v>0</v>
      </c>
      <c r="E133" s="76">
        <v>4</v>
      </c>
      <c r="F133" s="77">
        <v>0</v>
      </c>
      <c r="H133" s="76">
        <v>2</v>
      </c>
      <c r="I133" s="77">
        <v>0</v>
      </c>
      <c r="K133" s="76">
        <v>2</v>
      </c>
      <c r="L133" s="77">
        <v>0</v>
      </c>
      <c r="N133" s="76">
        <v>6</v>
      </c>
      <c r="O133" s="77">
        <v>0</v>
      </c>
      <c r="Q133" s="76">
        <v>6</v>
      </c>
      <c r="R133" s="77">
        <v>0</v>
      </c>
    </row>
    <row r="134" spans="1:18" ht="15.75" customHeight="1">
      <c r="A134" s="25">
        <f t="shared" si="1"/>
        <v>0.71874999999999856</v>
      </c>
      <c r="B134" s="76">
        <v>4</v>
      </c>
      <c r="C134" s="77">
        <v>0</v>
      </c>
      <c r="E134" s="76">
        <v>4</v>
      </c>
      <c r="F134" s="77">
        <v>0</v>
      </c>
      <c r="H134" s="76">
        <v>3</v>
      </c>
      <c r="I134" s="77">
        <v>0</v>
      </c>
      <c r="K134" s="76">
        <v>3</v>
      </c>
      <c r="L134" s="77">
        <v>0</v>
      </c>
      <c r="N134" s="76">
        <v>6</v>
      </c>
      <c r="O134" s="77">
        <v>0</v>
      </c>
      <c r="Q134" s="76">
        <v>6</v>
      </c>
      <c r="R134" s="77">
        <v>0</v>
      </c>
    </row>
    <row r="135" spans="1:18" ht="15.75" customHeight="1">
      <c r="A135" s="25">
        <f t="shared" si="1"/>
        <v>0.72222222222222077</v>
      </c>
      <c r="B135" s="76">
        <v>0</v>
      </c>
      <c r="C135" s="77">
        <v>0</v>
      </c>
      <c r="E135" s="76">
        <v>6</v>
      </c>
      <c r="F135" s="77">
        <v>0</v>
      </c>
      <c r="H135" s="76">
        <v>1</v>
      </c>
      <c r="I135" s="77">
        <v>0</v>
      </c>
      <c r="K135" s="76">
        <v>4</v>
      </c>
      <c r="L135" s="77">
        <v>0</v>
      </c>
      <c r="N135" s="76">
        <v>4</v>
      </c>
      <c r="O135" s="77">
        <v>2</v>
      </c>
      <c r="Q135" s="76">
        <v>6</v>
      </c>
      <c r="R135" s="77">
        <v>0</v>
      </c>
    </row>
    <row r="136" spans="1:18" ht="15.75" customHeight="1">
      <c r="A136" s="25">
        <f t="shared" si="1"/>
        <v>0.72569444444444298</v>
      </c>
      <c r="B136" s="76">
        <v>0</v>
      </c>
      <c r="C136" s="77">
        <v>0</v>
      </c>
      <c r="E136" s="76">
        <v>3</v>
      </c>
      <c r="F136" s="77">
        <v>0</v>
      </c>
      <c r="H136" s="76">
        <v>4</v>
      </c>
      <c r="I136" s="77">
        <v>0</v>
      </c>
      <c r="K136" s="76">
        <v>2</v>
      </c>
      <c r="L136" s="77">
        <v>0</v>
      </c>
      <c r="N136" s="76">
        <v>6</v>
      </c>
      <c r="O136" s="77">
        <v>0</v>
      </c>
      <c r="Q136" s="76">
        <v>0</v>
      </c>
      <c r="R136" s="77">
        <v>0</v>
      </c>
    </row>
    <row r="137" spans="1:18" ht="15.75" customHeight="1">
      <c r="A137" s="25">
        <f t="shared" si="1"/>
        <v>0.72916666666666519</v>
      </c>
      <c r="B137" s="76">
        <v>0</v>
      </c>
      <c r="C137" s="77">
        <v>0</v>
      </c>
      <c r="E137" s="76">
        <v>1</v>
      </c>
      <c r="F137" s="77">
        <v>0</v>
      </c>
      <c r="H137" s="76">
        <v>0</v>
      </c>
      <c r="I137" s="77">
        <v>0</v>
      </c>
      <c r="K137" s="76">
        <v>0</v>
      </c>
      <c r="L137" s="77">
        <v>0</v>
      </c>
      <c r="N137" s="76">
        <v>0</v>
      </c>
      <c r="O137" s="77">
        <v>0</v>
      </c>
      <c r="Q137" s="76">
        <v>0</v>
      </c>
      <c r="R137" s="77">
        <v>0</v>
      </c>
    </row>
    <row r="138" spans="1:18" ht="15.75" customHeight="1">
      <c r="A138" s="25">
        <f t="shared" si="1"/>
        <v>0.7326388888888874</v>
      </c>
      <c r="B138" s="76">
        <v>1</v>
      </c>
      <c r="C138" s="77">
        <v>2</v>
      </c>
      <c r="E138" s="76">
        <v>3</v>
      </c>
      <c r="F138" s="77">
        <v>0</v>
      </c>
      <c r="H138" s="76">
        <v>2</v>
      </c>
      <c r="I138" s="77">
        <v>0</v>
      </c>
      <c r="K138" s="76">
        <v>0</v>
      </c>
      <c r="L138" s="77">
        <v>0</v>
      </c>
      <c r="N138" s="76">
        <v>0</v>
      </c>
      <c r="O138" s="77">
        <v>0</v>
      </c>
      <c r="Q138" s="76">
        <v>0</v>
      </c>
      <c r="R138" s="77">
        <v>0</v>
      </c>
    </row>
    <row r="139" spans="1:18" ht="15.75" customHeight="1">
      <c r="A139" s="25">
        <f t="shared" si="1"/>
        <v>0.73611111111110961</v>
      </c>
      <c r="B139" s="76">
        <v>6</v>
      </c>
      <c r="C139" s="77">
        <v>0</v>
      </c>
      <c r="E139" s="76">
        <v>2</v>
      </c>
      <c r="F139" s="77">
        <v>0</v>
      </c>
      <c r="H139" s="76">
        <v>4</v>
      </c>
      <c r="I139" s="77">
        <v>0</v>
      </c>
      <c r="K139" s="76">
        <v>2</v>
      </c>
      <c r="L139" s="77">
        <v>0</v>
      </c>
      <c r="N139" s="76">
        <v>6</v>
      </c>
      <c r="O139" s="77">
        <v>0</v>
      </c>
      <c r="Q139" s="76">
        <v>6</v>
      </c>
      <c r="R139" s="77">
        <v>0</v>
      </c>
    </row>
    <row r="140" spans="1:18" ht="15.75" customHeight="1">
      <c r="A140" s="25">
        <f t="shared" si="1"/>
        <v>0.73958333333333182</v>
      </c>
      <c r="B140" s="76">
        <v>6</v>
      </c>
      <c r="C140" s="77">
        <v>0</v>
      </c>
      <c r="E140" s="76">
        <v>1</v>
      </c>
      <c r="F140" s="77">
        <v>0</v>
      </c>
      <c r="H140" s="76">
        <v>0</v>
      </c>
      <c r="I140" s="77">
        <v>0</v>
      </c>
      <c r="K140" s="76">
        <v>0</v>
      </c>
      <c r="L140" s="77">
        <v>0</v>
      </c>
      <c r="N140" s="76">
        <v>5</v>
      </c>
      <c r="O140" s="77">
        <v>1</v>
      </c>
      <c r="Q140" s="76">
        <v>0</v>
      </c>
      <c r="R140" s="77">
        <v>0</v>
      </c>
    </row>
    <row r="141" spans="1:18" ht="15.75" customHeight="1">
      <c r="A141" s="25">
        <f t="shared" ref="A141:A154" si="2">A140+"00:05"</f>
        <v>0.74305555555555403</v>
      </c>
      <c r="B141" s="76">
        <v>1</v>
      </c>
      <c r="C141" s="77">
        <v>0</v>
      </c>
      <c r="E141" s="76">
        <v>1</v>
      </c>
      <c r="F141" s="77">
        <v>0</v>
      </c>
      <c r="H141" s="76">
        <v>3</v>
      </c>
      <c r="I141" s="77">
        <v>0</v>
      </c>
      <c r="K141" s="76">
        <v>0</v>
      </c>
      <c r="L141" s="77">
        <v>0</v>
      </c>
      <c r="N141" s="76">
        <v>6</v>
      </c>
      <c r="O141" s="77">
        <v>0</v>
      </c>
      <c r="Q141" s="76">
        <v>0</v>
      </c>
      <c r="R141" s="77">
        <v>0</v>
      </c>
    </row>
    <row r="142" spans="1:18" ht="15.75" customHeight="1">
      <c r="A142" s="25">
        <f t="shared" si="2"/>
        <v>0.74652777777777624</v>
      </c>
      <c r="B142" s="76">
        <v>4</v>
      </c>
      <c r="C142" s="77">
        <v>0</v>
      </c>
      <c r="E142" s="76">
        <v>1</v>
      </c>
      <c r="F142" s="77">
        <v>0</v>
      </c>
      <c r="H142" s="76">
        <v>1</v>
      </c>
      <c r="I142" s="77">
        <v>0</v>
      </c>
      <c r="K142" s="76">
        <v>3</v>
      </c>
      <c r="L142" s="77">
        <v>0</v>
      </c>
      <c r="N142" s="76">
        <v>3</v>
      </c>
      <c r="O142" s="77">
        <v>3</v>
      </c>
      <c r="Q142" s="76">
        <v>0</v>
      </c>
      <c r="R142" s="77">
        <v>2</v>
      </c>
    </row>
    <row r="143" spans="1:18" ht="15.75" customHeight="1">
      <c r="A143" s="25">
        <f t="shared" si="2"/>
        <v>0.74999999999999845</v>
      </c>
      <c r="B143" s="76">
        <v>3</v>
      </c>
      <c r="C143" s="77">
        <v>0</v>
      </c>
      <c r="E143" s="76">
        <v>4</v>
      </c>
      <c r="F143" s="77">
        <v>0</v>
      </c>
      <c r="H143" s="76">
        <v>1</v>
      </c>
      <c r="I143" s="77">
        <v>0</v>
      </c>
      <c r="K143" s="76">
        <v>4</v>
      </c>
      <c r="L143" s="77">
        <v>0</v>
      </c>
      <c r="N143" s="76">
        <v>3</v>
      </c>
      <c r="O143" s="77">
        <v>0</v>
      </c>
      <c r="Q143" s="76">
        <v>4</v>
      </c>
      <c r="R143" s="77">
        <v>0</v>
      </c>
    </row>
    <row r="144" spans="1:18" ht="15.75" customHeight="1">
      <c r="A144" s="25">
        <f t="shared" si="2"/>
        <v>0.75347222222222066</v>
      </c>
      <c r="B144" s="76">
        <v>6</v>
      </c>
      <c r="C144" s="77">
        <v>0</v>
      </c>
      <c r="E144" s="76">
        <v>1</v>
      </c>
      <c r="F144" s="77">
        <v>0</v>
      </c>
      <c r="H144" s="76">
        <v>4</v>
      </c>
      <c r="I144" s="77">
        <v>0</v>
      </c>
      <c r="K144" s="76">
        <v>0</v>
      </c>
      <c r="L144" s="77">
        <v>0</v>
      </c>
      <c r="N144" s="76">
        <v>6</v>
      </c>
      <c r="O144" s="77">
        <v>0</v>
      </c>
      <c r="Q144" s="76">
        <v>0</v>
      </c>
      <c r="R144" s="77">
        <v>0</v>
      </c>
    </row>
    <row r="145" spans="1:18" ht="15.75" customHeight="1">
      <c r="A145" s="25">
        <f t="shared" si="2"/>
        <v>0.75694444444444287</v>
      </c>
      <c r="B145" s="76">
        <v>4</v>
      </c>
      <c r="C145" s="77">
        <v>0</v>
      </c>
      <c r="E145" s="76">
        <v>1</v>
      </c>
      <c r="F145" s="77">
        <v>0</v>
      </c>
      <c r="H145" s="76">
        <v>4</v>
      </c>
      <c r="I145" s="77">
        <v>0</v>
      </c>
      <c r="K145" s="76">
        <v>0</v>
      </c>
      <c r="L145" s="77">
        <v>0</v>
      </c>
      <c r="N145" s="76">
        <v>6</v>
      </c>
      <c r="O145" s="77">
        <v>0</v>
      </c>
      <c r="Q145" s="76">
        <v>0</v>
      </c>
      <c r="R145" s="77">
        <v>0</v>
      </c>
    </row>
    <row r="146" spans="1:18" ht="15.75" customHeight="1">
      <c r="A146" s="25">
        <f t="shared" si="2"/>
        <v>0.76041666666666508</v>
      </c>
      <c r="B146" s="76">
        <v>6</v>
      </c>
      <c r="C146" s="77">
        <v>0</v>
      </c>
      <c r="E146" s="76">
        <v>4</v>
      </c>
      <c r="F146" s="77">
        <v>0</v>
      </c>
      <c r="H146" s="76">
        <v>4</v>
      </c>
      <c r="I146" s="77">
        <v>0</v>
      </c>
      <c r="K146" s="76">
        <v>2</v>
      </c>
      <c r="L146" s="77">
        <v>1</v>
      </c>
      <c r="N146" s="76">
        <v>6</v>
      </c>
      <c r="O146" s="77">
        <v>0</v>
      </c>
      <c r="Q146" s="76">
        <v>0</v>
      </c>
      <c r="R146" s="77">
        <v>2</v>
      </c>
    </row>
    <row r="147" spans="1:18" ht="15.75" customHeight="1">
      <c r="A147" s="25">
        <f t="shared" si="2"/>
        <v>0.76388888888888729</v>
      </c>
      <c r="B147" s="76">
        <v>6</v>
      </c>
      <c r="C147" s="77">
        <v>0</v>
      </c>
      <c r="E147" s="76">
        <v>1</v>
      </c>
      <c r="F147" s="77">
        <v>0</v>
      </c>
      <c r="H147" s="76">
        <v>4</v>
      </c>
      <c r="I147" s="77">
        <v>0</v>
      </c>
      <c r="K147" s="76">
        <v>4</v>
      </c>
      <c r="L147" s="77">
        <v>0</v>
      </c>
      <c r="N147" s="76">
        <v>6</v>
      </c>
      <c r="O147" s="77">
        <v>0</v>
      </c>
      <c r="Q147" s="76">
        <v>6</v>
      </c>
      <c r="R147" s="77">
        <v>0</v>
      </c>
    </row>
    <row r="148" spans="1:18" ht="15.75" customHeight="1">
      <c r="A148" s="25">
        <f t="shared" si="2"/>
        <v>0.7673611111111095</v>
      </c>
      <c r="B148" s="76">
        <v>6</v>
      </c>
      <c r="C148" s="77">
        <v>0</v>
      </c>
      <c r="E148" s="76">
        <v>2</v>
      </c>
      <c r="F148" s="77">
        <v>1</v>
      </c>
      <c r="H148" s="76">
        <v>4</v>
      </c>
      <c r="I148" s="77">
        <v>0</v>
      </c>
      <c r="K148" s="76">
        <v>0</v>
      </c>
      <c r="L148" s="77">
        <v>0</v>
      </c>
      <c r="N148" s="76">
        <v>6</v>
      </c>
      <c r="O148" s="77">
        <v>0</v>
      </c>
      <c r="Q148" s="76">
        <v>0</v>
      </c>
      <c r="R148" s="77">
        <v>0</v>
      </c>
    </row>
    <row r="149" spans="1:18" ht="15.75" customHeight="1">
      <c r="A149" s="25">
        <f t="shared" si="2"/>
        <v>0.77083333333333171</v>
      </c>
      <c r="B149" s="76">
        <v>6</v>
      </c>
      <c r="C149" s="77">
        <v>0</v>
      </c>
      <c r="E149" s="76">
        <v>2</v>
      </c>
      <c r="F149" s="77">
        <v>0</v>
      </c>
      <c r="H149" s="76">
        <v>4</v>
      </c>
      <c r="I149" s="77">
        <v>0</v>
      </c>
      <c r="K149" s="76">
        <v>0</v>
      </c>
      <c r="L149" s="77">
        <v>0</v>
      </c>
      <c r="N149" s="76">
        <v>6</v>
      </c>
      <c r="O149" s="77">
        <v>0</v>
      </c>
      <c r="Q149" s="76">
        <v>0</v>
      </c>
      <c r="R149" s="77">
        <v>0</v>
      </c>
    </row>
    <row r="150" spans="1:18" ht="15.75" customHeight="1">
      <c r="A150" s="25">
        <f t="shared" si="2"/>
        <v>0.77430555555555391</v>
      </c>
      <c r="B150" s="76">
        <v>0</v>
      </c>
      <c r="C150" s="77">
        <v>0</v>
      </c>
      <c r="E150" s="76">
        <v>0</v>
      </c>
      <c r="F150" s="77">
        <v>0</v>
      </c>
      <c r="H150" s="76">
        <v>2</v>
      </c>
      <c r="I150" s="77">
        <v>0</v>
      </c>
      <c r="K150" s="76">
        <v>0</v>
      </c>
      <c r="L150" s="77">
        <v>0</v>
      </c>
      <c r="N150" s="76">
        <v>0</v>
      </c>
      <c r="O150" s="77">
        <v>0</v>
      </c>
      <c r="Q150" s="76">
        <v>0</v>
      </c>
      <c r="R150" s="77">
        <v>0</v>
      </c>
    </row>
    <row r="151" spans="1:18" ht="15.75" customHeight="1">
      <c r="A151" s="25">
        <f t="shared" si="2"/>
        <v>0.77777777777777612</v>
      </c>
      <c r="B151" s="76">
        <v>0</v>
      </c>
      <c r="C151" s="77">
        <v>0</v>
      </c>
      <c r="E151" s="76">
        <v>4</v>
      </c>
      <c r="F151" s="77">
        <v>0</v>
      </c>
      <c r="H151" s="76">
        <v>0</v>
      </c>
      <c r="I151" s="77">
        <v>1</v>
      </c>
      <c r="K151" s="76">
        <v>4</v>
      </c>
      <c r="L151" s="77">
        <v>0</v>
      </c>
      <c r="N151" s="76">
        <v>0</v>
      </c>
      <c r="O151" s="77">
        <v>0</v>
      </c>
      <c r="Q151" s="76">
        <v>6</v>
      </c>
      <c r="R151" s="77">
        <v>0</v>
      </c>
    </row>
    <row r="152" spans="1:18" ht="15.75" customHeight="1">
      <c r="A152" s="25">
        <f t="shared" si="2"/>
        <v>0.78124999999999833</v>
      </c>
      <c r="B152" s="76">
        <v>2</v>
      </c>
      <c r="C152" s="77">
        <v>0</v>
      </c>
      <c r="E152" s="76">
        <v>4</v>
      </c>
      <c r="F152" s="77">
        <v>0</v>
      </c>
      <c r="H152" s="76">
        <v>4</v>
      </c>
      <c r="I152" s="77">
        <v>0</v>
      </c>
      <c r="K152" s="76">
        <v>0</v>
      </c>
      <c r="L152" s="77">
        <v>0</v>
      </c>
      <c r="N152" s="76">
        <v>1</v>
      </c>
      <c r="O152" s="77">
        <v>2</v>
      </c>
      <c r="Q152" s="76">
        <v>0</v>
      </c>
      <c r="R152" s="77">
        <v>0</v>
      </c>
    </row>
    <row r="153" spans="1:18" ht="15.75" customHeight="1">
      <c r="A153" s="25">
        <f t="shared" si="2"/>
        <v>0.78472222222222054</v>
      </c>
      <c r="B153" s="76">
        <v>0</v>
      </c>
      <c r="C153" s="77">
        <v>0</v>
      </c>
      <c r="E153" s="76">
        <v>0</v>
      </c>
      <c r="F153" s="77">
        <v>0</v>
      </c>
      <c r="H153" s="76">
        <v>2</v>
      </c>
      <c r="I153" s="77">
        <v>0</v>
      </c>
      <c r="K153" s="76">
        <v>0</v>
      </c>
      <c r="L153" s="77">
        <v>0</v>
      </c>
      <c r="N153" s="76">
        <v>0</v>
      </c>
      <c r="O153" s="77">
        <v>0</v>
      </c>
      <c r="Q153" s="76">
        <v>0</v>
      </c>
      <c r="R153" s="77">
        <v>0</v>
      </c>
    </row>
    <row r="154" spans="1:18" ht="15.75" customHeight="1">
      <c r="A154" s="25">
        <f t="shared" si="2"/>
        <v>0.78819444444444275</v>
      </c>
      <c r="B154" s="78">
        <v>0</v>
      </c>
      <c r="C154" s="79">
        <v>0</v>
      </c>
      <c r="E154" s="78">
        <v>3</v>
      </c>
      <c r="F154" s="79">
        <v>0</v>
      </c>
      <c r="H154" s="78">
        <v>0</v>
      </c>
      <c r="I154" s="79">
        <v>0</v>
      </c>
      <c r="K154" s="78">
        <v>0</v>
      </c>
      <c r="L154" s="79">
        <v>0</v>
      </c>
      <c r="N154" s="78">
        <v>3</v>
      </c>
      <c r="O154" s="79">
        <v>0</v>
      </c>
      <c r="Q154" s="78">
        <v>0</v>
      </c>
      <c r="R154" s="79">
        <v>0</v>
      </c>
    </row>
    <row r="156" spans="1:18" ht="28.5">
      <c r="A156" s="80" t="s">
        <v>44</v>
      </c>
      <c r="B156" s="81">
        <f>MAX(B11:B154)</f>
        <v>7</v>
      </c>
      <c r="C156" s="82">
        <f>MAX(C11:C154)</f>
        <v>2</v>
      </c>
      <c r="D156" s="83"/>
      <c r="E156" s="81">
        <f>MAX(E11:E154)</f>
        <v>7</v>
      </c>
      <c r="F156" s="82">
        <f>MAX(F11:F154)</f>
        <v>3</v>
      </c>
      <c r="G156" s="83"/>
      <c r="H156" s="81">
        <f>MAX(H11:H154)</f>
        <v>6</v>
      </c>
      <c r="I156" s="82">
        <f>MAX(I11:I154)</f>
        <v>4</v>
      </c>
      <c r="J156" s="83"/>
      <c r="K156" s="81">
        <f>MAX(K11:K154)</f>
        <v>5</v>
      </c>
      <c r="L156" s="82">
        <f>MAX(L11:L154)</f>
        <v>4</v>
      </c>
      <c r="M156" s="83"/>
      <c r="N156" s="81">
        <f>MAX(N11:N154)</f>
        <v>6</v>
      </c>
      <c r="O156" s="82">
        <f>MAX(O11:O154)</f>
        <v>6</v>
      </c>
      <c r="P156" s="83"/>
      <c r="Q156" s="81">
        <f>MAX(Q11:Q154)</f>
        <v>6</v>
      </c>
      <c r="R156" s="82">
        <f>MAX(R11:R154)</f>
        <v>6</v>
      </c>
    </row>
  </sheetData>
  <mergeCells count="6">
    <mergeCell ref="Q9:R9"/>
    <mergeCell ref="B9:C9"/>
    <mergeCell ref="E9:F9"/>
    <mergeCell ref="H9:I9"/>
    <mergeCell ref="K9:L9"/>
    <mergeCell ref="N9:O9"/>
  </mergeCells>
  <pageMargins left="0.7" right="0.7" top="0.75" bottom="0.75" header="0.3" footer="0.3"/>
  <pageSetup paperSize="9" scale="52" orientation="landscape" r:id="rId1"/>
  <rowBreaks count="1" manualBreakCount="1">
    <brk id="7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Job Details</vt:lpstr>
      <vt:lpstr>Site Plan</vt:lpstr>
      <vt:lpstr>CTC</vt:lpstr>
      <vt:lpstr>Peds</vt:lpstr>
      <vt:lpstr>Queues</vt:lpstr>
      <vt:lpstr>CTC!Print_Titles</vt:lpstr>
      <vt:lpstr>Peds!Print_Titles</vt:lpstr>
      <vt:lpstr>Queues!Print_Titles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High-Count On Us</dc:creator>
  <cp:lastModifiedBy>Ian Baxter</cp:lastModifiedBy>
  <cp:lastPrinted>2013-10-02T14:22:55Z</cp:lastPrinted>
  <dcterms:created xsi:type="dcterms:W3CDTF">2001-07-30T13:44:17Z</dcterms:created>
  <dcterms:modified xsi:type="dcterms:W3CDTF">2015-11-23T16:38:02Z</dcterms:modified>
</cp:coreProperties>
</file>